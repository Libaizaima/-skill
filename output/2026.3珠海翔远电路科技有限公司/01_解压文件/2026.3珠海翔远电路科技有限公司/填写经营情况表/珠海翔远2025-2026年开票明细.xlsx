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2025年1-12月每月开票明细" sheetId="7" r:id="rId1"/>
    <sheet name="26年1-12月每月开票明细" sheetId="5" r:id="rId2"/>
    <sheet name="Sheet1" sheetId="6" r:id="rId3"/>
  </sheets>
  <definedNames>
    <definedName name="_xlnm.Print_Area" localSheetId="1">'26年1-12月每月开票明细'!$A$1:$D$18</definedName>
  </definedNames>
  <calcPr calcId="144525"/>
</workbook>
</file>

<file path=xl/sharedStrings.xml><?xml version="1.0" encoding="utf-8"?>
<sst xmlns="http://schemas.openxmlformats.org/spreadsheetml/2006/main" count="23" uniqueCount="16">
  <si>
    <t>珠海翔远开票月份</t>
  </si>
  <si>
    <t>金额</t>
  </si>
  <si>
    <t>税额</t>
  </si>
  <si>
    <t>价税合计</t>
  </si>
  <si>
    <t>合计</t>
  </si>
  <si>
    <t>换算千元</t>
  </si>
  <si>
    <t>珠海翔远26年开票</t>
  </si>
  <si>
    <t>珠海翔远26年预计</t>
  </si>
  <si>
    <t>金额/千元</t>
  </si>
  <si>
    <t>税额/千元</t>
  </si>
  <si>
    <t>价税合计/千元</t>
  </si>
  <si>
    <t>石小姐，麻烦预估26年1季度产值及全年数据，用于对本年数据进行经济分析，谢谢。单位：千元</t>
  </si>
  <si>
    <t>1月：</t>
  </si>
  <si>
    <t>2月：</t>
  </si>
  <si>
    <t>3月：</t>
  </si>
  <si>
    <t>全年：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</si>
</sst>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7" formatCode="&quot;￥&quot;#,##0.00;&quot;￥&quot;\-#,##0.00"/>
    <numFmt numFmtId="176" formatCode="0.00_ "/>
  </numFmts>
  <fonts count="24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23" fillId="31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7" fontId="1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7" fontId="1" fillId="0" borderId="0" xfId="0" applyNumberFormat="1" applyFont="1" applyFill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7" fontId="2" fillId="0" borderId="1" xfId="0" applyNumberFormat="1" applyFont="1" applyBorder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7" fontId="1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0"/>
  <sheetViews>
    <sheetView tabSelected="1" view="pageBreakPreview" zoomScaleNormal="100" workbookViewId="0">
      <selection activeCell="D29" sqref="D29"/>
    </sheetView>
  </sheetViews>
  <sheetFormatPr defaultColWidth="11.125" defaultRowHeight="18.75" outlineLevelCol="4"/>
  <cols>
    <col min="1" max="1" width="22.625" style="2" customWidth="1"/>
    <col min="2" max="2" width="21.25" style="2" customWidth="1"/>
    <col min="3" max="3" width="21.625" style="2" customWidth="1"/>
    <col min="4" max="4" width="24.75" style="2" customWidth="1"/>
    <col min="5" max="5" width="12.625" style="2" customWidth="1"/>
    <col min="6" max="16384" width="11.125" style="2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4">
        <v>45658</v>
      </c>
      <c r="B2" s="5"/>
      <c r="C2" s="5"/>
      <c r="D2" s="9"/>
    </row>
    <row r="3" s="1" customFormat="1" spans="1:4">
      <c r="A3" s="4">
        <v>45689</v>
      </c>
      <c r="B3" s="5"/>
      <c r="C3" s="5"/>
      <c r="D3" s="9"/>
    </row>
    <row r="4" s="1" customFormat="1" spans="1:4">
      <c r="A4" s="4">
        <v>45717</v>
      </c>
      <c r="B4" s="5">
        <v>593406.6</v>
      </c>
      <c r="C4" s="5">
        <v>77142.85</v>
      </c>
      <c r="D4" s="9">
        <f t="shared" ref="D4:D13" si="0">B4+C4</f>
        <v>670549.45</v>
      </c>
    </row>
    <row r="5" spans="1:4">
      <c r="A5" s="4">
        <v>45748</v>
      </c>
      <c r="B5" s="5">
        <v>6208.4</v>
      </c>
      <c r="C5" s="5">
        <v>807.1</v>
      </c>
      <c r="D5" s="9">
        <f t="shared" si="0"/>
        <v>7015.5</v>
      </c>
    </row>
    <row r="6" spans="1:4">
      <c r="A6" s="4">
        <v>45778</v>
      </c>
      <c r="B6" s="5">
        <v>863912.81</v>
      </c>
      <c r="C6" s="5">
        <v>112308.69</v>
      </c>
      <c r="D6" s="9">
        <f t="shared" si="0"/>
        <v>976221.5</v>
      </c>
    </row>
    <row r="7" spans="1:4">
      <c r="A7" s="4">
        <v>45809</v>
      </c>
      <c r="B7" s="5">
        <v>1081036.88</v>
      </c>
      <c r="C7" s="5">
        <v>140534.86</v>
      </c>
      <c r="D7" s="9">
        <f t="shared" si="0"/>
        <v>1221571.74</v>
      </c>
    </row>
    <row r="8" spans="1:4">
      <c r="A8" s="4">
        <v>45839</v>
      </c>
      <c r="B8" s="5">
        <v>1534033.71</v>
      </c>
      <c r="C8" s="5">
        <v>199424.41</v>
      </c>
      <c r="D8" s="9">
        <f t="shared" si="0"/>
        <v>1733458.12</v>
      </c>
    </row>
    <row r="9" spans="1:4">
      <c r="A9" s="4">
        <v>45870</v>
      </c>
      <c r="B9" s="5">
        <v>3070183.17</v>
      </c>
      <c r="C9" s="5">
        <v>399123.83</v>
      </c>
      <c r="D9" s="9">
        <f t="shared" si="0"/>
        <v>3469307</v>
      </c>
    </row>
    <row r="10" spans="1:4">
      <c r="A10" s="4">
        <v>45901</v>
      </c>
      <c r="B10" s="5">
        <v>3133332.7</v>
      </c>
      <c r="C10" s="5">
        <v>407333.32</v>
      </c>
      <c r="D10" s="9">
        <f t="shared" si="0"/>
        <v>3540666.02</v>
      </c>
    </row>
    <row r="11" spans="1:4">
      <c r="A11" s="4">
        <v>45931</v>
      </c>
      <c r="B11" s="5">
        <v>3723312.51</v>
      </c>
      <c r="C11" s="5">
        <v>484030.61</v>
      </c>
      <c r="D11" s="9">
        <f t="shared" si="0"/>
        <v>4207343.12</v>
      </c>
    </row>
    <row r="12" spans="1:4">
      <c r="A12" s="4">
        <v>45962</v>
      </c>
      <c r="B12" s="5">
        <v>3301108.44</v>
      </c>
      <c r="C12" s="5">
        <v>429144.21</v>
      </c>
      <c r="D12" s="6">
        <f t="shared" si="0"/>
        <v>3730252.65</v>
      </c>
    </row>
    <row r="13" spans="1:5">
      <c r="A13" s="4">
        <v>45992</v>
      </c>
      <c r="B13" s="5">
        <v>3818607.45</v>
      </c>
      <c r="C13" s="5">
        <v>496418.96</v>
      </c>
      <c r="D13" s="6">
        <f t="shared" si="0"/>
        <v>4315026.41</v>
      </c>
      <c r="E13" s="10"/>
    </row>
    <row r="14" spans="1:4">
      <c r="A14" s="4"/>
      <c r="B14" s="1"/>
      <c r="C14" s="1"/>
      <c r="D14" s="6"/>
    </row>
    <row r="15" spans="1:4">
      <c r="A15" s="4"/>
      <c r="B15" s="1"/>
      <c r="C15" s="1"/>
      <c r="D15" s="6"/>
    </row>
    <row r="16" spans="1:4">
      <c r="A16" s="4"/>
      <c r="B16" s="1"/>
      <c r="C16" s="1"/>
      <c r="D16" s="6"/>
    </row>
    <row r="17" spans="1:4">
      <c r="A17" s="1" t="s">
        <v>4</v>
      </c>
      <c r="B17" s="6">
        <f>SUM(B2:B16)</f>
        <v>21125142.67</v>
      </c>
      <c r="C17" s="6">
        <f>SUM(C2:C16)</f>
        <v>2746268.84</v>
      </c>
      <c r="D17" s="6">
        <f>SUM(D2:D13)</f>
        <v>23871411.51</v>
      </c>
    </row>
    <row r="20" spans="1:4">
      <c r="A20" s="2" t="s">
        <v>5</v>
      </c>
      <c r="B20" s="12">
        <f>B17/1000</f>
        <v>21125.14267</v>
      </c>
      <c r="C20" s="12">
        <f>C17/1000</f>
        <v>2746.26884</v>
      </c>
      <c r="D20" s="12">
        <f>D17/1000</f>
        <v>23871.41151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1"/>
  <sheetViews>
    <sheetView view="pageBreakPreview" zoomScaleNormal="100" workbookViewId="0">
      <selection activeCell="D23" sqref="D23"/>
    </sheetView>
  </sheetViews>
  <sheetFormatPr defaultColWidth="11.125" defaultRowHeight="18.75"/>
  <cols>
    <col min="1" max="1" width="22.625" style="2" customWidth="1"/>
    <col min="2" max="2" width="21.25" style="2" customWidth="1"/>
    <col min="3" max="3" width="21.625" style="2" customWidth="1"/>
    <col min="4" max="4" width="24.75" style="2" customWidth="1"/>
    <col min="5" max="5" width="12.625" style="2" customWidth="1"/>
    <col min="6" max="6" width="22.875" style="2" customWidth="1"/>
    <col min="7" max="7" width="23.75" style="2" customWidth="1"/>
    <col min="8" max="8" width="20" style="2" customWidth="1"/>
    <col min="9" max="9" width="23.125" style="2" customWidth="1"/>
    <col min="10" max="16384" width="11.125" style="2" customWidth="1"/>
  </cols>
  <sheetData>
    <row r="1" s="1" customFormat="1" spans="1:9">
      <c r="A1" s="1" t="s">
        <v>6</v>
      </c>
      <c r="B1" s="1" t="s">
        <v>1</v>
      </c>
      <c r="C1" s="1" t="s">
        <v>2</v>
      </c>
      <c r="D1" s="1" t="s">
        <v>3</v>
      </c>
      <c r="F1" s="3" t="s">
        <v>7</v>
      </c>
      <c r="G1" s="3" t="s">
        <v>8</v>
      </c>
      <c r="H1" s="3" t="s">
        <v>9</v>
      </c>
      <c r="I1" s="3" t="s">
        <v>10</v>
      </c>
    </row>
    <row r="2" s="1" customFormat="1" spans="1:9">
      <c r="A2" s="4">
        <v>46023</v>
      </c>
      <c r="B2" s="5">
        <v>4219735.17</v>
      </c>
      <c r="C2" s="5">
        <v>548565.6</v>
      </c>
      <c r="D2" s="6">
        <f>B2+C2</f>
        <v>4768300.77</v>
      </c>
      <c r="F2" s="7">
        <v>46023</v>
      </c>
      <c r="G2" s="8">
        <f>I2/1.13</f>
        <v>4159.29203539823</v>
      </c>
      <c r="H2" s="8">
        <f>G2*0.13</f>
        <v>540.70796460177</v>
      </c>
      <c r="I2" s="11">
        <v>4700</v>
      </c>
    </row>
    <row r="3" s="1" customFormat="1" spans="1:9">
      <c r="A3" s="4">
        <v>46054</v>
      </c>
      <c r="B3" s="5">
        <v>490118.12</v>
      </c>
      <c r="C3" s="5">
        <v>63715.33</v>
      </c>
      <c r="D3" s="6">
        <f>B3+C3</f>
        <v>553833.45</v>
      </c>
      <c r="F3" s="7">
        <v>46054</v>
      </c>
      <c r="G3" s="8">
        <f t="shared" ref="G3:G13" si="0">I3/1.13</f>
        <v>4159.29203539823</v>
      </c>
      <c r="H3" s="8">
        <f t="shared" ref="H3:H13" si="1">G3*0.13</f>
        <v>540.70796460177</v>
      </c>
      <c r="I3" s="11">
        <v>4700</v>
      </c>
    </row>
    <row r="4" s="1" customFormat="1" spans="1:9">
      <c r="A4" s="4">
        <v>46082</v>
      </c>
      <c r="B4" s="5"/>
      <c r="C4" s="5"/>
      <c r="D4" s="6">
        <f>B4+C4</f>
        <v>0</v>
      </c>
      <c r="F4" s="7">
        <v>46082</v>
      </c>
      <c r="G4" s="8">
        <f t="shared" si="0"/>
        <v>2477.87610619469</v>
      </c>
      <c r="H4" s="8">
        <f t="shared" si="1"/>
        <v>322.12389380531</v>
      </c>
      <c r="I4" s="11">
        <v>2800</v>
      </c>
    </row>
    <row r="5" spans="1:9">
      <c r="A5" s="4">
        <v>46113</v>
      </c>
      <c r="B5" s="5"/>
      <c r="C5" s="5"/>
      <c r="D5" s="9">
        <f t="shared" ref="D4:D13" si="2">B5+C5</f>
        <v>0</v>
      </c>
      <c r="F5" s="7">
        <v>46113</v>
      </c>
      <c r="G5" s="8">
        <f t="shared" si="0"/>
        <v>4336.28318584071</v>
      </c>
      <c r="H5" s="8">
        <f t="shared" si="1"/>
        <v>563.716814159292</v>
      </c>
      <c r="I5" s="11">
        <v>4900</v>
      </c>
    </row>
    <row r="6" spans="1:9">
      <c r="A6" s="4">
        <v>46143</v>
      </c>
      <c r="B6" s="5"/>
      <c r="C6" s="5"/>
      <c r="D6" s="9">
        <f t="shared" si="2"/>
        <v>0</v>
      </c>
      <c r="F6" s="7">
        <v>46143</v>
      </c>
      <c r="G6" s="8">
        <f t="shared" si="0"/>
        <v>4336.28318584071</v>
      </c>
      <c r="H6" s="8">
        <f t="shared" si="1"/>
        <v>563.716814159292</v>
      </c>
      <c r="I6" s="11">
        <v>4900</v>
      </c>
    </row>
    <row r="7" spans="1:9">
      <c r="A7" s="4">
        <v>46174</v>
      </c>
      <c r="B7" s="5"/>
      <c r="C7" s="5"/>
      <c r="D7" s="9">
        <f t="shared" si="2"/>
        <v>0</v>
      </c>
      <c r="F7" s="7">
        <v>46174</v>
      </c>
      <c r="G7" s="8">
        <f t="shared" si="0"/>
        <v>4336.28318584071</v>
      </c>
      <c r="H7" s="8">
        <f t="shared" si="1"/>
        <v>563.716814159292</v>
      </c>
      <c r="I7" s="11">
        <v>4900</v>
      </c>
    </row>
    <row r="8" spans="1:9">
      <c r="A8" s="4">
        <v>46204</v>
      </c>
      <c r="B8" s="5"/>
      <c r="C8" s="5"/>
      <c r="D8" s="9">
        <f t="shared" si="2"/>
        <v>0</v>
      </c>
      <c r="F8" s="7">
        <v>46204</v>
      </c>
      <c r="G8" s="8">
        <f t="shared" si="0"/>
        <v>4336.28318584071</v>
      </c>
      <c r="H8" s="8">
        <f t="shared" si="1"/>
        <v>563.716814159292</v>
      </c>
      <c r="I8" s="11">
        <v>4900</v>
      </c>
    </row>
    <row r="9" spans="1:9">
      <c r="A9" s="4">
        <v>46235</v>
      </c>
      <c r="B9" s="5"/>
      <c r="C9" s="5"/>
      <c r="D9" s="9">
        <f t="shared" si="2"/>
        <v>0</v>
      </c>
      <c r="F9" s="7">
        <v>46235</v>
      </c>
      <c r="G9" s="8">
        <f t="shared" si="0"/>
        <v>4336.28318584071</v>
      </c>
      <c r="H9" s="8">
        <f t="shared" si="1"/>
        <v>563.716814159292</v>
      </c>
      <c r="I9" s="11">
        <v>4900</v>
      </c>
    </row>
    <row r="10" spans="1:9">
      <c r="A10" s="4">
        <v>46266</v>
      </c>
      <c r="B10" s="5"/>
      <c r="C10" s="5"/>
      <c r="D10" s="9">
        <f t="shared" si="2"/>
        <v>0</v>
      </c>
      <c r="F10" s="7">
        <v>46266</v>
      </c>
      <c r="G10" s="8">
        <f t="shared" si="0"/>
        <v>4336.28318584071</v>
      </c>
      <c r="H10" s="8">
        <f t="shared" si="1"/>
        <v>563.716814159292</v>
      </c>
      <c r="I10" s="11">
        <v>4900</v>
      </c>
    </row>
    <row r="11" spans="1:9">
      <c r="A11" s="4">
        <v>46296</v>
      </c>
      <c r="B11" s="5"/>
      <c r="C11" s="5"/>
      <c r="D11" s="9">
        <f t="shared" si="2"/>
        <v>0</v>
      </c>
      <c r="F11" s="7">
        <v>46296</v>
      </c>
      <c r="G11" s="8">
        <f t="shared" si="0"/>
        <v>4424.77876106195</v>
      </c>
      <c r="H11" s="8">
        <f t="shared" si="1"/>
        <v>575.221238938053</v>
      </c>
      <c r="I11" s="11">
        <v>5000</v>
      </c>
    </row>
    <row r="12" spans="1:9">
      <c r="A12" s="4">
        <v>46327</v>
      </c>
      <c r="B12" s="5"/>
      <c r="C12" s="5"/>
      <c r="D12" s="6">
        <f t="shared" si="2"/>
        <v>0</v>
      </c>
      <c r="F12" s="7">
        <v>46327</v>
      </c>
      <c r="G12" s="8">
        <f t="shared" si="0"/>
        <v>4424.77876106195</v>
      </c>
      <c r="H12" s="8">
        <f t="shared" si="1"/>
        <v>575.221238938053</v>
      </c>
      <c r="I12" s="11">
        <v>5000</v>
      </c>
    </row>
    <row r="13" spans="1:9">
      <c r="A13" s="4">
        <v>46357</v>
      </c>
      <c r="B13" s="5"/>
      <c r="C13" s="5"/>
      <c r="D13" s="6">
        <f t="shared" si="2"/>
        <v>0</v>
      </c>
      <c r="E13" s="10"/>
      <c r="F13" s="7">
        <v>46357</v>
      </c>
      <c r="G13" s="8">
        <f t="shared" si="0"/>
        <v>4424.77876106195</v>
      </c>
      <c r="H13" s="8">
        <f t="shared" si="1"/>
        <v>575.221238938053</v>
      </c>
      <c r="I13" s="11">
        <v>5000</v>
      </c>
    </row>
    <row r="14" spans="1:9">
      <c r="A14" s="4"/>
      <c r="B14" s="1"/>
      <c r="C14" s="1"/>
      <c r="D14" s="6"/>
      <c r="F14" s="7"/>
      <c r="G14" s="3"/>
      <c r="H14" s="3"/>
      <c r="I14" s="11"/>
    </row>
    <row r="15" spans="1:9">
      <c r="A15" s="4"/>
      <c r="B15" s="1"/>
      <c r="C15" s="1"/>
      <c r="D15" s="6"/>
      <c r="F15" s="7"/>
      <c r="G15" s="3"/>
      <c r="H15" s="3"/>
      <c r="I15" s="11"/>
    </row>
    <row r="16" spans="1:9">
      <c r="A16" s="4"/>
      <c r="B16" s="1"/>
      <c r="C16" s="1"/>
      <c r="D16" s="6"/>
      <c r="F16" s="7"/>
      <c r="G16" s="3"/>
      <c r="H16" s="3"/>
      <c r="I16" s="11"/>
    </row>
    <row r="17" spans="1:9">
      <c r="A17" s="1" t="s">
        <v>4</v>
      </c>
      <c r="B17" s="6">
        <f t="shared" ref="B17:H17" si="3">SUM(B2:B16)</f>
        <v>4709853.29</v>
      </c>
      <c r="C17" s="6">
        <f t="shared" si="3"/>
        <v>612280.93</v>
      </c>
      <c r="D17" s="6">
        <f>SUM(D2:D13)</f>
        <v>5322134.22</v>
      </c>
      <c r="F17" s="3" t="s">
        <v>4</v>
      </c>
      <c r="G17" s="11">
        <f t="shared" si="3"/>
        <v>50088.4955752212</v>
      </c>
      <c r="H17" s="11">
        <f t="shared" si="3"/>
        <v>6511.50442477876</v>
      </c>
      <c r="I17" s="11">
        <f>SUM(I2:I13)</f>
        <v>56600</v>
      </c>
    </row>
    <row r="18" spans="1:9">
      <c r="A18" s="2" t="s">
        <v>5</v>
      </c>
      <c r="B18" s="12">
        <f>B17/1000</f>
        <v>4709.85329</v>
      </c>
      <c r="C18" s="12">
        <f>C17/1000</f>
        <v>612.28093</v>
      </c>
      <c r="D18" s="12">
        <f>D17/1000</f>
        <v>5322.13422</v>
      </c>
      <c r="F18" s="13"/>
      <c r="G18" s="13"/>
      <c r="H18" s="13"/>
      <c r="I18" s="13"/>
    </row>
    <row r="21" spans="1:8">
      <c r="A21" s="2" t="s">
        <v>5</v>
      </c>
      <c r="B21" s="2">
        <f t="shared" ref="B21:B31" si="4">B2/1000</f>
        <v>4219.73517</v>
      </c>
      <c r="H21" s="2" t="s">
        <v>11</v>
      </c>
    </row>
    <row r="22" spans="2:6">
      <c r="B22" s="2">
        <f t="shared" si="4"/>
        <v>490.11812</v>
      </c>
      <c r="C22" s="2">
        <f>B22+B21</f>
        <v>4709.85329</v>
      </c>
      <c r="F22" s="2" t="s">
        <v>12</v>
      </c>
    </row>
    <row r="23" spans="2:6">
      <c r="B23" s="2">
        <f t="shared" si="4"/>
        <v>0</v>
      </c>
      <c r="C23" s="2">
        <f>B23+C22</f>
        <v>4709.85329</v>
      </c>
      <c r="F23" s="2" t="s">
        <v>13</v>
      </c>
    </row>
    <row r="24" spans="2:6">
      <c r="B24" s="2">
        <f t="shared" si="4"/>
        <v>0</v>
      </c>
      <c r="C24" s="2">
        <f t="shared" ref="C24:C31" si="5">B24+C23</f>
        <v>4709.85329</v>
      </c>
      <c r="F24" s="2" t="s">
        <v>14</v>
      </c>
    </row>
    <row r="25" spans="2:6">
      <c r="B25" s="2">
        <f t="shared" si="4"/>
        <v>0</v>
      </c>
      <c r="C25" s="2">
        <f t="shared" si="5"/>
        <v>4709.85329</v>
      </c>
      <c r="F25" s="2" t="s">
        <v>15</v>
      </c>
    </row>
    <row r="26" spans="2:3">
      <c r="B26" s="2">
        <f t="shared" si="4"/>
        <v>0</v>
      </c>
      <c r="C26" s="2">
        <f t="shared" si="5"/>
        <v>4709.85329</v>
      </c>
    </row>
    <row r="27" spans="2:3">
      <c r="B27" s="2">
        <f t="shared" si="4"/>
        <v>0</v>
      </c>
      <c r="C27" s="2">
        <f t="shared" si="5"/>
        <v>4709.85329</v>
      </c>
    </row>
    <row r="28" spans="2:3">
      <c r="B28" s="2">
        <f t="shared" si="4"/>
        <v>0</v>
      </c>
      <c r="C28" s="2">
        <f t="shared" si="5"/>
        <v>4709.85329</v>
      </c>
    </row>
    <row r="29" spans="2:3">
      <c r="B29" s="2">
        <f t="shared" si="4"/>
        <v>0</v>
      </c>
      <c r="C29" s="2">
        <f t="shared" si="5"/>
        <v>4709.85329</v>
      </c>
    </row>
    <row r="30" spans="2:3">
      <c r="B30" s="2">
        <f t="shared" si="4"/>
        <v>0</v>
      </c>
      <c r="C30" s="2">
        <f t="shared" si="5"/>
        <v>4709.85329</v>
      </c>
    </row>
    <row r="31" spans="2:3">
      <c r="B31" s="2">
        <f t="shared" si="4"/>
        <v>0</v>
      </c>
      <c r="C31" s="2">
        <f t="shared" si="5"/>
        <v>4709.85329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2025年1-12月每月开票明细</vt:lpstr>
      <vt:lpstr>26年1-12月每月开票明细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shiyanran</cp:lastModifiedBy>
  <dcterms:created xsi:type="dcterms:W3CDTF">2025-12-29T08:28:00Z</dcterms:created>
  <dcterms:modified xsi:type="dcterms:W3CDTF">2026-03-07T08:46:11Z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