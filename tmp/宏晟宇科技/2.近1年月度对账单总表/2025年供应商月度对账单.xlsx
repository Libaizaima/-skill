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5年1月" sheetId="47" r:id="rId1"/>
    <sheet name="25年2月" sheetId="48" r:id="rId2"/>
    <sheet name="25年3月" sheetId="49" r:id="rId3"/>
    <sheet name="25年4月" sheetId="50" r:id="rId4"/>
    <sheet name="25年5月" sheetId="51" r:id="rId5"/>
    <sheet name="25年6月" sheetId="52" r:id="rId6"/>
    <sheet name="25年07月" sheetId="53" r:id="rId7"/>
    <sheet name="25年08月" sheetId="54" r:id="rId8"/>
    <sheet name="25年09月" sheetId="55" r:id="rId9"/>
    <sheet name="25年10月" sheetId="56" r:id="rId10"/>
    <sheet name="25年11月" sheetId="57" r:id="rId11"/>
  </sheets>
  <definedNames>
    <definedName name="_xlnm._FilterDatabase" localSheetId="1" hidden="1">'25年2月'!$A$1:$K$297</definedName>
    <definedName name="_xlnm._FilterDatabase" localSheetId="2" hidden="1">'25年3月'!$A$1:$L$383</definedName>
    <definedName name="_xlnm._FilterDatabase" localSheetId="3" hidden="1">'25年4月'!$A$1:$K$360</definedName>
    <definedName name="_xlnm._FilterDatabase" localSheetId="7" hidden="1">'25年08月'!$A$1:$K$381</definedName>
    <definedName name="_xlnm._FilterDatabase" localSheetId="8" hidden="1">'25年09月'!$A$1:$K$444</definedName>
    <definedName name="_xlnm._FilterDatabase" localSheetId="10" hidden="1">'25年11月'!$A$1:$K$347</definedName>
    <definedName name="_xlnm._FilterDatabase" localSheetId="0" hidden="1">'25年1月'!$A$1:$K$159</definedName>
    <definedName name="_xlnm._FilterDatabase" localSheetId="4" hidden="1">'25年5月'!$A$1:$K$328</definedName>
    <definedName name="_xlnm._FilterDatabase" localSheetId="5" hidden="1">'25年6月'!$A$1:$K$346</definedName>
    <definedName name="_xlnm._FilterDatabase" localSheetId="6" hidden="1">'25年07月'!$A$1:$K$360</definedName>
    <definedName name="_xlnm._FilterDatabase" localSheetId="9" hidden="1">'25年10月'!$A$1:$K$250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<sst xmlns="http://schemas.openxmlformats.org/spreadsheetml/2006/main" count="18101" uniqueCount="2712">
  <si>
    <t>到货日期</t>
  </si>
  <si>
    <t>供应商</t>
  </si>
  <si>
    <t>送货单号</t>
  </si>
  <si>
    <t>型号</t>
  </si>
  <si>
    <t>规格</t>
  </si>
  <si>
    <t>数量</t>
  </si>
  <si>
    <t>单价</t>
  </si>
  <si>
    <t>金额</t>
  </si>
  <si>
    <t>客户</t>
  </si>
  <si>
    <t>备注</t>
  </si>
  <si>
    <t>总成本</t>
  </si>
  <si>
    <t>力能盛</t>
  </si>
  <si>
    <t>LNS2025010300093</t>
  </si>
  <si>
    <t>403048-600</t>
  </si>
  <si>
    <t>电芯</t>
  </si>
  <si>
    <t>认证</t>
  </si>
  <si>
    <t>快递代收</t>
  </si>
  <si>
    <t>LNS2025010400120</t>
  </si>
  <si>
    <t>602030-300</t>
  </si>
  <si>
    <t>东营</t>
  </si>
  <si>
    <t>LNS2025010600213</t>
  </si>
  <si>
    <t>802025-350</t>
  </si>
  <si>
    <t>蕊德跟单</t>
  </si>
  <si>
    <t>WLDX-W202501100</t>
  </si>
  <si>
    <t>403040-400</t>
  </si>
  <si>
    <t>呦呦声学</t>
  </si>
  <si>
    <t>LNS2025010600176</t>
  </si>
  <si>
    <t>803040-1000</t>
  </si>
  <si>
    <t>捷瑜</t>
  </si>
  <si>
    <t>LNS2025010700240</t>
  </si>
  <si>
    <t>103040-1200</t>
  </si>
  <si>
    <t>602025-250</t>
  </si>
  <si>
    <t>样品</t>
  </si>
  <si>
    <t>LNS2025010900379</t>
  </si>
  <si>
    <t>303040-300</t>
  </si>
  <si>
    <t>明翔</t>
  </si>
  <si>
    <t>402020-120</t>
  </si>
  <si>
    <t>协讯达</t>
  </si>
  <si>
    <t>503040-600</t>
  </si>
  <si>
    <t>华聪</t>
  </si>
  <si>
    <t>LNS2025011000453</t>
  </si>
  <si>
    <t>LNS2025011000439</t>
  </si>
  <si>
    <t>朱生</t>
  </si>
  <si>
    <t>LNS2025011100486</t>
  </si>
  <si>
    <t>802020-250</t>
  </si>
  <si>
    <t>凡灵</t>
  </si>
  <si>
    <t>发湖北随州</t>
  </si>
  <si>
    <t>701530-300</t>
  </si>
  <si>
    <t>索霸/博聆</t>
  </si>
  <si>
    <t>LNS2025011300544</t>
  </si>
  <si>
    <t>403040-450</t>
  </si>
  <si>
    <t>卓佳之星</t>
  </si>
  <si>
    <t>LNS2025011300517</t>
  </si>
  <si>
    <t>801730-400</t>
  </si>
  <si>
    <t>宇阳共赢</t>
  </si>
  <si>
    <t>LNS2025011500635</t>
  </si>
  <si>
    <t>斑澜</t>
  </si>
  <si>
    <t>拓达/路遥</t>
  </si>
  <si>
    <t>0132343</t>
  </si>
  <si>
    <t>450909-30</t>
  </si>
  <si>
    <t>喷码折角加锡</t>
  </si>
  <si>
    <t>库存</t>
  </si>
  <si>
    <t>双面喷码折角加锡</t>
  </si>
  <si>
    <t>大森</t>
  </si>
  <si>
    <t>0132344</t>
  </si>
  <si>
    <t>全景易</t>
  </si>
  <si>
    <t>0132345</t>
  </si>
  <si>
    <t>0132346</t>
  </si>
  <si>
    <t>0132347</t>
  </si>
  <si>
    <t>誉阳</t>
  </si>
  <si>
    <t>501015-50</t>
  </si>
  <si>
    <t>三盛</t>
  </si>
  <si>
    <t>0132349</t>
  </si>
  <si>
    <t>0132350</t>
  </si>
  <si>
    <t>启云星</t>
  </si>
  <si>
    <t>QYX20250103003</t>
  </si>
  <si>
    <t>401012-30</t>
  </si>
  <si>
    <t>格莱亚</t>
  </si>
  <si>
    <t>都澜</t>
  </si>
  <si>
    <t>佳际</t>
  </si>
  <si>
    <t>QYX20250104005</t>
  </si>
  <si>
    <t>QYX20250119002</t>
  </si>
  <si>
    <t>一诺</t>
  </si>
  <si>
    <t>B202501006</t>
  </si>
  <si>
    <t>450835-110</t>
  </si>
  <si>
    <t>喷码加板</t>
  </si>
  <si>
    <t>帕睿德</t>
  </si>
  <si>
    <t>自供板0.16</t>
  </si>
  <si>
    <t>101550-800</t>
  </si>
  <si>
    <t>宏利达</t>
  </si>
  <si>
    <t>自供板0.17</t>
  </si>
  <si>
    <t>宏昊</t>
  </si>
  <si>
    <t>HH202501017</t>
  </si>
  <si>
    <t>104050-2500</t>
  </si>
  <si>
    <t>天启</t>
  </si>
  <si>
    <t>103665-3000</t>
  </si>
  <si>
    <t>HH202501038</t>
  </si>
  <si>
    <t>永富</t>
  </si>
  <si>
    <t>350926-60</t>
  </si>
  <si>
    <t>喷码加板加线</t>
  </si>
  <si>
    <t>美盛特</t>
  </si>
  <si>
    <t>南阳兴豫</t>
  </si>
  <si>
    <t>500820-60</t>
  </si>
  <si>
    <t>三耳智创</t>
  </si>
  <si>
    <t>380824-55</t>
  </si>
  <si>
    <t>王重阳</t>
  </si>
  <si>
    <t>麦腾</t>
  </si>
  <si>
    <t>500815-45</t>
  </si>
  <si>
    <t>400935-100</t>
  </si>
  <si>
    <t>金彭威</t>
  </si>
  <si>
    <t>500935-130</t>
  </si>
  <si>
    <t>电芯喷码</t>
  </si>
  <si>
    <t>RTOOPS</t>
  </si>
  <si>
    <t>杰芝美</t>
  </si>
  <si>
    <t>XK-T-2025-01-04</t>
  </si>
  <si>
    <t>401010-30</t>
  </si>
  <si>
    <t>接线喷码</t>
  </si>
  <si>
    <t>乐立声</t>
  </si>
  <si>
    <t>鑫和盛</t>
  </si>
  <si>
    <t>XOUT010333</t>
  </si>
  <si>
    <t>501030-120</t>
  </si>
  <si>
    <t>众聚鑫</t>
  </si>
  <si>
    <t>501012-40</t>
  </si>
  <si>
    <t>喷码折角加线</t>
  </si>
  <si>
    <t>喷码加线</t>
  </si>
  <si>
    <t>爱博创新</t>
  </si>
  <si>
    <t>艾瑞吉</t>
  </si>
  <si>
    <t>双面喷码折角加线</t>
  </si>
  <si>
    <t>450912-35</t>
  </si>
  <si>
    <t>德多</t>
  </si>
  <si>
    <t>400909-25</t>
  </si>
  <si>
    <t>721230-250</t>
  </si>
  <si>
    <t>双面喷码加板加线</t>
  </si>
  <si>
    <t>捷声</t>
  </si>
  <si>
    <t>601230-200</t>
  </si>
  <si>
    <t>双面喷码加线</t>
  </si>
  <si>
    <t>双面喷码弯角加锡</t>
  </si>
  <si>
    <t>博聆</t>
  </si>
  <si>
    <t>同创达</t>
  </si>
  <si>
    <t>501940-400</t>
  </si>
  <si>
    <t>30*15*0.01 3M胶</t>
  </si>
  <si>
    <t>15*20*4.5</t>
  </si>
  <si>
    <t>双面泡沫棉</t>
  </si>
  <si>
    <t>上源</t>
  </si>
  <si>
    <t>22*10  银色标签</t>
  </si>
  <si>
    <t>8.5*6  银色标签</t>
  </si>
  <si>
    <t>天翌</t>
  </si>
  <si>
    <t>20250105HCY-WHL</t>
  </si>
  <si>
    <t>451012-35</t>
  </si>
  <si>
    <t>鹰仕达</t>
  </si>
  <si>
    <t>添彩</t>
  </si>
  <si>
    <t>HCY202412310003/2</t>
  </si>
  <si>
    <t>601435-280</t>
  </si>
  <si>
    <t>聚诺</t>
  </si>
  <si>
    <t>铁氟龙线材</t>
  </si>
  <si>
    <t>1332#28</t>
  </si>
  <si>
    <t>众欣达</t>
  </si>
  <si>
    <t>XYZD-1040抄板</t>
  </si>
  <si>
    <t>点焊板</t>
  </si>
  <si>
    <t>发大浪</t>
  </si>
  <si>
    <t>ZXD-6770-16-YXL</t>
  </si>
  <si>
    <t>XYZD-8440抄板</t>
  </si>
  <si>
    <t>昕宇智能</t>
  </si>
  <si>
    <t>XYZD20240985</t>
  </si>
  <si>
    <t>XYZD-8450</t>
  </si>
  <si>
    <t>NTC  10K  点焊板</t>
  </si>
  <si>
    <t>亿芯禾</t>
  </si>
  <si>
    <t>XYZD20240995</t>
  </si>
  <si>
    <t>XYZD-2043</t>
  </si>
  <si>
    <t>XYZD20240993</t>
  </si>
  <si>
    <t>XYZD-1532</t>
  </si>
  <si>
    <t>YXZD20240999</t>
  </si>
  <si>
    <t>XYZD-1040旧板</t>
  </si>
  <si>
    <t>佳博利</t>
  </si>
  <si>
    <t>王大地</t>
  </si>
  <si>
    <t>027577</t>
  </si>
  <si>
    <t>喷码 折角加锡</t>
  </si>
  <si>
    <t>卓蓝</t>
  </si>
  <si>
    <t>ZL2025010002</t>
  </si>
  <si>
    <t>902030-500</t>
  </si>
  <si>
    <t>ZL2025010067</t>
  </si>
  <si>
    <t>603450-1200</t>
  </si>
  <si>
    <t>ZL2025010066</t>
  </si>
  <si>
    <t>702030-400</t>
  </si>
  <si>
    <t>万锂</t>
  </si>
  <si>
    <t>WLDX-W202501035</t>
  </si>
  <si>
    <t>WLDX-W202501074</t>
  </si>
  <si>
    <t>WLDX-W202501203</t>
  </si>
  <si>
    <t>601735-350</t>
  </si>
  <si>
    <t>新音</t>
  </si>
  <si>
    <t>芯亿</t>
  </si>
  <si>
    <t>XY20250107001</t>
  </si>
  <si>
    <t>701125-170</t>
  </si>
  <si>
    <t>纵力</t>
  </si>
  <si>
    <t>恒旭</t>
  </si>
  <si>
    <t>551012-50</t>
  </si>
  <si>
    <t>601015-60</t>
  </si>
  <si>
    <t>喷码折角加锡贴背胶</t>
  </si>
  <si>
    <t>701115-80</t>
  </si>
  <si>
    <t>汉威</t>
  </si>
  <si>
    <t>胜远</t>
  </si>
  <si>
    <t>701230-250</t>
  </si>
  <si>
    <t>预筑</t>
  </si>
  <si>
    <t>581013-55</t>
  </si>
  <si>
    <t>双面喷码折角 加锡</t>
  </si>
  <si>
    <t>比利牛斯</t>
  </si>
  <si>
    <t>新朝</t>
  </si>
  <si>
    <t>加线喷码</t>
  </si>
  <si>
    <t>灿盛达</t>
  </si>
  <si>
    <t>501240-200</t>
  </si>
  <si>
    <t>QYX20250110003</t>
  </si>
  <si>
    <t>350909-20</t>
  </si>
  <si>
    <t>加板加线</t>
  </si>
  <si>
    <t>步步旺</t>
  </si>
  <si>
    <t>返工</t>
  </si>
  <si>
    <t>千弘</t>
  </si>
  <si>
    <t>FH20250110003</t>
  </si>
  <si>
    <t>纸箱</t>
  </si>
  <si>
    <t>370*280*270</t>
  </si>
  <si>
    <t>空白纸箱</t>
  </si>
  <si>
    <t>350*260*200</t>
  </si>
  <si>
    <t>蓝键</t>
  </si>
  <si>
    <t>折角加锡喷码</t>
  </si>
  <si>
    <t>印度</t>
  </si>
  <si>
    <t>501225-120</t>
  </si>
  <si>
    <t>盛世</t>
  </si>
  <si>
    <t>0000354</t>
  </si>
  <si>
    <t>430911-28</t>
  </si>
  <si>
    <t>喷码折角加线0</t>
  </si>
  <si>
    <t>0000356</t>
  </si>
  <si>
    <t>0492861</t>
  </si>
  <si>
    <t>双面喷码折角接线</t>
  </si>
  <si>
    <t>华磊</t>
  </si>
  <si>
    <t>601225-150</t>
  </si>
  <si>
    <t>701240-300</t>
  </si>
  <si>
    <t>芯驰</t>
  </si>
  <si>
    <t>502035-320</t>
  </si>
  <si>
    <t>盈悦</t>
  </si>
  <si>
    <t>YY2025010304</t>
  </si>
  <si>
    <t>601040-180</t>
  </si>
  <si>
    <t>YY2025010605</t>
  </si>
  <si>
    <t>601040-200</t>
  </si>
  <si>
    <t>501035-130</t>
  </si>
  <si>
    <t>TROOPS</t>
  </si>
  <si>
    <t>YY2025010705</t>
  </si>
  <si>
    <t>卡乔</t>
  </si>
  <si>
    <t>YY2025010905</t>
  </si>
  <si>
    <t>YY2025011101</t>
  </si>
  <si>
    <t>TROOPS/印度</t>
  </si>
  <si>
    <t>YY2025011406</t>
  </si>
  <si>
    <t>YY2025011407</t>
  </si>
  <si>
    <t>YY2025011606</t>
  </si>
  <si>
    <t>502030-200</t>
  </si>
  <si>
    <t>YY2025011704</t>
  </si>
  <si>
    <t>YY2025011706</t>
  </si>
  <si>
    <t>YY2025011708</t>
  </si>
  <si>
    <t>502030-250</t>
  </si>
  <si>
    <t>捷泰</t>
  </si>
  <si>
    <t>冠尔升</t>
  </si>
  <si>
    <t>502030-220</t>
  </si>
  <si>
    <t>伟粤达</t>
  </si>
  <si>
    <t>WYD20250016690920</t>
  </si>
  <si>
    <t>WYD20250016690929</t>
  </si>
  <si>
    <t>百强</t>
  </si>
  <si>
    <t>0046537</t>
  </si>
  <si>
    <t>0842-V2</t>
  </si>
  <si>
    <t>0046726</t>
  </si>
  <si>
    <t>7340D</t>
  </si>
  <si>
    <t>07点锡板</t>
  </si>
  <si>
    <t>佳锐斯</t>
  </si>
  <si>
    <t>751540-450</t>
  </si>
  <si>
    <t>迈科捷</t>
  </si>
  <si>
    <t>皓欣</t>
  </si>
  <si>
    <t>线材</t>
  </si>
  <si>
    <t>升华恒通</t>
  </si>
  <si>
    <t>SH-0407</t>
  </si>
  <si>
    <t>信阳得佳</t>
  </si>
  <si>
    <t>701435-320</t>
  </si>
  <si>
    <t>力浪</t>
  </si>
  <si>
    <t>合计：</t>
  </si>
  <si>
    <t>能达信</t>
  </si>
  <si>
    <t>4025100-1100</t>
  </si>
  <si>
    <t>602020-200</t>
  </si>
  <si>
    <t>雷尊</t>
  </si>
  <si>
    <t>索霸3K/华聪1K</t>
  </si>
  <si>
    <t>523450-1000</t>
  </si>
  <si>
    <t>移文</t>
  </si>
  <si>
    <t>率先</t>
  </si>
  <si>
    <t>103048-1500</t>
  </si>
  <si>
    <t>ZL2025010110</t>
  </si>
  <si>
    <t>702025-300</t>
  </si>
  <si>
    <t>ZL2025010112</t>
  </si>
  <si>
    <t>ZL2025020050</t>
  </si>
  <si>
    <t>ZL2025020058</t>
  </si>
  <si>
    <t>ZL2025020066</t>
  </si>
  <si>
    <t>603040-750</t>
  </si>
  <si>
    <t>般若</t>
  </si>
  <si>
    <t>ZL2025020077</t>
  </si>
  <si>
    <t>恒达</t>
  </si>
  <si>
    <t>ZL2025020086</t>
  </si>
  <si>
    <t>伽德仕</t>
  </si>
  <si>
    <t>ZL2025020101</t>
  </si>
  <si>
    <t>LNS2025020900870</t>
  </si>
  <si>
    <t>LNS2025020800846</t>
  </si>
  <si>
    <t>102530-800</t>
  </si>
  <si>
    <t>103450-2000</t>
  </si>
  <si>
    <t>902025-400</t>
  </si>
  <si>
    <t>551145-250</t>
  </si>
  <si>
    <t>LNS2025021401079</t>
  </si>
  <si>
    <t>LNS2025021801279</t>
  </si>
  <si>
    <t>681345-400</t>
  </si>
  <si>
    <t>骏尔徕</t>
  </si>
  <si>
    <t>LNS2025021901298</t>
  </si>
  <si>
    <t>LNS2025022101420</t>
  </si>
  <si>
    <t>102025-500</t>
  </si>
  <si>
    <t>LNS2025022101452</t>
  </si>
  <si>
    <t>102040-800</t>
  </si>
  <si>
    <t>751429-250</t>
  </si>
  <si>
    <t>LNS2025022401586</t>
  </si>
  <si>
    <t>力浪都澜</t>
  </si>
  <si>
    <t>LNS2025022501633</t>
  </si>
  <si>
    <t>801350-500</t>
  </si>
  <si>
    <t>特力</t>
  </si>
  <si>
    <t>LNS2025022801823</t>
  </si>
  <si>
    <t>703048-1100</t>
  </si>
  <si>
    <t>402050-400</t>
  </si>
  <si>
    <t>522060-600</t>
  </si>
  <si>
    <t>401535-150</t>
  </si>
  <si>
    <t>901525-300</t>
  </si>
  <si>
    <t>1045-30</t>
  </si>
  <si>
    <t>VVS</t>
  </si>
  <si>
    <t>XK-T-2025-02-08-0004</t>
  </si>
  <si>
    <t>500909-35</t>
  </si>
  <si>
    <t>XK-T2025-02-12-0001</t>
  </si>
  <si>
    <t>XK-T-2025-2-13-0003</t>
  </si>
  <si>
    <t>XK-T-2025-02-13-0007</t>
  </si>
  <si>
    <t>XK-T-2025-02-18-0007</t>
  </si>
  <si>
    <t>XK-T-2025-02-17-0005</t>
  </si>
  <si>
    <t>XK-T-2025-02-19-0002</t>
  </si>
  <si>
    <t>喷码折角接线</t>
  </si>
  <si>
    <t>中旺</t>
  </si>
  <si>
    <t>XK-T-2025-02-20-0004</t>
  </si>
  <si>
    <t>折角加锡不喷码</t>
  </si>
  <si>
    <t>XK-T-2025-02-21-0007</t>
  </si>
  <si>
    <t>XK-T-2025-02-22-0007</t>
  </si>
  <si>
    <t>XK-T-2025-02-23-0006</t>
  </si>
  <si>
    <t>喷码接线</t>
  </si>
  <si>
    <t>XK-T-2025-02-24-0001</t>
  </si>
  <si>
    <t>双面折角加线</t>
  </si>
  <si>
    <t>XK-T-2025-02-24-0002</t>
  </si>
  <si>
    <t>XK-T-2025-05-25-0012</t>
  </si>
  <si>
    <t>XK-T-2025-02-25-0014</t>
  </si>
  <si>
    <t>XK-T-2025-02-26-0001</t>
  </si>
  <si>
    <t>喷折角加线</t>
  </si>
  <si>
    <t>XK-T-2025-02-27-0010</t>
  </si>
  <si>
    <t>XK-T-2025-02-28-0001</t>
  </si>
  <si>
    <t>追光豹</t>
  </si>
  <si>
    <t>501040-180</t>
  </si>
  <si>
    <t>众先</t>
  </si>
  <si>
    <t>锋立</t>
  </si>
  <si>
    <t>退回重检</t>
  </si>
  <si>
    <t>加板加线喷码</t>
  </si>
  <si>
    <t>501020-80</t>
  </si>
  <si>
    <t>莞瑞</t>
  </si>
  <si>
    <t>500940-170</t>
  </si>
  <si>
    <t>喷码折角加圆板</t>
  </si>
  <si>
    <t>东晟创达</t>
  </si>
  <si>
    <t>自供圆板</t>
  </si>
  <si>
    <t>701230-230</t>
  </si>
  <si>
    <t>成品</t>
  </si>
  <si>
    <t>喷码折角圆板</t>
  </si>
  <si>
    <t>自供圆板0.16</t>
  </si>
  <si>
    <t>道晟</t>
  </si>
  <si>
    <t>鑫博龙</t>
  </si>
  <si>
    <t>701435-300</t>
  </si>
  <si>
    <t>库存样品</t>
  </si>
  <si>
    <t>响当当</t>
  </si>
  <si>
    <t>喷码加线包全胶</t>
  </si>
  <si>
    <t>XY20250206001</t>
  </si>
  <si>
    <t>XY20250214007</t>
  </si>
  <si>
    <t>601045-250</t>
  </si>
  <si>
    <t>2.13已付款支付宝</t>
  </si>
  <si>
    <t>601230-180</t>
  </si>
  <si>
    <t>XY20250215002</t>
  </si>
  <si>
    <t>501035-150</t>
  </si>
  <si>
    <t>XY20250217001</t>
  </si>
  <si>
    <t>XY20250226004</t>
  </si>
  <si>
    <t>450945-180</t>
  </si>
  <si>
    <t>10-2025-02-0214</t>
  </si>
  <si>
    <t>901538-500</t>
  </si>
  <si>
    <t>802035-500</t>
  </si>
  <si>
    <t>10-2025-02-0295</t>
  </si>
  <si>
    <t>802030-450</t>
  </si>
  <si>
    <t>含税</t>
  </si>
  <si>
    <t>10-2025-02-0576</t>
  </si>
  <si>
    <t>502035-300</t>
  </si>
  <si>
    <t>威尔派</t>
  </si>
  <si>
    <t>WYD20250016691238</t>
  </si>
  <si>
    <t>602530-400</t>
  </si>
  <si>
    <t>602035-400</t>
  </si>
  <si>
    <t>代递代收</t>
  </si>
  <si>
    <t>WYD20250016691445</t>
  </si>
  <si>
    <t>402530-250</t>
  </si>
  <si>
    <t>宏达利</t>
  </si>
  <si>
    <t>WYD20250016691436</t>
  </si>
  <si>
    <t>902035-600</t>
  </si>
  <si>
    <t>昭晨</t>
  </si>
  <si>
    <t>WYD20250016691678</t>
  </si>
  <si>
    <t>702035-450</t>
  </si>
  <si>
    <t>WYD20250016691915</t>
  </si>
  <si>
    <t>603040-600</t>
  </si>
  <si>
    <t>601530-250</t>
  </si>
  <si>
    <t>鸿海通</t>
  </si>
  <si>
    <t>401020-60</t>
  </si>
  <si>
    <t>加板加线喷吧贴背胶</t>
  </si>
  <si>
    <t>深层互联</t>
  </si>
  <si>
    <t>自供精工板0.23</t>
  </si>
  <si>
    <t>601520-150</t>
  </si>
  <si>
    <t>加板加线喷码并联</t>
  </si>
  <si>
    <t>谷宁科技</t>
  </si>
  <si>
    <t>喷码加板加线并联</t>
  </si>
  <si>
    <t>0492865</t>
  </si>
  <si>
    <t>Innotech</t>
  </si>
  <si>
    <t>0492866</t>
  </si>
  <si>
    <t>路遥/拓 达</t>
  </si>
  <si>
    <t>0222281</t>
  </si>
  <si>
    <t>0222282</t>
  </si>
  <si>
    <t>0222283</t>
  </si>
  <si>
    <t>喷码折角加线贴背胶</t>
  </si>
  <si>
    <t>0222284</t>
  </si>
  <si>
    <t>0222285</t>
  </si>
  <si>
    <t>0222286</t>
  </si>
  <si>
    <t>索霸</t>
  </si>
  <si>
    <t>桔子智能</t>
  </si>
  <si>
    <t>0222293</t>
  </si>
  <si>
    <t>0222292</t>
  </si>
  <si>
    <t>0000364</t>
  </si>
  <si>
    <t>微众芯</t>
  </si>
  <si>
    <t>0000361</t>
  </si>
  <si>
    <t>艾尚微</t>
  </si>
  <si>
    <t>ASW-2025021302</t>
  </si>
  <si>
    <t>ASW-1535</t>
  </si>
  <si>
    <t>01-96202502110003</t>
  </si>
  <si>
    <t>XBL-0842</t>
  </si>
  <si>
    <t>新一州/华诚</t>
  </si>
  <si>
    <t>20250217-1</t>
  </si>
  <si>
    <t>18650-1200</t>
  </si>
  <si>
    <t>加板加端子线喷码</t>
  </si>
  <si>
    <t>小聚</t>
  </si>
  <si>
    <t>退回</t>
  </si>
  <si>
    <t>喷码折角加锡3C快充</t>
  </si>
  <si>
    <t>XY20250214003</t>
  </si>
  <si>
    <t>QYX20250217005</t>
  </si>
  <si>
    <t>QYX20250219005</t>
  </si>
  <si>
    <t>喷码加顶板加线</t>
  </si>
  <si>
    <t>自供板0.15</t>
  </si>
  <si>
    <t>QYX2025022005</t>
  </si>
  <si>
    <t>QYX20250221004</t>
  </si>
  <si>
    <t>QYX20250224007</t>
  </si>
  <si>
    <t>XYZD20250005</t>
  </si>
  <si>
    <t>LHX-0704</t>
  </si>
  <si>
    <t>点锡板</t>
  </si>
  <si>
    <t>XYZD-2335</t>
  </si>
  <si>
    <t>点焊精工板</t>
  </si>
  <si>
    <t>XYZD20250009</t>
  </si>
  <si>
    <t>XYZD-0704</t>
  </si>
  <si>
    <t>今科</t>
  </si>
  <si>
    <t>XYZD20250006</t>
  </si>
  <si>
    <t>XYZD-1643</t>
  </si>
  <si>
    <t>XYZD20250016</t>
  </si>
  <si>
    <t>XYZD20250018</t>
  </si>
  <si>
    <t>XYZD20250026</t>
  </si>
  <si>
    <t>精工板G3J+8205</t>
  </si>
  <si>
    <t>HH202502111</t>
  </si>
  <si>
    <t>103450-1800</t>
  </si>
  <si>
    <t>补数</t>
  </si>
  <si>
    <t>HH202502120</t>
  </si>
  <si>
    <t>华祺</t>
  </si>
  <si>
    <t>606090-4000</t>
  </si>
  <si>
    <t>HQ2025021303</t>
  </si>
  <si>
    <t>HQ2025021503</t>
  </si>
  <si>
    <t>HQ2025021903</t>
  </si>
  <si>
    <t>HQ2025022402</t>
  </si>
  <si>
    <t>HQ20250228011</t>
  </si>
  <si>
    <t>YY2025021202</t>
  </si>
  <si>
    <t>901535-450</t>
  </si>
  <si>
    <t>瑞尔声学</t>
  </si>
  <si>
    <t>YY2025021402</t>
  </si>
  <si>
    <t>YY2025021502</t>
  </si>
  <si>
    <t>禾康达</t>
  </si>
  <si>
    <t>YY2025021904</t>
  </si>
  <si>
    <t>YY2025022402</t>
  </si>
  <si>
    <t>YY2025022405</t>
  </si>
  <si>
    <t>602040-400</t>
  </si>
  <si>
    <t>2.15已付款20万</t>
  </si>
  <si>
    <t>YY2025022502</t>
  </si>
  <si>
    <t>YY2025022606</t>
  </si>
  <si>
    <t>YY2025022701</t>
  </si>
  <si>
    <t>YY2025022702</t>
  </si>
  <si>
    <t>退回实数48591</t>
  </si>
  <si>
    <t>MHXS003371</t>
  </si>
  <si>
    <t>YY2025022806</t>
  </si>
  <si>
    <t>YY2025022805</t>
  </si>
  <si>
    <t>牧森</t>
  </si>
  <si>
    <t>金鑫达</t>
  </si>
  <si>
    <t>0003301</t>
  </si>
  <si>
    <t>2.12对公已支付</t>
  </si>
  <si>
    <t>0003302</t>
  </si>
  <si>
    <t>B20250209Y01</t>
  </si>
  <si>
    <t>帕蕊德</t>
  </si>
  <si>
    <t>B20250211Y05</t>
  </si>
  <si>
    <t>400840-110</t>
  </si>
  <si>
    <t>B2025020015004</t>
  </si>
  <si>
    <t>B20250219Y05</t>
  </si>
  <si>
    <t>B2025020021004</t>
  </si>
  <si>
    <t>B20250222Y05</t>
  </si>
  <si>
    <t>B20250227Y04</t>
  </si>
  <si>
    <t>801435-400</t>
  </si>
  <si>
    <t>B202502028001</t>
  </si>
  <si>
    <t>901430-350</t>
  </si>
  <si>
    <t>海鸿鑫</t>
  </si>
  <si>
    <t>万弘</t>
  </si>
  <si>
    <t>XSCK-20250213-00001</t>
  </si>
  <si>
    <t>402030-200</t>
  </si>
  <si>
    <t>XSCK-20250217-00005</t>
  </si>
  <si>
    <t>802030-400</t>
  </si>
  <si>
    <t>XSCK-20250218-00003</t>
  </si>
  <si>
    <t>XSCK-20250220-00001</t>
  </si>
  <si>
    <t>XSCK-20250224-00001</t>
  </si>
  <si>
    <t>951530-400</t>
  </si>
  <si>
    <t>531130-180</t>
  </si>
  <si>
    <t>兴创</t>
  </si>
  <si>
    <t>0007102</t>
  </si>
  <si>
    <t>604050-1500</t>
  </si>
  <si>
    <t>诚诺</t>
  </si>
  <si>
    <t>0222288</t>
  </si>
  <si>
    <t>0222291</t>
  </si>
  <si>
    <t>0222294</t>
  </si>
  <si>
    <t>一二三</t>
  </si>
  <si>
    <t>华启</t>
  </si>
  <si>
    <t>HQ202502200006</t>
  </si>
  <si>
    <t>库存/禾康达</t>
  </si>
  <si>
    <t>HCY202412210001</t>
  </si>
  <si>
    <t>801738-500</t>
  </si>
  <si>
    <t>FH20250227004</t>
  </si>
  <si>
    <t>400*280*200</t>
  </si>
  <si>
    <t>迈科捷/库存</t>
  </si>
  <si>
    <t>FH20250228008</t>
  </si>
  <si>
    <t>400*280*190</t>
  </si>
  <si>
    <t>ASW-2025022703</t>
  </si>
  <si>
    <t>保护板</t>
  </si>
  <si>
    <t>铭汇</t>
  </si>
  <si>
    <t>501035-120</t>
  </si>
  <si>
    <t>3.3支付宝付款</t>
  </si>
  <si>
    <t>3M泡沫棉</t>
  </si>
  <si>
    <t>30*20*1双面3M棉</t>
  </si>
  <si>
    <t>银色标签</t>
  </si>
  <si>
    <t>15*10*0.1</t>
  </si>
  <si>
    <t>3M双面胶</t>
  </si>
  <si>
    <t>双面3M棉</t>
  </si>
  <si>
    <t>502040-400</t>
  </si>
  <si>
    <t>3M胶</t>
  </si>
  <si>
    <t>HQ20250301011</t>
  </si>
  <si>
    <t>HQ202503007</t>
  </si>
  <si>
    <t>903659-2500</t>
  </si>
  <si>
    <t>HQ202503085</t>
  </si>
  <si>
    <t>HQ2025030122</t>
  </si>
  <si>
    <t>HQ2025030271</t>
  </si>
  <si>
    <t>ZL20250030001</t>
  </si>
  <si>
    <t>102535-900</t>
  </si>
  <si>
    <t>巡美</t>
  </si>
  <si>
    <t>ZL20250030014</t>
  </si>
  <si>
    <t>ZL20250030036</t>
  </si>
  <si>
    <t>ZL20250030032</t>
  </si>
  <si>
    <t>ZL20250030042</t>
  </si>
  <si>
    <t>ZL20250030041</t>
  </si>
  <si>
    <t>802040-650</t>
  </si>
  <si>
    <t>ZL20250030052</t>
  </si>
  <si>
    <t>ZL20250030067</t>
  </si>
  <si>
    <t>龙浮翔</t>
  </si>
  <si>
    <t>ZL20250030086</t>
  </si>
  <si>
    <t>ZL20250030103</t>
  </si>
  <si>
    <t>亿芯禾/库存</t>
  </si>
  <si>
    <t>ZL20250030126</t>
  </si>
  <si>
    <t>ZL20250030130</t>
  </si>
  <si>
    <t>ZL20250030137</t>
  </si>
  <si>
    <t>102540-1100</t>
  </si>
  <si>
    <t>金威航</t>
  </si>
  <si>
    <t>ZL20250030188</t>
  </si>
  <si>
    <t>QYX20250301004</t>
  </si>
  <si>
    <t>QYX20250303003</t>
  </si>
  <si>
    <t>QYX20250305004</t>
  </si>
  <si>
    <t>QYX20250317001</t>
  </si>
  <si>
    <t>QYX20250325005</t>
  </si>
  <si>
    <t>QYX20250327005</t>
  </si>
  <si>
    <t>QYX20250328004</t>
  </si>
  <si>
    <t>QYX20250331006</t>
  </si>
  <si>
    <t>XOUT010506</t>
  </si>
  <si>
    <t>502020-200</t>
  </si>
  <si>
    <t>400835-120</t>
  </si>
  <si>
    <t>金威彭</t>
  </si>
  <si>
    <t>XOUT010534</t>
  </si>
  <si>
    <t>XOUT010657</t>
  </si>
  <si>
    <t>声特纳/库存</t>
  </si>
  <si>
    <t>YY2025030101</t>
  </si>
  <si>
    <t>YY2025030401</t>
  </si>
  <si>
    <t>YY2025030402</t>
  </si>
  <si>
    <t>YY2025030501</t>
  </si>
  <si>
    <t>YY2025030502</t>
  </si>
  <si>
    <t>702030-430</t>
  </si>
  <si>
    <t>YY2025030601</t>
  </si>
  <si>
    <t>YY2025030705</t>
  </si>
  <si>
    <t>YY2025031803</t>
  </si>
  <si>
    <t>802540-800</t>
  </si>
  <si>
    <t>SY20250308</t>
  </si>
  <si>
    <t>YY2025032403</t>
  </si>
  <si>
    <t>XK-T-2025-03-01-0011</t>
  </si>
  <si>
    <t>400908-24</t>
  </si>
  <si>
    <t>XK-T-2025-03-01-0008</t>
  </si>
  <si>
    <t>XK-T-2025-03-01-0010</t>
  </si>
  <si>
    <t>XK-T-2025-03-02-0002</t>
  </si>
  <si>
    <t>XK-T-2025-03-04-0007</t>
  </si>
  <si>
    <t>XK-T-2025-03-05-0002</t>
  </si>
  <si>
    <t>罗希</t>
  </si>
  <si>
    <t>XK-T-2025-03-06-0004</t>
  </si>
  <si>
    <t>XK-T-2025-03-07-0003</t>
  </si>
  <si>
    <t>潮芯</t>
  </si>
  <si>
    <t>401015-40</t>
  </si>
  <si>
    <t>华讯隆</t>
  </si>
  <si>
    <t>XK-T-2025-03-07-0011</t>
  </si>
  <si>
    <t>XK-T-2025-03-08-0001</t>
  </si>
  <si>
    <t>南美国家魏生</t>
  </si>
  <si>
    <t>XK-T-2025-03-10-0003</t>
  </si>
  <si>
    <t>蝉音</t>
  </si>
  <si>
    <t>XK-T-2025-03-11-0010</t>
  </si>
  <si>
    <t>XK-T-2025-03-12-0002</t>
  </si>
  <si>
    <t>折角加线不喷码</t>
  </si>
  <si>
    <t>兆日</t>
  </si>
  <si>
    <t>XK-T-2025-03-12-0003</t>
  </si>
  <si>
    <t>XK-T-2025-03-13-0005</t>
  </si>
  <si>
    <t>XK-T-2025-03-14-0002</t>
  </si>
  <si>
    <t>XK-T-2025-03-16-0002</t>
  </si>
  <si>
    <t>双面喷码接线</t>
  </si>
  <si>
    <t>XK-T-2025-03-18-0006</t>
  </si>
  <si>
    <t>贝尔</t>
  </si>
  <si>
    <t>XK-T-2025-03-20-0005</t>
  </si>
  <si>
    <t>喷码折角加锡背面贴标签</t>
  </si>
  <si>
    <t>万为</t>
  </si>
  <si>
    <t>XK-T-2025-03-21-0008</t>
  </si>
  <si>
    <t>XK-T-2025-03-22-0004</t>
  </si>
  <si>
    <t>400808-24</t>
  </si>
  <si>
    <t>XK-T-2025-03-22-0007</t>
  </si>
  <si>
    <t>XK-T-2025-03-23-0005</t>
  </si>
  <si>
    <t>XK-T-2025-03-24-0004</t>
  </si>
  <si>
    <t>XK-T-2025-03-25-0004</t>
  </si>
  <si>
    <t>XK-T-2025-03-27-0001</t>
  </si>
  <si>
    <t>中特</t>
  </si>
  <si>
    <t>XK-T-2025-03-28-0007</t>
  </si>
  <si>
    <t>XK-T-2025-03-26-0011</t>
  </si>
  <si>
    <t>XK-T-2025-03-30-0001</t>
  </si>
  <si>
    <t>双面接线喷码</t>
  </si>
  <si>
    <t>XK-T-20258-03-30-0002</t>
  </si>
  <si>
    <t>班澜</t>
  </si>
  <si>
    <t>XK-T-2025-03-31-0001</t>
  </si>
  <si>
    <t>乐产声</t>
  </si>
  <si>
    <t>0492868</t>
  </si>
  <si>
    <t>6YB</t>
  </si>
  <si>
    <t>点焊圆板</t>
  </si>
  <si>
    <t>ZXD-6770</t>
  </si>
  <si>
    <t>XYZD-8440</t>
  </si>
  <si>
    <t>XYZD-1040</t>
  </si>
  <si>
    <t>ZXD-2035-26T</t>
  </si>
  <si>
    <t>NTC 10K 点焊板</t>
  </si>
  <si>
    <t>ZXD-1532-16-T2</t>
  </si>
  <si>
    <t>XYZD-2433</t>
  </si>
  <si>
    <t>NTC 10K  10K</t>
  </si>
  <si>
    <t>502020-150</t>
  </si>
  <si>
    <t>20250321-12</t>
  </si>
  <si>
    <t>450833-105</t>
  </si>
  <si>
    <t>B20250030013001</t>
  </si>
  <si>
    <t>751535-400</t>
  </si>
  <si>
    <t>库存/誉阳</t>
  </si>
  <si>
    <t>B202503021J002</t>
  </si>
  <si>
    <t>551240-230</t>
  </si>
  <si>
    <t>鑫鸿海</t>
  </si>
  <si>
    <t>B202503026J002</t>
  </si>
  <si>
    <t>501030-110</t>
  </si>
  <si>
    <t>喷码加精板加线</t>
  </si>
  <si>
    <t>自精板0.25</t>
  </si>
  <si>
    <t>WYD20250016692078</t>
  </si>
  <si>
    <t>602045-500</t>
  </si>
  <si>
    <t>WYD20250016692012</t>
  </si>
  <si>
    <t>WYD20250016692051</t>
  </si>
  <si>
    <t>WYD20250016692133</t>
  </si>
  <si>
    <t>503048-750</t>
  </si>
  <si>
    <t>WYD20250016692213</t>
  </si>
  <si>
    <t>503040-500</t>
  </si>
  <si>
    <t>WYD20250016692376</t>
  </si>
  <si>
    <t>WYD20250016692441</t>
  </si>
  <si>
    <t>582728-400</t>
  </si>
  <si>
    <t>WYD20250016692442</t>
  </si>
  <si>
    <t>已付款</t>
  </si>
  <si>
    <t>WYD20250016692542</t>
  </si>
  <si>
    <t>WYD20250016692673</t>
  </si>
  <si>
    <t>迈科捷认证</t>
  </si>
  <si>
    <t>WYD20250016692725</t>
  </si>
  <si>
    <t>WYD20250016692786</t>
  </si>
  <si>
    <t>701429-300</t>
  </si>
  <si>
    <t>WYD20250016692858</t>
  </si>
  <si>
    <t>401030-90</t>
  </si>
  <si>
    <t>WYD20250016693078</t>
  </si>
  <si>
    <t>LNS2025030101866</t>
  </si>
  <si>
    <t>LNS2025030401989</t>
  </si>
  <si>
    <t>801520-200</t>
  </si>
  <si>
    <t>LNS2025030702162</t>
  </si>
  <si>
    <t>3.14已付款</t>
  </si>
  <si>
    <t>LNS2025030802221</t>
  </si>
  <si>
    <t>LNS2025030802257</t>
  </si>
  <si>
    <t>402248-400</t>
  </si>
  <si>
    <t>LNS2025031902780</t>
  </si>
  <si>
    <t>751429-300</t>
  </si>
  <si>
    <t>LNS2025032002825</t>
  </si>
  <si>
    <t>LNS2025032102917</t>
  </si>
  <si>
    <t>603442-900</t>
  </si>
  <si>
    <t>LNS2025032603171</t>
  </si>
  <si>
    <t>401220-80</t>
  </si>
  <si>
    <t>NS2025032603163</t>
  </si>
  <si>
    <t>803035-800</t>
  </si>
  <si>
    <t>701525-240</t>
  </si>
  <si>
    <t>581013-50</t>
  </si>
  <si>
    <t>现金已付款</t>
  </si>
  <si>
    <t>401515-65</t>
  </si>
  <si>
    <t>喷码加板加线贴背胶</t>
  </si>
  <si>
    <t>盛瑞隆</t>
  </si>
  <si>
    <t>新潮</t>
  </si>
  <si>
    <t>601220-120</t>
  </si>
  <si>
    <t>751525-250</t>
  </si>
  <si>
    <t>551215-70</t>
  </si>
  <si>
    <t>谷宁</t>
  </si>
  <si>
    <t>喷码加线倒角</t>
  </si>
  <si>
    <t>略汇恩</t>
  </si>
  <si>
    <t>明晰</t>
  </si>
  <si>
    <t>微众欣</t>
  </si>
  <si>
    <t>0000376</t>
  </si>
  <si>
    <t>0000378</t>
  </si>
  <si>
    <t>0000380</t>
  </si>
  <si>
    <t>永浚</t>
  </si>
  <si>
    <t>0000381</t>
  </si>
  <si>
    <t>0000387</t>
  </si>
  <si>
    <t>0000393</t>
  </si>
  <si>
    <t>701433-300</t>
  </si>
  <si>
    <t>400930-80</t>
  </si>
  <si>
    <t>401020-55</t>
  </si>
  <si>
    <t>加板加线不喷码</t>
  </si>
  <si>
    <t>500940-180</t>
  </si>
  <si>
    <t>350824-50</t>
  </si>
  <si>
    <t>美纳声</t>
  </si>
  <si>
    <t>501440-280</t>
  </si>
  <si>
    <t>501525-150</t>
  </si>
  <si>
    <t>折角加线三道胶</t>
  </si>
  <si>
    <t>喷码 折角加线</t>
  </si>
  <si>
    <t>华屹</t>
  </si>
  <si>
    <t>501440-300</t>
  </si>
  <si>
    <t>华磊/库存</t>
  </si>
  <si>
    <t>自 供圆板0.17</t>
  </si>
  <si>
    <t>拓达路遥</t>
  </si>
  <si>
    <t>0121362</t>
  </si>
  <si>
    <t>0121365</t>
  </si>
  <si>
    <t>QYX20250308005</t>
  </si>
  <si>
    <t>B20250060002</t>
  </si>
  <si>
    <t>B20250070005</t>
  </si>
  <si>
    <t>B20250311Y05</t>
  </si>
  <si>
    <t>751535-380</t>
  </si>
  <si>
    <t>B20250324Y05</t>
  </si>
  <si>
    <t>B20250327Y08</t>
  </si>
  <si>
    <t>601225-160</t>
  </si>
  <si>
    <t>折角加顶板加线喷码</t>
  </si>
  <si>
    <t>XYZD20250032</t>
  </si>
  <si>
    <t>XYZD20250038</t>
  </si>
  <si>
    <t>XYZD20250039</t>
  </si>
  <si>
    <t>精工G3J +8205  NTC 10K 3950B值</t>
  </si>
  <si>
    <t>XYZD20250043</t>
  </si>
  <si>
    <t>精工板+8205</t>
  </si>
  <si>
    <t>XYZD20250047</t>
  </si>
  <si>
    <t>XYZD-1635</t>
  </si>
  <si>
    <t>NTC 100K 点焊板</t>
  </si>
  <si>
    <t>远航</t>
  </si>
  <si>
    <t>XYZD20250054</t>
  </si>
  <si>
    <t>XYZD20250053</t>
  </si>
  <si>
    <t>双MOS点焊板</t>
  </si>
  <si>
    <t>XYZD20250063</t>
  </si>
  <si>
    <t>天启/宝利</t>
  </si>
  <si>
    <t>XYZD20250066</t>
  </si>
  <si>
    <t>XYZD20250070</t>
  </si>
  <si>
    <t>XYZD-1635NTC 100K 3950B值</t>
  </si>
  <si>
    <t>发湖北随州5K,明辉5K</t>
  </si>
  <si>
    <t>XYZD20250076</t>
  </si>
  <si>
    <t>XYZD20250078</t>
  </si>
  <si>
    <t>XYZD20250079</t>
  </si>
  <si>
    <t>XYZD-1040-A</t>
  </si>
  <si>
    <t>XYZD20250084</t>
  </si>
  <si>
    <t>XYZD-2335NTC  100K</t>
  </si>
  <si>
    <t>0121363</t>
  </si>
  <si>
    <t>0121364</t>
  </si>
  <si>
    <t>0121367</t>
  </si>
  <si>
    <t>潮超</t>
  </si>
  <si>
    <t>0121261</t>
  </si>
  <si>
    <t>0121262</t>
  </si>
  <si>
    <t>凯晟</t>
  </si>
  <si>
    <t>三聚新</t>
  </si>
  <si>
    <t>HY202403260001</t>
  </si>
  <si>
    <t>502020-180</t>
  </si>
  <si>
    <t>1040加锡</t>
  </si>
  <si>
    <t>3.12微信付款</t>
  </si>
  <si>
    <t>FH20250312009</t>
  </si>
  <si>
    <t>FH20250317008</t>
  </si>
  <si>
    <t>370*280*300</t>
  </si>
  <si>
    <t>400*280*170</t>
  </si>
  <si>
    <t>350*260*180</t>
  </si>
  <si>
    <t>400*280*150</t>
  </si>
  <si>
    <t>FH20250328010</t>
  </si>
  <si>
    <t>昕皓</t>
  </si>
  <si>
    <t>0001706</t>
  </si>
  <si>
    <t>902040-700</t>
  </si>
  <si>
    <t>吸塑</t>
  </si>
  <si>
    <t>铭丰</t>
  </si>
  <si>
    <t>0003753</t>
  </si>
  <si>
    <t>ASW-2025030701</t>
  </si>
  <si>
    <t>ASW-1535-4R</t>
  </si>
  <si>
    <t>0003303</t>
  </si>
  <si>
    <t>力浪/库存</t>
  </si>
  <si>
    <t>HH202503270</t>
  </si>
  <si>
    <t>合盈</t>
  </si>
  <si>
    <t>HY20250317001</t>
  </si>
  <si>
    <t>HY-1835</t>
  </si>
  <si>
    <t>HY-3516</t>
  </si>
  <si>
    <t>XY20250316003</t>
  </si>
  <si>
    <t>452555-500</t>
  </si>
  <si>
    <t>自供NTC 板0.25</t>
  </si>
  <si>
    <t>XY20250321003</t>
  </si>
  <si>
    <t>喷码加线贴背胶</t>
  </si>
  <si>
    <t>XY20250326003</t>
  </si>
  <si>
    <t>XY20250328005</t>
  </si>
  <si>
    <t>喷码电芯</t>
  </si>
  <si>
    <t>锂科</t>
  </si>
  <si>
    <t>LK202503019</t>
  </si>
  <si>
    <t>18450-1300</t>
  </si>
  <si>
    <t>3.17已付款</t>
  </si>
  <si>
    <t>10-2025-03-0612</t>
  </si>
  <si>
    <t>10-2025-03-0853</t>
  </si>
  <si>
    <t>10-2025-03-1158</t>
  </si>
  <si>
    <t>603048-900</t>
  </si>
  <si>
    <t>10-2025-03-1044</t>
  </si>
  <si>
    <t>10-2025-03-1033</t>
  </si>
  <si>
    <t>10-2025-03-1420</t>
  </si>
  <si>
    <t>01-96202503130006</t>
  </si>
  <si>
    <t>XBL-2337</t>
  </si>
  <si>
    <t>艾瑞吉/库存</t>
  </si>
  <si>
    <t>01-96202503150008</t>
  </si>
  <si>
    <t>0002498</t>
  </si>
  <si>
    <t>HQ202503070006</t>
  </si>
  <si>
    <t>成鸿业/亿欧</t>
  </si>
  <si>
    <t>XSCK-20250321-00031</t>
  </si>
  <si>
    <t>XSCK-20250329-00032</t>
  </si>
  <si>
    <t>洪瑞达</t>
  </si>
  <si>
    <t>450911-30</t>
  </si>
  <si>
    <t>力进</t>
  </si>
  <si>
    <t>折角加锡</t>
  </si>
  <si>
    <t>待补单</t>
  </si>
  <si>
    <t>华诚/新一洲</t>
  </si>
  <si>
    <t>20250325-1</t>
  </si>
  <si>
    <t>903030-750</t>
  </si>
  <si>
    <t>鑫智信</t>
  </si>
  <si>
    <t>20250327-1</t>
  </si>
  <si>
    <t>20250328-1</t>
  </si>
  <si>
    <t>18650-1500</t>
  </si>
  <si>
    <t>18650-1800</t>
  </si>
  <si>
    <t>MHXS003447</t>
  </si>
  <si>
    <t>3.27已付款</t>
  </si>
  <si>
    <t>开明</t>
  </si>
  <si>
    <t>KM20250301</t>
  </si>
  <si>
    <t>881430-360</t>
  </si>
  <si>
    <t>3.24已付款</t>
  </si>
  <si>
    <t>鑫大海</t>
  </si>
  <si>
    <t>603048-1000</t>
  </si>
  <si>
    <t>聚友</t>
  </si>
  <si>
    <t>XS202503310001</t>
  </si>
  <si>
    <t>645464-3000</t>
  </si>
  <si>
    <t>天启样品</t>
  </si>
  <si>
    <t>聚芯</t>
  </si>
  <si>
    <t>JX2025032903</t>
  </si>
  <si>
    <t>力浪/迈科捷</t>
  </si>
  <si>
    <t>JX2025032302</t>
  </si>
  <si>
    <t>0492870</t>
  </si>
  <si>
    <t>15*12*6</t>
  </si>
  <si>
    <t>双面EVA泡棉</t>
  </si>
  <si>
    <t>33*22</t>
  </si>
  <si>
    <t>透明标</t>
  </si>
  <si>
    <t>15*15*0.5</t>
  </si>
  <si>
    <t>8*22</t>
  </si>
  <si>
    <t>双面胶</t>
  </si>
  <si>
    <t>SS-2025-04-00135</t>
  </si>
  <si>
    <t>655063-3000</t>
  </si>
  <si>
    <t>康鸿</t>
  </si>
  <si>
    <t>HH202504336</t>
  </si>
  <si>
    <t>1260110-10000</t>
  </si>
  <si>
    <t>万润达</t>
  </si>
  <si>
    <t>WRD2025040001</t>
  </si>
  <si>
    <t>WRD-7540T-10K 3950B值</t>
  </si>
  <si>
    <t>隼龙/库存</t>
  </si>
  <si>
    <t>WRD2025040002</t>
  </si>
  <si>
    <t>WRD2025040003</t>
  </si>
  <si>
    <t>发明辉</t>
  </si>
  <si>
    <t>HQ2025040021</t>
  </si>
  <si>
    <t>HQ20250401335</t>
  </si>
  <si>
    <t>HQ20250401355</t>
  </si>
  <si>
    <t>HQ20250401362</t>
  </si>
  <si>
    <t>505060-2000</t>
  </si>
  <si>
    <t>HQ20250401363</t>
  </si>
  <si>
    <t>505573-2500</t>
  </si>
  <si>
    <t>参展样品</t>
  </si>
  <si>
    <t>974058-3000</t>
  </si>
  <si>
    <t>114065-4000</t>
  </si>
  <si>
    <t>955465-5000</t>
  </si>
  <si>
    <t>126090-8000</t>
  </si>
  <si>
    <t>HQ20250401386</t>
  </si>
  <si>
    <t>曾小姐</t>
  </si>
  <si>
    <t>HQ20250429007</t>
  </si>
  <si>
    <t>WYD20250016693192</t>
  </si>
  <si>
    <t>WYD20250016693272</t>
  </si>
  <si>
    <t>WYD20250016693323</t>
  </si>
  <si>
    <t>WYD20250016694368</t>
  </si>
  <si>
    <t>WYD20250016693546</t>
  </si>
  <si>
    <t>601220-110</t>
  </si>
  <si>
    <t>WYD20250016693619</t>
  </si>
  <si>
    <t>WYD20250016693837</t>
  </si>
  <si>
    <t>602560-1000</t>
  </si>
  <si>
    <t>WYD20250016693866</t>
  </si>
  <si>
    <t>WYD20250016693922</t>
  </si>
  <si>
    <t>WYD20250016694046</t>
  </si>
  <si>
    <t>博莱得</t>
  </si>
  <si>
    <t>WYD20250016694157</t>
  </si>
  <si>
    <t>WYD20250016694262</t>
  </si>
  <si>
    <t>LNS2025040203569</t>
  </si>
  <si>
    <t>LNS2025040303591</t>
  </si>
  <si>
    <t>LNS2025040603640</t>
  </si>
  <si>
    <t>102550-1500</t>
  </si>
  <si>
    <t>LNS2025040703701</t>
  </si>
  <si>
    <t>450840-120</t>
  </si>
  <si>
    <t>隼龙</t>
  </si>
  <si>
    <t>LNS2025040903833</t>
  </si>
  <si>
    <t>LNS2025041103927</t>
  </si>
  <si>
    <t>LNS2025041404065</t>
  </si>
  <si>
    <t>LNS20250414054</t>
  </si>
  <si>
    <t>乾源</t>
  </si>
  <si>
    <t>LNS2025041704259</t>
  </si>
  <si>
    <t>LNS2025041704245</t>
  </si>
  <si>
    <t>中扬</t>
  </si>
  <si>
    <t>LNS2025041704263</t>
  </si>
  <si>
    <t>501430-180</t>
  </si>
  <si>
    <t>LNS2025042304556</t>
  </si>
  <si>
    <t>LNS2025042404567</t>
  </si>
  <si>
    <t>能匠</t>
  </si>
  <si>
    <t>35090-20</t>
  </si>
  <si>
    <t>加顶板加线喷码</t>
  </si>
  <si>
    <t>401020-80</t>
  </si>
  <si>
    <t>KM20250401</t>
  </si>
  <si>
    <t>KM20250402</t>
  </si>
  <si>
    <t>601030-150</t>
  </si>
  <si>
    <t>路遥/拓达</t>
  </si>
  <si>
    <t>YY2025040101</t>
  </si>
  <si>
    <t>卡乔/喜悦</t>
  </si>
  <si>
    <t>YY2025040202</t>
  </si>
  <si>
    <t>YY2025040201</t>
  </si>
  <si>
    <t>YY2025040901</t>
  </si>
  <si>
    <t>YY2025041801</t>
  </si>
  <si>
    <t>YY2025043001</t>
  </si>
  <si>
    <t>双面喷码加板</t>
  </si>
  <si>
    <t>华玟</t>
  </si>
  <si>
    <t>退回返工</t>
  </si>
  <si>
    <t>双 面喷码弯角加锡</t>
  </si>
  <si>
    <t>海波龙</t>
  </si>
  <si>
    <t>嘉华利</t>
  </si>
  <si>
    <t>自供圆板0.17</t>
  </si>
  <si>
    <t>霍尔</t>
  </si>
  <si>
    <t>折角加锡标签</t>
  </si>
  <si>
    <t>XK-T-2025-4-01-0003</t>
  </si>
  <si>
    <t>XK-T-2025-4-01-0008</t>
  </si>
  <si>
    <t>601013-60</t>
  </si>
  <si>
    <t>XK-T-2025-4-02-0011</t>
  </si>
  <si>
    <t>XK-T-2025-04-02-0010</t>
  </si>
  <si>
    <t>XK-T-2025-04-03-0005</t>
  </si>
  <si>
    <t>XK-T-2025-04-07-0002</t>
  </si>
  <si>
    <t>601015-50</t>
  </si>
  <si>
    <t>XK-T-2025-4-08-0005</t>
  </si>
  <si>
    <t>XK-T-2025-04-09-0003</t>
  </si>
  <si>
    <t>XK-T-2025-10-0012</t>
  </si>
  <si>
    <t>XK-T-2025-04-10-0012</t>
  </si>
  <si>
    <t>XK-T-2025-04-11-0005</t>
  </si>
  <si>
    <t>贝耳</t>
  </si>
  <si>
    <t>XK-T-2025-04-12-0006</t>
  </si>
  <si>
    <t>XK-T-2025-04-12-0002</t>
  </si>
  <si>
    <t>XK-T-2025-04-13-0002</t>
  </si>
  <si>
    <t>XK-T-2025-04-15-0009</t>
  </si>
  <si>
    <t>XK-T-2025-04-15-0006</t>
  </si>
  <si>
    <t>XK-T-2025-04-16-0004</t>
  </si>
  <si>
    <t>乐音</t>
  </si>
  <si>
    <t>XK-T-2025-14-17-0001</t>
  </si>
  <si>
    <t>XK-T-2025-14-18-0001</t>
  </si>
  <si>
    <t>XK-T-2025-04-19-0007</t>
  </si>
  <si>
    <t>XK-T-2025-04-21-0004</t>
  </si>
  <si>
    <t>XK-T-2025-04-21-0006</t>
  </si>
  <si>
    <t>XK-T-2025-0423-0006</t>
  </si>
  <si>
    <t>XK-T-2025-04-22-0007</t>
  </si>
  <si>
    <t>XK-T-2025-04-24-0004</t>
  </si>
  <si>
    <t>XK-T-2025-04-25-0003</t>
  </si>
  <si>
    <t>XK-T-2025-04-26-0005</t>
  </si>
  <si>
    <t>XK-T-2025-04-27-0008</t>
  </si>
  <si>
    <t>XK-T-2025-04-28-0004</t>
  </si>
  <si>
    <t>折角接线喷码</t>
  </si>
  <si>
    <t>XK-T-2025-04-28-0008</t>
  </si>
  <si>
    <t>XK-T-2025-04-29-0006</t>
  </si>
  <si>
    <t>XK-T-2025-04-30-0006</t>
  </si>
  <si>
    <t>JX2025040501</t>
  </si>
  <si>
    <t>JX2025040502</t>
  </si>
  <si>
    <t>70250-400</t>
  </si>
  <si>
    <t>JX2025042102</t>
  </si>
  <si>
    <t>0052907</t>
  </si>
  <si>
    <t>IS1007-A</t>
  </si>
  <si>
    <t>0000398</t>
  </si>
  <si>
    <t>B20250402Y05</t>
  </si>
  <si>
    <t>B20250408J004</t>
  </si>
  <si>
    <t>B20250407J002</t>
  </si>
  <si>
    <t>602060-800</t>
  </si>
  <si>
    <t>B20250413Y06</t>
  </si>
  <si>
    <t>401225-90</t>
  </si>
  <si>
    <t>B20250418Y08</t>
  </si>
  <si>
    <t>B20250418J003</t>
  </si>
  <si>
    <t>喜悦</t>
  </si>
  <si>
    <t>B20250421Y09</t>
  </si>
  <si>
    <t>B20250424Y06</t>
  </si>
  <si>
    <t>B20250427Y09</t>
  </si>
  <si>
    <t>B20250429Y05</t>
  </si>
  <si>
    <t>B20250430Y03</t>
  </si>
  <si>
    <t>20250330400001</t>
  </si>
  <si>
    <t>QYX20250408009</t>
  </si>
  <si>
    <t>QYX20250410007</t>
  </si>
  <si>
    <t>QYX20250421008</t>
  </si>
  <si>
    <t>QYX20250423001</t>
  </si>
  <si>
    <t>义忠</t>
  </si>
  <si>
    <t>ZL20250040009</t>
  </si>
  <si>
    <t>802535-700</t>
  </si>
  <si>
    <t>ZL202500400032</t>
  </si>
  <si>
    <t>预筑/移文</t>
  </si>
  <si>
    <t>ZL20250040050</t>
  </si>
  <si>
    <t>ZL20250040054</t>
  </si>
  <si>
    <t>ZL20250040083</t>
  </si>
  <si>
    <t>嘉利华</t>
  </si>
  <si>
    <t>ZL20250040087</t>
  </si>
  <si>
    <t>ZL20250040104</t>
  </si>
  <si>
    <t>ZL20250040107</t>
  </si>
  <si>
    <t>551013-55</t>
  </si>
  <si>
    <t>卓唛</t>
  </si>
  <si>
    <t>HQ2025040058</t>
  </si>
  <si>
    <t>HQ2025040083</t>
  </si>
  <si>
    <t>HQ20250426004</t>
  </si>
  <si>
    <t>XSCK-20250407-00024</t>
  </si>
  <si>
    <t>XSCK-20250417-00097</t>
  </si>
  <si>
    <t>501515-80</t>
  </si>
  <si>
    <t>XSCK-20250415-00068</t>
  </si>
  <si>
    <t>含税当月结</t>
  </si>
  <si>
    <t>ZXD-JHY-6535</t>
  </si>
  <si>
    <t>代发湖北永富</t>
  </si>
  <si>
    <t>ZXD-1532NTC 100K-16-T2</t>
  </si>
  <si>
    <t>ZXD-1432</t>
  </si>
  <si>
    <t>XYZD-8440-抄板</t>
  </si>
  <si>
    <t>XYZD-1040新板</t>
  </si>
  <si>
    <t>XYZD-1532抄板</t>
  </si>
  <si>
    <t>XYZD-844抄板</t>
  </si>
  <si>
    <t>XYZD-6770</t>
  </si>
  <si>
    <t>XYZD20250088</t>
  </si>
  <si>
    <t>XYZD-2335 NTC 100K</t>
  </si>
  <si>
    <t>XYZD20250091</t>
  </si>
  <si>
    <t>XYZD-1635 NTC 100K</t>
  </si>
  <si>
    <t>XYZD20250098</t>
  </si>
  <si>
    <t>XYZD20250101</t>
  </si>
  <si>
    <t>XYZD20250103</t>
  </si>
  <si>
    <t>XYZD20250106</t>
  </si>
  <si>
    <t>XYZD-8450 NTC  10K</t>
  </si>
  <si>
    <t>LHX-1040 NTC 100K</t>
  </si>
  <si>
    <t>XYZD20250107</t>
  </si>
  <si>
    <t>XYZD20250112</t>
  </si>
  <si>
    <t>XYZD20250113</t>
  </si>
  <si>
    <t>XYZD20250202</t>
  </si>
  <si>
    <t>XYZD20250205</t>
  </si>
  <si>
    <t>XYZD-1635 NTC 100K 3435</t>
  </si>
  <si>
    <t>XYZD20250210</t>
  </si>
  <si>
    <t>XYZD20250212</t>
  </si>
  <si>
    <t>XYZD20250213</t>
  </si>
  <si>
    <t>LHX-4238</t>
  </si>
  <si>
    <t>XYZD20250217</t>
  </si>
  <si>
    <t>XYZD-2335 NTC 10K</t>
  </si>
  <si>
    <t>XYZD20250223</t>
  </si>
  <si>
    <t>0000401</t>
  </si>
  <si>
    <t>430911-28喷401012</t>
  </si>
  <si>
    <t>QYX20250416007</t>
  </si>
  <si>
    <t>华诚/兴一洲</t>
  </si>
  <si>
    <t>20250412-1</t>
  </si>
  <si>
    <t>加板端子线喷码并联</t>
  </si>
  <si>
    <t>18650-2200</t>
  </si>
  <si>
    <t>接端子线喷码</t>
  </si>
  <si>
    <t>18650-2000</t>
  </si>
  <si>
    <t>18650-2600</t>
  </si>
  <si>
    <t>端子线喷码</t>
  </si>
  <si>
    <t>202504029-1</t>
  </si>
  <si>
    <t>10-2025-04-0282</t>
  </si>
  <si>
    <t>宝利</t>
  </si>
  <si>
    <t>10-2025-04-0458</t>
  </si>
  <si>
    <t>902540-950</t>
  </si>
  <si>
    <t>10-2025-04-0690</t>
  </si>
  <si>
    <t>10-2025-04-0960</t>
  </si>
  <si>
    <t>402060-500</t>
  </si>
  <si>
    <t>10-2025-04-0984</t>
  </si>
  <si>
    <t>MHXS003527</t>
  </si>
  <si>
    <t>MHXS003538</t>
  </si>
  <si>
    <t>ASW-2025040803</t>
  </si>
  <si>
    <t>ASW-2025041103</t>
  </si>
  <si>
    <t>ASW-0804</t>
  </si>
  <si>
    <t>0052989</t>
  </si>
  <si>
    <t>0121263</t>
  </si>
  <si>
    <t>诚佳运</t>
  </si>
  <si>
    <t>1040-35</t>
  </si>
  <si>
    <t>加线</t>
  </si>
  <si>
    <t>天永利升</t>
  </si>
  <si>
    <t>铁氟龙</t>
  </si>
  <si>
    <t>现金</t>
  </si>
  <si>
    <t>快递费</t>
  </si>
  <si>
    <t>20250415-1</t>
  </si>
  <si>
    <t>601020-100</t>
  </si>
  <si>
    <t>喷码加精工板加线</t>
  </si>
  <si>
    <t>501520-120</t>
  </si>
  <si>
    <t>小柒微品</t>
  </si>
  <si>
    <t>FH20250414009</t>
  </si>
  <si>
    <t>FH20250421007</t>
  </si>
  <si>
    <t>390*310*120</t>
  </si>
  <si>
    <t>FH20250428012</t>
  </si>
  <si>
    <t>0004204</t>
  </si>
  <si>
    <t>0037059</t>
  </si>
  <si>
    <t>701235-400</t>
  </si>
  <si>
    <t>4.26付款</t>
  </si>
  <si>
    <t>XY20250424003</t>
  </si>
  <si>
    <t>XY20250425004</t>
  </si>
  <si>
    <t>折角加线</t>
  </si>
  <si>
    <t>4.27已付现金</t>
  </si>
  <si>
    <t>XSCK-20250422-00004</t>
  </si>
  <si>
    <t>JX2025042603</t>
  </si>
  <si>
    <t>701250-400</t>
  </si>
  <si>
    <t>标签  25*8</t>
  </si>
  <si>
    <t>303035-300</t>
  </si>
  <si>
    <t>3M背胶 28*26</t>
  </si>
  <si>
    <t>3M背胶</t>
  </si>
  <si>
    <t>15*20*0.1</t>
  </si>
  <si>
    <t>3M双面泡沫棉胶</t>
  </si>
  <si>
    <t>25*10*0.5</t>
  </si>
  <si>
    <t>25*40*0.01</t>
  </si>
  <si>
    <t>15*15*0.5 泡棉胶</t>
  </si>
  <si>
    <t>601230-190</t>
  </si>
  <si>
    <t>22*8 3M胶</t>
  </si>
  <si>
    <t>20*15*0.01 3m胶</t>
  </si>
  <si>
    <t>26*28  3M胶</t>
  </si>
  <si>
    <t>25*10*2</t>
  </si>
  <si>
    <t>LNS2025050504878</t>
  </si>
  <si>
    <t>LNS2025050604904</t>
  </si>
  <si>
    <t>801550-600</t>
  </si>
  <si>
    <t>LNS2025051205217</t>
  </si>
  <si>
    <t>代收已付款</t>
  </si>
  <si>
    <t>751530-300</t>
  </si>
  <si>
    <t>LNS2025051905559</t>
  </si>
  <si>
    <t>403450-800</t>
  </si>
  <si>
    <t>LNS2025052005632</t>
  </si>
  <si>
    <t>LNS2025052105682</t>
  </si>
  <si>
    <t>LNS2025052105686</t>
  </si>
  <si>
    <t>LNS2025052205786</t>
  </si>
  <si>
    <t>LNS2025052205722</t>
  </si>
  <si>
    <t>LNS2025052305814</t>
  </si>
  <si>
    <t>LNS2025052405841</t>
  </si>
  <si>
    <t>LNS2025052405820</t>
  </si>
  <si>
    <t>LNS2025052405851</t>
  </si>
  <si>
    <t>403030-300</t>
  </si>
  <si>
    <t>LNS2025052605877</t>
  </si>
  <si>
    <t>发东莞明辉</t>
  </si>
  <si>
    <t>LNS2025052605890</t>
  </si>
  <si>
    <t>LNS2025052705983</t>
  </si>
  <si>
    <t>LNS2025052906065</t>
  </si>
  <si>
    <t>WYD20250016694463</t>
  </si>
  <si>
    <t>WYD20250016694581</t>
  </si>
  <si>
    <t>WYD20250016695229</t>
  </si>
  <si>
    <t>803048-1300</t>
  </si>
  <si>
    <t>WYD20250016694774</t>
  </si>
  <si>
    <t>603035-600</t>
  </si>
  <si>
    <t>WYD20250016695122</t>
  </si>
  <si>
    <t>401035-110</t>
  </si>
  <si>
    <t>402030-180</t>
  </si>
  <si>
    <t>博聆/明翔</t>
  </si>
  <si>
    <t>402030-160</t>
  </si>
  <si>
    <t>401225-100</t>
  </si>
  <si>
    <t>东音</t>
  </si>
  <si>
    <t>实收50050</t>
  </si>
  <si>
    <t>华亿</t>
  </si>
  <si>
    <t>HCY202505060001/1</t>
  </si>
  <si>
    <t>XY20250504003</t>
  </si>
  <si>
    <t>801345-500</t>
  </si>
  <si>
    <t>XY20250516002</t>
  </si>
  <si>
    <t>QYX20250506002</t>
  </si>
  <si>
    <t>QYX20250808003</t>
  </si>
  <si>
    <t>QYX20250513002</t>
  </si>
  <si>
    <t>QYX20250516005</t>
  </si>
  <si>
    <t>QYX20250522003</t>
  </si>
  <si>
    <t>QYX20250519001</t>
  </si>
  <si>
    <t>QYX202520004</t>
  </si>
  <si>
    <t>0402081</t>
  </si>
  <si>
    <t>步 步旺</t>
  </si>
  <si>
    <t>小古</t>
  </si>
  <si>
    <t>10-2025-05-0083</t>
  </si>
  <si>
    <t>901430-360</t>
  </si>
  <si>
    <t>青岛美一刻</t>
  </si>
  <si>
    <t>10-2025-05-0127</t>
  </si>
  <si>
    <t>10-2025-05-0266</t>
  </si>
  <si>
    <t>10-2025-05-0314</t>
  </si>
  <si>
    <t>10-2025-05-0348</t>
  </si>
  <si>
    <t>10-2025-05-0457</t>
  </si>
  <si>
    <t>10-2025-05-0491</t>
  </si>
  <si>
    <t>10-2025-05-0523</t>
  </si>
  <si>
    <t>303450-500</t>
  </si>
  <si>
    <t>10-2025-05-0691</t>
  </si>
  <si>
    <t>10-2025-05-1032</t>
  </si>
  <si>
    <t>102055-1200</t>
  </si>
  <si>
    <t>10-2025-05-1312</t>
  </si>
  <si>
    <t>XK-T-2025-05-04-0002</t>
  </si>
  <si>
    <t>XK-T-2025-05-05-0001</t>
  </si>
  <si>
    <t>加板加线喷码背胶</t>
  </si>
  <si>
    <t>莱克声学</t>
  </si>
  <si>
    <t>XK-T-2025-05-06-0004</t>
  </si>
  <si>
    <t>折角加锡贴标签</t>
  </si>
  <si>
    <t>XK-T-2025-05-08-0001</t>
  </si>
  <si>
    <t>XK-T-2025-05-08-0003</t>
  </si>
  <si>
    <t>XK-T-2025-05-12-0004</t>
  </si>
  <si>
    <t>XK-T2025-05-13-0007</t>
  </si>
  <si>
    <t>XK-T-2025-05-013-0013</t>
  </si>
  <si>
    <t>XK-T-2025-14-0005</t>
  </si>
  <si>
    <t>XK-T-2025-05-14-0006</t>
  </si>
  <si>
    <t>XK-T-2025-05-20-0009</t>
  </si>
  <si>
    <t>XK-T-2025-05-20-0002</t>
  </si>
  <si>
    <t>XK-T-2025-05-15-0004</t>
  </si>
  <si>
    <t>XK-T-2025-05-16-0009</t>
  </si>
  <si>
    <t>双面喷码</t>
  </si>
  <si>
    <t>XK-T-2025-05-17-0002</t>
  </si>
  <si>
    <t>喷码折角加板</t>
  </si>
  <si>
    <t>XK-T-2025-0521-0007</t>
  </si>
  <si>
    <t>XK-T-2025-05-19-0002</t>
  </si>
  <si>
    <t>XK-T-2025-05-21-0011</t>
  </si>
  <si>
    <t>XK-T-2025-05-22-0005</t>
  </si>
  <si>
    <t>喷码接线倒角</t>
  </si>
  <si>
    <t>XK-T-2025-05-24-0006</t>
  </si>
  <si>
    <t>XK-T-2025-05-25-0005</t>
  </si>
  <si>
    <t>喷码折 角加锡</t>
  </si>
  <si>
    <t>XK-T-2025-05-28-0007</t>
  </si>
  <si>
    <t>喷码加圆板</t>
  </si>
  <si>
    <t>XK-T-2025-05-28-0010</t>
  </si>
  <si>
    <t>XK-T-2025-05-29-0004</t>
  </si>
  <si>
    <t>XK-T-2025-05-30-0002</t>
  </si>
  <si>
    <t>XK-T-2025-05-30-0006</t>
  </si>
  <si>
    <t>XK-T-2025-05-31-0003</t>
  </si>
  <si>
    <t>折角加锡双面喷码</t>
  </si>
  <si>
    <t>加线喷码倒角</t>
  </si>
  <si>
    <t>折角加锡喷码倒角</t>
  </si>
  <si>
    <t>15*15*0.5 双面泡沫棉</t>
  </si>
  <si>
    <t>20*15  3M双面胶</t>
  </si>
  <si>
    <t>25*15*0.5 双面泡沫棉</t>
  </si>
  <si>
    <t>标签</t>
  </si>
  <si>
    <t>26*28*0.01</t>
  </si>
  <si>
    <t xml:space="preserve"> 3M双面胶</t>
  </si>
  <si>
    <t>15*10 3M双面胶</t>
  </si>
  <si>
    <t>26*28*0.01 3M</t>
  </si>
  <si>
    <t>双面泡棉</t>
  </si>
  <si>
    <t>单面泡棉</t>
  </si>
  <si>
    <t>20*10*3</t>
  </si>
  <si>
    <t>20250509-1</t>
  </si>
  <si>
    <t>电芯喷码  倍率</t>
  </si>
  <si>
    <t>20250516-1</t>
  </si>
  <si>
    <t>18650-5000</t>
  </si>
  <si>
    <t>并联加线喷码</t>
  </si>
  <si>
    <t>嫁和</t>
  </si>
  <si>
    <t>20250526-1</t>
  </si>
  <si>
    <t>加板加端子线</t>
  </si>
  <si>
    <t>版费</t>
  </si>
  <si>
    <t>拓达</t>
  </si>
  <si>
    <t>实退12272</t>
  </si>
  <si>
    <t>450835-120</t>
  </si>
  <si>
    <t>380824-50</t>
  </si>
  <si>
    <t>401025-70</t>
  </si>
  <si>
    <t>蜂鸟</t>
  </si>
  <si>
    <t>501515-90</t>
  </si>
  <si>
    <t>古宁</t>
  </si>
  <si>
    <t>502020-190</t>
  </si>
  <si>
    <t>WYD20250016694749</t>
  </si>
  <si>
    <t>代收</t>
  </si>
  <si>
    <t>WYD20250016694811</t>
  </si>
  <si>
    <t>WYD20250016695126</t>
  </si>
  <si>
    <t>WYD20250016695159</t>
  </si>
  <si>
    <t>701435-330</t>
  </si>
  <si>
    <t>WYD20250016695292</t>
  </si>
  <si>
    <t>WYD20250016695293</t>
  </si>
  <si>
    <t>0451681</t>
  </si>
  <si>
    <t>博聆/鹰仕达</t>
  </si>
  <si>
    <t>0451682</t>
  </si>
  <si>
    <t>0451683</t>
  </si>
  <si>
    <t>0451684</t>
  </si>
  <si>
    <t>0451685</t>
  </si>
  <si>
    <t>ZL20250050046</t>
  </si>
  <si>
    <t>FH20250513011</t>
  </si>
  <si>
    <t>FH20250521003</t>
  </si>
  <si>
    <t>VVS/珍彩</t>
  </si>
  <si>
    <t>展宏</t>
  </si>
  <si>
    <t>溶剂</t>
  </si>
  <si>
    <t>ZH-900BK 750ML</t>
  </si>
  <si>
    <t>YY2025051401</t>
  </si>
  <si>
    <t>YY2025052602</t>
  </si>
  <si>
    <t>XYZD20250231</t>
  </si>
  <si>
    <t>NTC  10K  3435 B值</t>
  </si>
  <si>
    <t>XYZD20250239</t>
  </si>
  <si>
    <t>XYZD20250252</t>
  </si>
  <si>
    <t>XYZD20250261</t>
  </si>
  <si>
    <t>华启/华昌</t>
  </si>
  <si>
    <t>HQ202505120006</t>
  </si>
  <si>
    <t>莞瑞/库存</t>
  </si>
  <si>
    <t>B20250509Y09</t>
  </si>
  <si>
    <t>B2025050016J001</t>
  </si>
  <si>
    <t>B2025050021J001</t>
  </si>
  <si>
    <t>601035-165</t>
  </si>
  <si>
    <t>玖玖</t>
  </si>
  <si>
    <t>B20250521Y08</t>
  </si>
  <si>
    <t>701535-350</t>
  </si>
  <si>
    <t>B20250523Y06</t>
  </si>
  <si>
    <t>柏得</t>
  </si>
  <si>
    <t>400838-110</t>
  </si>
  <si>
    <t>B2025050027J007</t>
  </si>
  <si>
    <t>嘉华利/乐立声</t>
  </si>
  <si>
    <t>B20250528Y06</t>
  </si>
  <si>
    <t>芯驰/迈科捷</t>
  </si>
  <si>
    <t>YY2025050704</t>
  </si>
  <si>
    <t>901635-450</t>
  </si>
  <si>
    <t>HQ2025050136</t>
  </si>
  <si>
    <t>万驰/三聚新/华亿</t>
  </si>
  <si>
    <t>551045-250</t>
  </si>
  <si>
    <t>WC20250519072</t>
  </si>
  <si>
    <t>WC20250526001</t>
  </si>
  <si>
    <t>803030-700</t>
  </si>
  <si>
    <t>0000409</t>
  </si>
  <si>
    <t>0000410</t>
  </si>
  <si>
    <t>ZXD-8042</t>
  </si>
  <si>
    <t>明翔/库存</t>
  </si>
  <si>
    <t>XSCK-20250513-00098</t>
  </si>
  <si>
    <t>XSCK-20250515-00043</t>
  </si>
  <si>
    <t>XSCK-20250516-00104</t>
  </si>
  <si>
    <t>南阳霆润</t>
  </si>
  <si>
    <t>032239</t>
  </si>
  <si>
    <t>晟林</t>
  </si>
  <si>
    <t>0027042</t>
  </si>
  <si>
    <t>0027043</t>
  </si>
  <si>
    <t>0027044</t>
  </si>
  <si>
    <t>XSCK-20250517-0000</t>
  </si>
  <si>
    <t>XSCK-20250526-00002</t>
  </si>
  <si>
    <t>ZL20250050087</t>
  </si>
  <si>
    <t>中兴</t>
  </si>
  <si>
    <t>JX2025052102</t>
  </si>
  <si>
    <t>汇能通</t>
  </si>
  <si>
    <t>XOUT008272</t>
  </si>
  <si>
    <t>1454-90</t>
  </si>
  <si>
    <t>接线</t>
  </si>
  <si>
    <t>ASW-2025052802</t>
  </si>
  <si>
    <t>01-96202505280009</t>
  </si>
  <si>
    <t>XBL-0842-V2</t>
  </si>
  <si>
    <t>QYX20250602001</t>
  </si>
  <si>
    <t>QYX20250604002</t>
  </si>
  <si>
    <t>QYX20250606004</t>
  </si>
  <si>
    <t>返工工费</t>
  </si>
  <si>
    <t>QYX20250609003</t>
  </si>
  <si>
    <t>QYX20250616006</t>
  </si>
  <si>
    <t>QYX20250617002</t>
  </si>
  <si>
    <t>QYX20250625002</t>
  </si>
  <si>
    <t>QYX20250630004</t>
  </si>
  <si>
    <t>ZL20250060005</t>
  </si>
  <si>
    <t>ZL202500600014</t>
  </si>
  <si>
    <t>双面喷码加板加线并联</t>
  </si>
  <si>
    <t>501245-250</t>
  </si>
  <si>
    <t>601025-110</t>
  </si>
  <si>
    <t>喷码加精工板加线贴背胶</t>
  </si>
  <si>
    <t>400835-100</t>
  </si>
  <si>
    <t>桂蓝</t>
  </si>
  <si>
    <t>星辰之音</t>
  </si>
  <si>
    <t>70115-80</t>
  </si>
  <si>
    <t>喷码折角 加线</t>
  </si>
  <si>
    <t>551525-200（601525-200）</t>
  </si>
  <si>
    <t>退回306</t>
  </si>
  <si>
    <t>加板喷码</t>
  </si>
  <si>
    <t>音律</t>
  </si>
  <si>
    <t>顺为</t>
  </si>
  <si>
    <t>202500523001</t>
  </si>
  <si>
    <t>电芯 3C快充</t>
  </si>
  <si>
    <t>202500528001</t>
  </si>
  <si>
    <t>202500603001</t>
  </si>
  <si>
    <t>WYD20250016695431</t>
  </si>
  <si>
    <t>FH20250605009</t>
  </si>
  <si>
    <t>FH20250610005</t>
  </si>
  <si>
    <t>XOUT008320</t>
  </si>
  <si>
    <t>纽扣电池</t>
  </si>
  <si>
    <t>LNS2025060406253</t>
  </si>
  <si>
    <t>LNS2025060306199</t>
  </si>
  <si>
    <t>402040-300</t>
  </si>
  <si>
    <t>LNS2025061006530</t>
  </si>
  <si>
    <t>LNS2025061106596</t>
  </si>
  <si>
    <t>LNS20250616797</t>
  </si>
  <si>
    <t>LNS2025061906954</t>
  </si>
  <si>
    <t>6.19已付款</t>
  </si>
  <si>
    <t>LNS2025061906945</t>
  </si>
  <si>
    <t>LNS2025061906933</t>
  </si>
  <si>
    <t>LNS2025062307085</t>
  </si>
  <si>
    <t>802530-600</t>
  </si>
  <si>
    <t>易万特</t>
  </si>
  <si>
    <t>6.23已付款</t>
  </si>
  <si>
    <t>LNS2025062307115</t>
  </si>
  <si>
    <t>LNS2025062407142</t>
  </si>
  <si>
    <t>LNS2025062507225</t>
  </si>
  <si>
    <t>601525-200</t>
  </si>
  <si>
    <t>XK-T-2025-06-02-0006</t>
  </si>
  <si>
    <t>XK-T-2025-06-02-0001</t>
  </si>
  <si>
    <t>XK-T-2025-06-03-0001</t>
  </si>
  <si>
    <t>XK-T-2025-06-04-0010</t>
  </si>
  <si>
    <t>XK-T-2025-06-04-0008</t>
  </si>
  <si>
    <t>喷码折角包胶</t>
  </si>
  <si>
    <t>荣超</t>
  </si>
  <si>
    <t>XK-T-2025-06-05-0010</t>
  </si>
  <si>
    <t>601013-55</t>
  </si>
  <si>
    <t>XK-T-2025-06-06-0002</t>
  </si>
  <si>
    <t>XK-T-2025-06-07-0013</t>
  </si>
  <si>
    <t>XK-T-2025-06-09-0011</t>
  </si>
  <si>
    <t>XK-T-2025-06-10-0004</t>
  </si>
  <si>
    <t>XK-T-2025-06-11-0003</t>
  </si>
  <si>
    <t>XK-T-2025-06-12-0004</t>
  </si>
  <si>
    <t>XK-T-2025-06-13-0001</t>
  </si>
  <si>
    <t>XK-T-2025-06-14-0008</t>
  </si>
  <si>
    <t>标签0.01</t>
  </si>
  <si>
    <t>高森立</t>
  </si>
  <si>
    <t>XK-T-2025-06-14-0009</t>
  </si>
  <si>
    <t>XK-T-2025-06-15-0009</t>
  </si>
  <si>
    <t>创意智联</t>
  </si>
  <si>
    <t>XK-T-2025-06-16-0015</t>
  </si>
  <si>
    <t>XK-T-2025-06-17-0004</t>
  </si>
  <si>
    <t>XK-T-2025-06-18-0008</t>
  </si>
  <si>
    <t>XK-T-2025-06-18-0015</t>
  </si>
  <si>
    <t>500909-30</t>
  </si>
  <si>
    <t>XK-T-2025-06-19-0012</t>
  </si>
  <si>
    <t>XK-T-2025-06-20-0007</t>
  </si>
  <si>
    <t>XK-T-2025-06-21-0006</t>
  </si>
  <si>
    <t>格律时代</t>
  </si>
  <si>
    <t>XK-T-2025-06-22-0001</t>
  </si>
  <si>
    <t>明钦鑫（逸贝）</t>
  </si>
  <si>
    <t>XK-T-2025-06-22-0002</t>
  </si>
  <si>
    <t>XK-T-2025-06-23-0003</t>
  </si>
  <si>
    <t>双 面喷码折角加锡</t>
  </si>
  <si>
    <t>XK-T-2025-06-24-0018</t>
  </si>
  <si>
    <t>XK-T-2025-06-24-0005</t>
  </si>
  <si>
    <t>XK-T-2025-06-25-0004</t>
  </si>
  <si>
    <t>XK-T-2025-06-25-00016</t>
  </si>
  <si>
    <t>XK-T-2025-06-26-0014</t>
  </si>
  <si>
    <t>XK-T-2025-06-27-0011</t>
  </si>
  <si>
    <t>东音电子</t>
  </si>
  <si>
    <t>喷码双面喷码接线</t>
  </si>
  <si>
    <t>XK-T-2025-06-27-0012</t>
  </si>
  <si>
    <t>XK-T-2025-06-28-0009</t>
  </si>
  <si>
    <t>XK-T-2025-06-28-0012</t>
  </si>
  <si>
    <t>XK-T-2025-0629-0001</t>
  </si>
  <si>
    <t>XK-T-2025-06-30-0011</t>
  </si>
  <si>
    <t>WYD20250016695703</t>
  </si>
  <si>
    <t>WYD20250016696010</t>
  </si>
  <si>
    <t>501730-200</t>
  </si>
  <si>
    <t>WYD20250016696064</t>
  </si>
  <si>
    <t>WYD20250016696278</t>
  </si>
  <si>
    <t>万驰/三聚新/华屹</t>
  </si>
  <si>
    <t>HCY202505300005A</t>
  </si>
  <si>
    <t>HCY202505300008A</t>
  </si>
  <si>
    <t>WC2025060023</t>
  </si>
  <si>
    <t>HCY20250606001A/3</t>
  </si>
  <si>
    <t>WC20250614008</t>
  </si>
  <si>
    <t>551045-230</t>
  </si>
  <si>
    <t>HH202506025</t>
  </si>
  <si>
    <t>HH202506052</t>
  </si>
  <si>
    <t>HH202506055</t>
  </si>
  <si>
    <t>广佳乐</t>
  </si>
  <si>
    <t>HH202506064</t>
  </si>
  <si>
    <t>HH202506069</t>
  </si>
  <si>
    <t>HH202506103</t>
  </si>
  <si>
    <t>HH202506129</t>
  </si>
  <si>
    <t>广佳乐签样样品</t>
  </si>
  <si>
    <t>0000414</t>
  </si>
  <si>
    <t>恒益声</t>
  </si>
  <si>
    <t>0000419</t>
  </si>
  <si>
    <t>0000421</t>
  </si>
  <si>
    <t>0000424</t>
  </si>
  <si>
    <t>0000426</t>
  </si>
  <si>
    <t>0000429</t>
  </si>
  <si>
    <t>LNS2025060906482</t>
  </si>
  <si>
    <t>602050-600</t>
  </si>
  <si>
    <t>LNS2025061706852</t>
  </si>
  <si>
    <t>仕德仕</t>
  </si>
  <si>
    <t>JX2025060306</t>
  </si>
  <si>
    <t>JX2025060503</t>
  </si>
  <si>
    <t>JX2025060706</t>
  </si>
  <si>
    <t>JX2025062102</t>
  </si>
  <si>
    <t>JX2025061201</t>
  </si>
  <si>
    <t>JX2025061703</t>
  </si>
  <si>
    <t>JX2025062702</t>
  </si>
  <si>
    <t>JX2025062803</t>
  </si>
  <si>
    <t>501025-100</t>
  </si>
  <si>
    <t>凯盛</t>
  </si>
  <si>
    <t>402030-150</t>
  </si>
  <si>
    <t>601225-180</t>
  </si>
  <si>
    <t>801235-350</t>
  </si>
  <si>
    <t>10-2025-06-0677</t>
  </si>
  <si>
    <t>501530-210</t>
  </si>
  <si>
    <t>10-2025-06-0710</t>
  </si>
  <si>
    <t>艾瑞吉（都澜）</t>
  </si>
  <si>
    <t>10-2025-06-0847</t>
  </si>
  <si>
    <t>捷瑜（率先）</t>
  </si>
  <si>
    <t>10-2025-06-0841</t>
  </si>
  <si>
    <t>10-2025-06-0896</t>
  </si>
  <si>
    <t>10-2025-06-1000</t>
  </si>
  <si>
    <t>10-2025-06-1004</t>
  </si>
  <si>
    <t>10-2025-06-1104</t>
  </si>
  <si>
    <t>声律</t>
  </si>
  <si>
    <t>10-2025-06-1187</t>
  </si>
  <si>
    <t>10-2025-06-1261</t>
  </si>
  <si>
    <t>10-2025-06-1297</t>
  </si>
  <si>
    <t>莫兰迪</t>
  </si>
  <si>
    <t>601435-300</t>
  </si>
  <si>
    <t>名科声学</t>
  </si>
  <si>
    <t>10-2025-06-1427</t>
  </si>
  <si>
    <t>10-2025-06-1495</t>
  </si>
  <si>
    <t>WRD2025060001</t>
  </si>
  <si>
    <t>WRD-6838</t>
  </si>
  <si>
    <t>昕宇智达（昕宇微智能）</t>
  </si>
  <si>
    <t>WYZD20250277</t>
  </si>
  <si>
    <t>XYZD-2335NTC 100K 3950B值</t>
  </si>
  <si>
    <t>XYZD20250282</t>
  </si>
  <si>
    <t>XYZD20250291</t>
  </si>
  <si>
    <t>XYZD20250309</t>
  </si>
  <si>
    <t>XYZD20250328</t>
  </si>
  <si>
    <t>XYZD20250327</t>
  </si>
  <si>
    <t>SFH-1535</t>
  </si>
  <si>
    <t>XYZD20250338</t>
  </si>
  <si>
    <t>（25*8）标签</t>
  </si>
  <si>
    <t>40*10*0.5双面海棉</t>
  </si>
  <si>
    <t>30*15*2</t>
  </si>
  <si>
    <t>准正</t>
  </si>
  <si>
    <t>20*15*0.5</t>
  </si>
  <si>
    <t>透明标签18*8</t>
  </si>
  <si>
    <t xml:space="preserve">银色标签22*10 </t>
  </si>
  <si>
    <t>402035-250</t>
  </si>
  <si>
    <t>30*15*0.1 3M胶</t>
  </si>
  <si>
    <t>452555-600</t>
  </si>
  <si>
    <t>3M双面胶  20*40</t>
  </si>
  <si>
    <t>JX2025061106</t>
  </si>
  <si>
    <t>JX2025061105</t>
  </si>
  <si>
    <t>KM202506012</t>
  </si>
  <si>
    <t>KM202506013</t>
  </si>
  <si>
    <t>折角加顶板加线</t>
  </si>
  <si>
    <t>工费</t>
  </si>
  <si>
    <t>加丝喷码</t>
  </si>
  <si>
    <t>0001707</t>
  </si>
  <si>
    <t>63/款</t>
  </si>
  <si>
    <t>运费</t>
  </si>
  <si>
    <t>永佳</t>
  </si>
  <si>
    <t>青棵纸</t>
  </si>
  <si>
    <t>共阳共赢</t>
  </si>
  <si>
    <t>锦泰蓝</t>
  </si>
  <si>
    <t>03020250001</t>
  </si>
  <si>
    <t>3M胶  0.1*8*15</t>
  </si>
  <si>
    <t>华诚/新一州</t>
  </si>
  <si>
    <t>20250619-1</t>
  </si>
  <si>
    <t>20250624-1</t>
  </si>
  <si>
    <t>硕仕达</t>
  </si>
  <si>
    <t>XSCK-20250616-00003</t>
  </si>
  <si>
    <t>加工费</t>
  </si>
  <si>
    <t>YY2025061801</t>
  </si>
  <si>
    <t>成鸿业（亿欧）</t>
  </si>
  <si>
    <t>XSCK-20250620-00022</t>
  </si>
  <si>
    <t>易万特认证</t>
  </si>
  <si>
    <t>XSCK-20250623-00069</t>
  </si>
  <si>
    <t>FH20250623003</t>
  </si>
  <si>
    <t>钢壳电池</t>
  </si>
  <si>
    <t>电池</t>
  </si>
  <si>
    <t>芯意宏</t>
  </si>
  <si>
    <t>6.26已付款</t>
  </si>
  <si>
    <t>202506011-01</t>
  </si>
  <si>
    <t>202506023-01</t>
  </si>
  <si>
    <t>YY2025063003</t>
  </si>
  <si>
    <t>0030874</t>
  </si>
  <si>
    <t>盈烽（诚佳运朱开拓）</t>
  </si>
  <si>
    <t>402030-120</t>
  </si>
  <si>
    <t>2025.6.20已付</t>
  </si>
  <si>
    <t>XSCK-20250626-00003</t>
  </si>
  <si>
    <t>WRD2025060002</t>
  </si>
  <si>
    <t>WRD2025060003</t>
  </si>
  <si>
    <t>WRD2025060004</t>
  </si>
  <si>
    <t>WRD-1040</t>
  </si>
  <si>
    <t>易万捷</t>
  </si>
  <si>
    <t xml:space="preserve">WRD-14NTC 10K 3435 B值 </t>
  </si>
  <si>
    <t>WRD2025060005</t>
  </si>
  <si>
    <t>WRD-1532</t>
  </si>
  <si>
    <t>WRD2025060006</t>
  </si>
  <si>
    <t>折角加线喷码</t>
  </si>
  <si>
    <t>HY20250682001</t>
  </si>
  <si>
    <t>7.4付款5W,
7.8付款39600元</t>
  </si>
  <si>
    <t>0001708</t>
  </si>
  <si>
    <t>吸塑50个/盘</t>
  </si>
  <si>
    <t>7.11已付款</t>
  </si>
  <si>
    <t>0003374</t>
  </si>
  <si>
    <t>102530/802530-600模具费</t>
  </si>
  <si>
    <t>吸塑40个/盘</t>
  </si>
  <si>
    <t>7.12已付款</t>
  </si>
  <si>
    <t>0001710</t>
  </si>
  <si>
    <t>102530/802530-600</t>
  </si>
  <si>
    <t>刀模费</t>
  </si>
  <si>
    <t>0001711</t>
  </si>
  <si>
    <t>吸塑63个/款</t>
  </si>
  <si>
    <t>发东莞海娴</t>
  </si>
  <si>
    <t>0001712</t>
  </si>
  <si>
    <t>0004742</t>
  </si>
  <si>
    <t>吸塑60个/盘</t>
  </si>
  <si>
    <t>7.23已付款</t>
  </si>
  <si>
    <t>ZL20250060114</t>
  </si>
  <si>
    <t>ZL20250070060</t>
  </si>
  <si>
    <t>ZL20250070075</t>
  </si>
  <si>
    <t>ZL20250070102</t>
  </si>
  <si>
    <t>LNS2025070207540</t>
  </si>
  <si>
    <t>LNS2025070307589</t>
  </si>
  <si>
    <t>LNS2025070407641</t>
  </si>
  <si>
    <t>7.5已付款</t>
  </si>
  <si>
    <t>LNS2025070707740</t>
  </si>
  <si>
    <t>603030-600</t>
  </si>
  <si>
    <t>LNS2025070807809</t>
  </si>
  <si>
    <t>捷声样品</t>
  </si>
  <si>
    <t>LNS2025071007920</t>
  </si>
  <si>
    <t>LNS2025071107936</t>
  </si>
  <si>
    <t>LNS2025071608175</t>
  </si>
  <si>
    <t>7.16微信支付284元</t>
  </si>
  <si>
    <t>LNS2025071808270</t>
  </si>
  <si>
    <t>7.18微信支付300元</t>
  </si>
  <si>
    <t>LNS2025071808259</t>
  </si>
  <si>
    <t>7.19银行承兑支付70319元</t>
  </si>
  <si>
    <t>LNS2025072308465</t>
  </si>
  <si>
    <t>7.23微信支付4559元</t>
  </si>
  <si>
    <t>LNS2025072608650</t>
  </si>
  <si>
    <t>7.28支付229元</t>
  </si>
  <si>
    <t>LNS2025072808676</t>
  </si>
  <si>
    <t>LNS2025072808666</t>
  </si>
  <si>
    <t>LNS2025072808699</t>
  </si>
  <si>
    <t>喷码折角点线</t>
  </si>
  <si>
    <t>库存/东音/捷声</t>
  </si>
  <si>
    <t>WRD20250016696681</t>
  </si>
  <si>
    <t>WRD20250016697437</t>
  </si>
  <si>
    <t>SH2025070201</t>
  </si>
  <si>
    <t>TYD-09(NTC 10K  3435B值)</t>
  </si>
  <si>
    <t>折角加顶板加线喷码浸蜡</t>
  </si>
  <si>
    <t>450845-180</t>
  </si>
  <si>
    <t>芯驰样品</t>
  </si>
  <si>
    <t>三聚新/万驰/华亿</t>
  </si>
  <si>
    <t>HCY20250623006A/6</t>
  </si>
  <si>
    <t>HCY20250623003A/6</t>
  </si>
  <si>
    <t>402025-150</t>
  </si>
  <si>
    <t>SJ20250706003</t>
  </si>
  <si>
    <t>SJ202508005006</t>
  </si>
  <si>
    <t>SJ20250729001</t>
  </si>
  <si>
    <t>10-2025-07-0014</t>
  </si>
  <si>
    <t>10-2025-07-0016</t>
  </si>
  <si>
    <t>10-2025-07-0114</t>
  </si>
  <si>
    <t>10-2025-07-0208</t>
  </si>
  <si>
    <t>10-2025-07-0323</t>
  </si>
  <si>
    <t>10-2025-07-0404</t>
  </si>
  <si>
    <t>潮 超</t>
  </si>
  <si>
    <t>10-2025-07-0518</t>
  </si>
  <si>
    <t>702040-400</t>
  </si>
  <si>
    <t>迈科捷样品</t>
  </si>
  <si>
    <t>10-2025-07-0585</t>
  </si>
  <si>
    <t>10-2025-07-0641</t>
  </si>
  <si>
    <t>10-2025-07-0658</t>
  </si>
  <si>
    <t>10-2025-07-0714</t>
  </si>
  <si>
    <t>10-2025-07-0724</t>
  </si>
  <si>
    <t>10-2025-07-0853</t>
  </si>
  <si>
    <t>10-2025-07-0866</t>
  </si>
  <si>
    <t>10-2025-07-0909</t>
  </si>
  <si>
    <t>10-2025-07-0915</t>
  </si>
  <si>
    <t>502030-300</t>
  </si>
  <si>
    <t>10-2025-07-0946</t>
  </si>
  <si>
    <t>10-2025-07-1058</t>
  </si>
  <si>
    <t>10-2025-07-1050</t>
  </si>
  <si>
    <t>602540-600</t>
  </si>
  <si>
    <t>样品睿宝</t>
  </si>
  <si>
    <t>10-2025-07-1036</t>
  </si>
  <si>
    <t>10-2025-07-1067</t>
  </si>
  <si>
    <t>10-2025-07-1152</t>
  </si>
  <si>
    <t>10-2025-07-01179</t>
  </si>
  <si>
    <t>10-2025-07-1242</t>
  </si>
  <si>
    <t>睿宝</t>
  </si>
  <si>
    <t>发东莞明翔</t>
  </si>
  <si>
    <t>10-2025-07-1262</t>
  </si>
  <si>
    <t>10-2025-07-1308</t>
  </si>
  <si>
    <t>美迪声</t>
  </si>
  <si>
    <t>10-2025-07-1389</t>
  </si>
  <si>
    <t>10-2025-07-1397</t>
  </si>
  <si>
    <t>10-2025-07-1548</t>
  </si>
  <si>
    <t>喷码加板加线电芯</t>
  </si>
  <si>
    <t>加板加线电芯</t>
  </si>
  <si>
    <t>XK-T-2025-07-01-0013</t>
  </si>
  <si>
    <t>喷码折角 加锡</t>
  </si>
  <si>
    <t>XK-T-2025-07-02-0012</t>
  </si>
  <si>
    <t>XK-T2025-07-03-0011</t>
  </si>
  <si>
    <t>XK-T-2025-07-04-0001</t>
  </si>
  <si>
    <t>格律</t>
  </si>
  <si>
    <t>XK-T-2025-07-04-0009</t>
  </si>
  <si>
    <t>XK-T-2025-07-05-0015</t>
  </si>
  <si>
    <t>XK-T-2025-07-05-0010</t>
  </si>
  <si>
    <t>XK-T-2025-07-06-0008</t>
  </si>
  <si>
    <t>XK-T-2025-07-07-0005</t>
  </si>
  <si>
    <t>0.38*25</t>
  </si>
  <si>
    <t>XK-T-2025-07-08-0010</t>
  </si>
  <si>
    <t>XK-T-2025-07-09-0002</t>
  </si>
  <si>
    <t>XK-T-2025-07-09-0010</t>
  </si>
  <si>
    <t>XK-T-2025-07-10-0016</t>
  </si>
  <si>
    <t>XK-T-2025-07-11-0007</t>
  </si>
  <si>
    <t>XK-T-2025-07-11-0010</t>
  </si>
  <si>
    <t>XK-T-2025-07-13-0009</t>
  </si>
  <si>
    <t>XK-T-2025-07-14-0007</t>
  </si>
  <si>
    <t>米旗</t>
  </si>
  <si>
    <t>XK-T-2025-07-15-0009</t>
  </si>
  <si>
    <t>XK-T-2025-07-16-0016</t>
  </si>
  <si>
    <t>XK-T-2025-07-17-0003</t>
  </si>
  <si>
    <t>XK-T-2025-07-20-0006</t>
  </si>
  <si>
    <t>400909-30</t>
  </si>
  <si>
    <t>XT-T-2025-07-18-0004</t>
  </si>
  <si>
    <t>XK-T-2025-07-19-0009</t>
  </si>
  <si>
    <t>威雅特</t>
  </si>
  <si>
    <t>喷码折角出线</t>
  </si>
  <si>
    <t>XK-T-2025-07-19-0010</t>
  </si>
  <si>
    <t>喷码裸芯</t>
  </si>
  <si>
    <t>XK-T-2025-07-23-0002</t>
  </si>
  <si>
    <t>XK-T-2025-07-24-0009</t>
  </si>
  <si>
    <t>喷码两边出线</t>
  </si>
  <si>
    <t>XK-T-2025-07-26-0007</t>
  </si>
  <si>
    <t>XK-T-2025-07-5-0011</t>
  </si>
  <si>
    <t>XK-T-2025-07-27-0012</t>
  </si>
  <si>
    <t>双面喷码折角加 锡</t>
  </si>
  <si>
    <t>XK-T-2025-07-28-0005</t>
  </si>
  <si>
    <t>电芯加锡喷码</t>
  </si>
  <si>
    <t>XK-T-2025-07-30-0008</t>
  </si>
  <si>
    <t>XK-T-2025-07-31-0012</t>
  </si>
  <si>
    <t>501012-30</t>
  </si>
  <si>
    <t>YY2025070202</t>
  </si>
  <si>
    <t>7.9对公付19万</t>
  </si>
  <si>
    <t>YY2025070304</t>
  </si>
  <si>
    <t>601535-300</t>
  </si>
  <si>
    <t>名科声学/蝉音</t>
  </si>
  <si>
    <t>YY2025070401</t>
  </si>
  <si>
    <t>YY2025070501</t>
  </si>
  <si>
    <t>YY20250707003</t>
  </si>
  <si>
    <t>YY2025071001</t>
  </si>
  <si>
    <t>Innoterh</t>
  </si>
  <si>
    <t>YY2025071103</t>
  </si>
  <si>
    <t>YY20250715003</t>
  </si>
  <si>
    <t>YY2025071703</t>
  </si>
  <si>
    <t>YY20205071706</t>
  </si>
  <si>
    <t>YY20250722404</t>
  </si>
  <si>
    <t>YY2025722506</t>
  </si>
  <si>
    <t>YY2025072604</t>
  </si>
  <si>
    <t>YY2025072801</t>
  </si>
  <si>
    <t>YY2025072902</t>
  </si>
  <si>
    <t>4025100-1000</t>
  </si>
  <si>
    <t>4025130-1500</t>
  </si>
  <si>
    <t>0000432</t>
  </si>
  <si>
    <t>202506710-1</t>
  </si>
  <si>
    <t>202506724-1</t>
  </si>
  <si>
    <t>FH20250710004</t>
  </si>
  <si>
    <t>400*280*180</t>
  </si>
  <si>
    <t>FH20250716004</t>
  </si>
  <si>
    <t>350*260*170</t>
  </si>
  <si>
    <t>26*28*0.1 3M背胶</t>
  </si>
  <si>
    <t>25*8 透明标</t>
  </si>
  <si>
    <t>发河南杰芝美</t>
  </si>
  <si>
    <t>20*15*0.1 3M背胶</t>
  </si>
  <si>
    <t>063450</t>
  </si>
  <si>
    <t>40*25  3M胶</t>
  </si>
  <si>
    <t>WRD2025070001</t>
  </si>
  <si>
    <t>WRD-8440</t>
  </si>
  <si>
    <t>名科声学/迈科捷</t>
  </si>
  <si>
    <t>WRD2025070002</t>
  </si>
  <si>
    <t>WRD2025070003</t>
  </si>
  <si>
    <t>WRD2025070004</t>
  </si>
  <si>
    <t>WRD-2335</t>
  </si>
  <si>
    <t>WRD2025070005</t>
  </si>
  <si>
    <t>WRD2025070006</t>
  </si>
  <si>
    <t>WRD-2335 NTC 10K 3435</t>
  </si>
  <si>
    <t>WRD2025070007</t>
  </si>
  <si>
    <t>2335NTC100K3950B值</t>
  </si>
  <si>
    <t>WRD2025070008</t>
  </si>
  <si>
    <t>WRD2025070009</t>
  </si>
  <si>
    <t>WRD-3040NTC 47K 3950</t>
  </si>
  <si>
    <t>WRD2025070010</t>
  </si>
  <si>
    <t>昕宇微智能</t>
  </si>
  <si>
    <t>XYZD20250346</t>
  </si>
  <si>
    <t>XYZD-2335  NTC  10K  3435</t>
  </si>
  <si>
    <t>XYZD20250357</t>
  </si>
  <si>
    <t>JZX-2535 G3J</t>
  </si>
  <si>
    <t>精工点焊板</t>
  </si>
  <si>
    <t>XYZD20250370</t>
  </si>
  <si>
    <t>都/立库存</t>
  </si>
  <si>
    <t>XYZD20250375</t>
  </si>
  <si>
    <t>库存/迈科捷</t>
  </si>
  <si>
    <t>XYZD-2335  NTC  100K  3950</t>
  </si>
  <si>
    <t>XYZD20250398</t>
  </si>
  <si>
    <t>SJ20250711002</t>
  </si>
  <si>
    <t>071308</t>
  </si>
  <si>
    <t>LIR1254-60</t>
  </si>
  <si>
    <t>加锡</t>
  </si>
  <si>
    <t>7.11已付现金</t>
  </si>
  <si>
    <t>1054-40</t>
  </si>
  <si>
    <t>HH202507074</t>
  </si>
  <si>
    <t>纵力样品</t>
  </si>
  <si>
    <t>0000433</t>
  </si>
  <si>
    <t>0132403</t>
  </si>
  <si>
    <t>XYZD-8042</t>
  </si>
  <si>
    <t>XSCK-20250707-00050</t>
  </si>
  <si>
    <t>XSCK-20250712-00001</t>
  </si>
  <si>
    <t>XSCK-20250712-00020</t>
  </si>
  <si>
    <t>XSCK-20250722-00022</t>
  </si>
  <si>
    <t>7.22对公支付</t>
  </si>
  <si>
    <t>XSCK-20250731-00064</t>
  </si>
  <si>
    <t>XSCK-20250731-000058</t>
  </si>
  <si>
    <t>珍彩</t>
  </si>
  <si>
    <t>ZL20250070050</t>
  </si>
  <si>
    <t>ZL20250070067</t>
  </si>
  <si>
    <t>503450-980</t>
  </si>
  <si>
    <t>海泰</t>
  </si>
  <si>
    <t>迈科捷/佳际</t>
  </si>
  <si>
    <t>HY20250724002</t>
  </si>
  <si>
    <t>7.17已付款</t>
  </si>
  <si>
    <t>HY20250723002</t>
  </si>
  <si>
    <t>HY20250716002</t>
  </si>
  <si>
    <t>QYX20250718001</t>
  </si>
  <si>
    <t>QYX20250723003</t>
  </si>
  <si>
    <t>QYX20250725003</t>
  </si>
  <si>
    <t>501012-40  3C</t>
  </si>
  <si>
    <t>风景制品</t>
  </si>
  <si>
    <t>HCY202507001</t>
  </si>
  <si>
    <t>HCY202507002</t>
  </si>
  <si>
    <t>普通纸</t>
  </si>
  <si>
    <t>HCY202508001</t>
  </si>
  <si>
    <t>50*33*40</t>
  </si>
  <si>
    <t>深圳电商</t>
  </si>
  <si>
    <t>40*28*17</t>
  </si>
  <si>
    <t>20250716007A/7</t>
  </si>
  <si>
    <t>两面喷码倒角加锡</t>
  </si>
  <si>
    <t>01-96202507190010</t>
  </si>
  <si>
    <t>2337-V1</t>
  </si>
  <si>
    <t>01-96202507210011</t>
  </si>
  <si>
    <t>8长六脚点焊加锡</t>
  </si>
  <si>
    <t>01-962025-07240012</t>
  </si>
  <si>
    <t>ASW-2025071402</t>
  </si>
  <si>
    <t>ASW-2025072602</t>
  </si>
  <si>
    <t>ASW-1532</t>
  </si>
  <si>
    <t>ASW-2025072607</t>
  </si>
  <si>
    <t>ASW-8440</t>
  </si>
  <si>
    <t>XSCK-20250721-00001</t>
  </si>
  <si>
    <t>XSCK-20250724-00006</t>
  </si>
  <si>
    <t>7.29已付款</t>
  </si>
  <si>
    <t>7.28微信已付款9337元</t>
  </si>
  <si>
    <t>0004933</t>
  </si>
  <si>
    <t>801535-400</t>
  </si>
  <si>
    <t>8.5已付款</t>
  </si>
  <si>
    <t>XSCK-20250801-00068</t>
  </si>
  <si>
    <t>XSCK-20250811-00109</t>
  </si>
  <si>
    <t>XSCK-20250806-00061</t>
  </si>
  <si>
    <t>XSCK-20250807-00071</t>
  </si>
  <si>
    <t>XSCK-20250813-00078</t>
  </si>
  <si>
    <t>XSCK-20250814-00039</t>
  </si>
  <si>
    <t>XSCK-20250814-00005</t>
  </si>
  <si>
    <t>XSCK-20250815-00047</t>
  </si>
  <si>
    <t>XSCK-20250815-00068</t>
  </si>
  <si>
    <t>铭晟</t>
  </si>
  <si>
    <t>XSCK-20250818-00039</t>
  </si>
  <si>
    <t>702040-500</t>
  </si>
  <si>
    <t>XSCK-20250818-00074</t>
  </si>
  <si>
    <t>XSCK-20250819-00064</t>
  </si>
  <si>
    <t>高森立/芯驰</t>
  </si>
  <si>
    <t>XSCK-20250829-00021</t>
  </si>
  <si>
    <t>众欣达（同源启航）</t>
  </si>
  <si>
    <t>HCY202508-00001</t>
  </si>
  <si>
    <t>ZXD-1040-16T</t>
  </si>
  <si>
    <t>ZXD-1040NTC10K</t>
  </si>
  <si>
    <t>天悦时代</t>
  </si>
  <si>
    <t>发湖北随州（现金）</t>
  </si>
  <si>
    <t>易万特/名科声学</t>
  </si>
  <si>
    <t>0407</t>
  </si>
  <si>
    <t>精工板DAA</t>
  </si>
  <si>
    <t>路遥</t>
  </si>
  <si>
    <t>10-2025-08-0103</t>
  </si>
  <si>
    <t>901540-500</t>
  </si>
  <si>
    <t>751640-500</t>
  </si>
  <si>
    <t>10-2025-07-1489</t>
  </si>
  <si>
    <t>10-2025-07-1569</t>
  </si>
  <si>
    <t>移文科技</t>
  </si>
  <si>
    <t>10-2025-07-1621</t>
  </si>
  <si>
    <t>10-2025-08-0053</t>
  </si>
  <si>
    <t>10-2025-08-0392</t>
  </si>
  <si>
    <t>10-2025-08-0271</t>
  </si>
  <si>
    <t>10-2025-08-0351</t>
  </si>
  <si>
    <t>10-2025-08-0391</t>
  </si>
  <si>
    <t>10-2025-08-0478</t>
  </si>
  <si>
    <t>10-2025-08-0606</t>
  </si>
  <si>
    <t>库存/凡灵/桔子智能/凡灵</t>
  </si>
  <si>
    <t>10-2025-08-0676</t>
  </si>
  <si>
    <t>桔子</t>
  </si>
  <si>
    <t>XK-T-2025-08-03-0008</t>
  </si>
  <si>
    <t>XK-T-2025-08-04-0004</t>
  </si>
  <si>
    <t>XK-T-2025-08-06-0006</t>
  </si>
  <si>
    <t>XK-T-2025-08-07-0015</t>
  </si>
  <si>
    <t>XK-T-2025-08-08-0010</t>
  </si>
  <si>
    <t>XK-T-2025-08-10-0005</t>
  </si>
  <si>
    <t>XK-T-2025-08-09-0013</t>
  </si>
  <si>
    <t>以泰</t>
  </si>
  <si>
    <t>XK-T-2025-08-07-0005</t>
  </si>
  <si>
    <t>不喷码折角加锡</t>
  </si>
  <si>
    <t>XK-T-2025-08-05-0007</t>
  </si>
  <si>
    <t>XK-T-2025-08-10-0009</t>
  </si>
  <si>
    <t>XK-T-2025-08-12-002</t>
  </si>
  <si>
    <t>贝尔科技</t>
  </si>
  <si>
    <t>XK-T-2025-08-12-0011</t>
  </si>
  <si>
    <t>XK-T-2025-08-12-0017</t>
  </si>
  <si>
    <t>XK-T-2025-08-13-0010</t>
  </si>
  <si>
    <t>451012-40</t>
  </si>
  <si>
    <t>力斯</t>
  </si>
  <si>
    <t>XK-T-2025-08-14-0001</t>
  </si>
  <si>
    <t>XK-T-2025-08-14-0011</t>
  </si>
  <si>
    <t>XK-T-2025-08-16-0016</t>
  </si>
  <si>
    <t>601015-65</t>
  </si>
  <si>
    <t>XK-T-2025-08-17-0002</t>
  </si>
  <si>
    <t>451012-25</t>
  </si>
  <si>
    <t>XK-T-2025-08-15-0010</t>
  </si>
  <si>
    <t>430909-30</t>
  </si>
  <si>
    <t>XK-T-2025-08-17-0005</t>
  </si>
  <si>
    <t>耳贝科技</t>
  </si>
  <si>
    <t>XK-T-2025-08-18-0011</t>
  </si>
  <si>
    <t>551013-50</t>
  </si>
  <si>
    <t>XK-T-2025-08-19-0011</t>
  </si>
  <si>
    <t>XK-T-2025-08-20-0015</t>
  </si>
  <si>
    <t>XK-T-2025-08-21-0004</t>
  </si>
  <si>
    <t>XK-T-2025-08-22-0005</t>
  </si>
  <si>
    <t>喷码 加线</t>
  </si>
  <si>
    <t>XK-T-2025-08-23-0005</t>
  </si>
  <si>
    <t>XK-T-2025-08-24-0003</t>
  </si>
  <si>
    <t>XK-T-2025-08-25-0008</t>
  </si>
  <si>
    <t>XK-T-2025-08-26-0009</t>
  </si>
  <si>
    <t>WYD20250016698321</t>
  </si>
  <si>
    <t>WYD20250016698712</t>
  </si>
  <si>
    <t>XSCK-20250803-00001</t>
  </si>
  <si>
    <t>XSCK-20250806-00002</t>
  </si>
  <si>
    <t>KM20250801</t>
  </si>
  <si>
    <t>14500-1000</t>
  </si>
  <si>
    <t>20250813-1</t>
  </si>
  <si>
    <t>20250814-1</t>
  </si>
  <si>
    <t>20250818-1</t>
  </si>
  <si>
    <t>20250820-1</t>
  </si>
  <si>
    <t>20250821-1</t>
  </si>
  <si>
    <t>0001713</t>
  </si>
  <si>
    <t>102530-600</t>
  </si>
  <si>
    <t>7.31发的</t>
  </si>
  <si>
    <t>0001715</t>
  </si>
  <si>
    <t>吸塑63个/盘</t>
  </si>
  <si>
    <t>峰鸟</t>
  </si>
  <si>
    <t>500940-145</t>
  </si>
  <si>
    <t>步旺旺</t>
  </si>
  <si>
    <t>新麦腾</t>
  </si>
  <si>
    <t>YY2025080501</t>
  </si>
  <si>
    <t>YY2025080511</t>
  </si>
  <si>
    <t>YY2025080804</t>
  </si>
  <si>
    <t>651535-300</t>
  </si>
  <si>
    <t>裸电芯</t>
  </si>
  <si>
    <t>YY2025082205</t>
  </si>
  <si>
    <t>YY2025082206</t>
  </si>
  <si>
    <t>YY2025082207</t>
  </si>
  <si>
    <t>YY2025082504</t>
  </si>
  <si>
    <t>YY2025082702</t>
  </si>
  <si>
    <t>QYX20250805002</t>
  </si>
  <si>
    <t>天喆</t>
  </si>
  <si>
    <t>QYX20250817001</t>
  </si>
  <si>
    <t>QYX20250820004</t>
  </si>
  <si>
    <t>QYX20250825002</t>
  </si>
  <si>
    <t>LNS2025080208953</t>
  </si>
  <si>
    <t>LNS2025080509057</t>
  </si>
  <si>
    <t>声纳特</t>
  </si>
  <si>
    <t>LNS2025080609136</t>
  </si>
  <si>
    <t>LNS2025080809239</t>
  </si>
  <si>
    <t>LNS2025081109325</t>
  </si>
  <si>
    <t>602040-450</t>
  </si>
  <si>
    <t>芯德</t>
  </si>
  <si>
    <t>LNS2025081109338</t>
  </si>
  <si>
    <t>LNS2025081109336</t>
  </si>
  <si>
    <t>LNS2025081409483</t>
  </si>
  <si>
    <t>LNS2025081409500</t>
  </si>
  <si>
    <t>LNS2025081509551</t>
  </si>
  <si>
    <t>502530-300</t>
  </si>
  <si>
    <t>LNS2025082009781</t>
  </si>
  <si>
    <t>牧森/迈科捷</t>
  </si>
  <si>
    <t>LNS2025082109827</t>
  </si>
  <si>
    <t>嘉华利/声纳特</t>
  </si>
  <si>
    <t>LNS2025082109838</t>
  </si>
  <si>
    <t>LNS2025082209906</t>
  </si>
  <si>
    <t>LNS2025082209905</t>
  </si>
  <si>
    <t>明钦鑫/逸贝</t>
  </si>
  <si>
    <t>LNS2025082309956</t>
  </si>
  <si>
    <t>LNS2025082209882</t>
  </si>
  <si>
    <t>702530-500</t>
  </si>
  <si>
    <t>LNS2025082309981</t>
  </si>
  <si>
    <t>LNS2025082309973</t>
  </si>
  <si>
    <t>易万特/迈科捷/库存</t>
  </si>
  <si>
    <t>迈科捷/芯驰</t>
  </si>
  <si>
    <t>LNS2025082510016</t>
  </si>
  <si>
    <t>LNS2025082510023</t>
  </si>
  <si>
    <t>迈科捷/牧森/库存</t>
  </si>
  <si>
    <t>LNS2025082610071</t>
  </si>
  <si>
    <t>LNS2025082610070</t>
  </si>
  <si>
    <t>LNS2025082710168</t>
  </si>
  <si>
    <t>LNS2025082710158</t>
  </si>
  <si>
    <t>LNS2025082910233</t>
  </si>
  <si>
    <t>盛世新锐</t>
  </si>
  <si>
    <t>0000442</t>
  </si>
  <si>
    <t>0000444</t>
  </si>
  <si>
    <t>双面喷码 折角加锡</t>
  </si>
  <si>
    <t xml:space="preserve">501225-120 </t>
  </si>
  <si>
    <t xml:space="preserve">加线喷码 </t>
  </si>
  <si>
    <t>牧森/库存</t>
  </si>
  <si>
    <t xml:space="preserve">加板喷码 </t>
  </si>
  <si>
    <t>XOUT011499</t>
  </si>
  <si>
    <t>并联喷码加板加线</t>
  </si>
  <si>
    <t>喷码加精工板加端子线</t>
  </si>
  <si>
    <t>HCY202508003</t>
  </si>
  <si>
    <t>21*11-14</t>
  </si>
  <si>
    <t>HCY202508002</t>
  </si>
  <si>
    <t>35*26*17</t>
  </si>
  <si>
    <t>35*26*18</t>
  </si>
  <si>
    <t>37*28*27</t>
  </si>
  <si>
    <t>HCY202508004</t>
  </si>
  <si>
    <t>17.5*9.2*11</t>
  </si>
  <si>
    <t>HCY202508005</t>
  </si>
  <si>
    <t>40*28*20</t>
  </si>
  <si>
    <t>40*28*19</t>
  </si>
  <si>
    <t>HCY202508006</t>
  </si>
  <si>
    <t>HCY202508007</t>
  </si>
  <si>
    <t>35*26*19</t>
  </si>
  <si>
    <t>35*26*20</t>
  </si>
  <si>
    <t>HCY202508008</t>
  </si>
  <si>
    <t>20250805001</t>
  </si>
  <si>
    <t>双面喷码折角加锡3C快充</t>
  </si>
  <si>
    <t>401012-35</t>
  </si>
  <si>
    <t>20250808001</t>
  </si>
  <si>
    <t>20250813001</t>
  </si>
  <si>
    <t>HQ20250806006</t>
  </si>
  <si>
    <t>601045-240</t>
  </si>
  <si>
    <t>PROPS</t>
  </si>
  <si>
    <t>0000440</t>
  </si>
  <si>
    <t>0000446</t>
  </si>
  <si>
    <t>15*10 3M背胶</t>
  </si>
  <si>
    <t>40*25  3M双面胶</t>
  </si>
  <si>
    <t>303035-30</t>
  </si>
  <si>
    <t>20*15*0.1</t>
  </si>
  <si>
    <t>3M胶  0.1*10*15</t>
  </si>
  <si>
    <t>8.7日 湖北已付款</t>
  </si>
  <si>
    <t>WRD2025080001</t>
  </si>
  <si>
    <t>WRD2025080005</t>
  </si>
  <si>
    <t>WRD2025080006</t>
  </si>
  <si>
    <t>WRD2025080004</t>
  </si>
  <si>
    <t>易万特/库存</t>
  </si>
  <si>
    <t>WRD2025080007</t>
  </si>
  <si>
    <t>WRD2025080008</t>
  </si>
  <si>
    <t>WRD-7540</t>
  </si>
  <si>
    <t>WRD2025080009</t>
  </si>
  <si>
    <t>WRD2025080010</t>
  </si>
  <si>
    <t>WRD-14NTC 10K 3435</t>
  </si>
  <si>
    <t>01-96202508070013</t>
  </si>
  <si>
    <t>JT202500817-03</t>
  </si>
  <si>
    <t>JX2025081603</t>
  </si>
  <si>
    <t>品爱</t>
  </si>
  <si>
    <t>0004849</t>
  </si>
  <si>
    <t>701535-380</t>
  </si>
  <si>
    <t>8.22已付款</t>
  </si>
  <si>
    <t>B202508022J002</t>
  </si>
  <si>
    <t>801240-400</t>
  </si>
  <si>
    <t xml:space="preserve">加精工板加线喷码 </t>
  </si>
  <si>
    <t>享派</t>
  </si>
  <si>
    <t>成品1.48</t>
  </si>
  <si>
    <t>MHXS004053</t>
  </si>
  <si>
    <t>华亿（吴志坚）</t>
  </si>
  <si>
    <t>HY202508013008</t>
  </si>
  <si>
    <t>HY202508016005</t>
  </si>
  <si>
    <t>XOUT011592</t>
  </si>
  <si>
    <t>声特纳</t>
  </si>
  <si>
    <t>XYZD20250428</t>
  </si>
  <si>
    <t>XYZD20250431</t>
  </si>
  <si>
    <t>星辰之音/佳际</t>
  </si>
  <si>
    <t>XYZD20250436</t>
  </si>
  <si>
    <t>XYZD-1635 NTC 10K</t>
  </si>
  <si>
    <t>XYZD20250444</t>
  </si>
  <si>
    <t>KM20250802</t>
  </si>
  <si>
    <t>WYD20250016698776</t>
  </si>
  <si>
    <t>8.22对公付款</t>
  </si>
  <si>
    <t>WYD20250016698947</t>
  </si>
  <si>
    <t>·</t>
  </si>
  <si>
    <t>.</t>
  </si>
  <si>
    <t>XK-T-2025-08-27-0005</t>
  </si>
  <si>
    <t>供应商板</t>
  </si>
  <si>
    <t>XK-T-2025-08-28-0003</t>
  </si>
  <si>
    <t>XK-T-2025-08-28-0007</t>
  </si>
  <si>
    <t>样品/三盛</t>
  </si>
  <si>
    <t>XK-T-2025-08-29-0010</t>
  </si>
  <si>
    <t>XK-T-2025-08-30-0012</t>
  </si>
  <si>
    <t>帕瑞德</t>
  </si>
  <si>
    <t>XK-T-2025-08-31-005</t>
  </si>
  <si>
    <t>XK-T-2025-09-01-0006</t>
  </si>
  <si>
    <t>XK-T-2025-09-02-0011</t>
  </si>
  <si>
    <t>全易景</t>
  </si>
  <si>
    <t>XK-T-2025-09-02-0015</t>
  </si>
  <si>
    <t>XK-T-2025-09-03-0009</t>
  </si>
  <si>
    <t>东音科技</t>
  </si>
  <si>
    <t>XK-T-2025-09-03-0014</t>
  </si>
  <si>
    <t>样品/索霸</t>
  </si>
  <si>
    <t>XK-T-2025-09-04-0002</t>
  </si>
  <si>
    <t>折角加锡+加圆板喷码</t>
  </si>
  <si>
    <t>贝耳科技</t>
  </si>
  <si>
    <t>XK-T-2025-09-05-0001</t>
  </si>
  <si>
    <t>XK-T-2025-09-05-0006</t>
  </si>
  <si>
    <t>样品/格莱亚</t>
  </si>
  <si>
    <t>XK-T-2025-09-06-0002</t>
  </si>
  <si>
    <t>XK-T-2025-09-08-0001</t>
  </si>
  <si>
    <t>XK-T-2025-09-08-0002</t>
  </si>
  <si>
    <t>XK-T-2025-09-08-0016</t>
  </si>
  <si>
    <t>420909-30</t>
  </si>
  <si>
    <t>XK-T-2025-09-09-0003</t>
  </si>
  <si>
    <t>XK-T-2025-09-10-0007</t>
  </si>
  <si>
    <t>XK-T-2025-09-11-0010</t>
  </si>
  <si>
    <t>XK-T-2025-09-12-0014</t>
  </si>
  <si>
    <t>XK-T-2025-09-13-0008</t>
  </si>
  <si>
    <t>马克工坊</t>
  </si>
  <si>
    <t>琨腾</t>
  </si>
  <si>
    <t>XK-T-2025-09-13-0013</t>
  </si>
  <si>
    <t>XK-T-2025-09-14-0009</t>
  </si>
  <si>
    <t>XK-T-2025-09-15-0008</t>
  </si>
  <si>
    <t>思享者</t>
  </si>
  <si>
    <t>XK-T-2025-09-16-0007</t>
  </si>
  <si>
    <t>XK-T-2025-09-17-0009</t>
  </si>
  <si>
    <t>鼎和创</t>
  </si>
  <si>
    <t>乐力声</t>
  </si>
  <si>
    <t>XK-T-2025-09-18-0010</t>
  </si>
  <si>
    <t>XK-T-2025-09-20-0003</t>
  </si>
  <si>
    <t>XK-T-2025-09-20-0011</t>
  </si>
  <si>
    <t>XK-T-2025-09-21-0004</t>
  </si>
  <si>
    <t>瑞安源</t>
  </si>
  <si>
    <t>XK-T-2025-09-21-0012</t>
  </si>
  <si>
    <t>XK-T-2025-09-22-0002</t>
  </si>
  <si>
    <t>XK-T-2025-09-22-0005</t>
  </si>
  <si>
    <t>XK-T-2025-09-24-0016</t>
  </si>
  <si>
    <t>XK-T-2025-09-25-0007</t>
  </si>
  <si>
    <t>华仕达</t>
  </si>
  <si>
    <t>XK-T-2025-09-26-0010</t>
  </si>
  <si>
    <t>XK-T-2025-09-28-0007</t>
  </si>
  <si>
    <t>喷码加线倒底角</t>
  </si>
  <si>
    <t>欣迈</t>
  </si>
  <si>
    <t>300824-55</t>
  </si>
  <si>
    <t>XYZD20250449</t>
  </si>
  <si>
    <t>XYZD-1532迪普</t>
  </si>
  <si>
    <t>XYZD-2335迪普</t>
  </si>
  <si>
    <t>XYZD-8440迪普</t>
  </si>
  <si>
    <t>库存/易万特</t>
  </si>
  <si>
    <t>XYZD-1040迪普</t>
  </si>
  <si>
    <t>XYZD20250450</t>
  </si>
  <si>
    <t>龙孚翔</t>
  </si>
  <si>
    <t>XYZD20250452</t>
  </si>
  <si>
    <t>XYZD-1532德普</t>
  </si>
  <si>
    <t>XYZD20250456</t>
  </si>
  <si>
    <t>LHX-1040  NTC  100K  3950</t>
  </si>
  <si>
    <t>XYZD20250455</t>
  </si>
  <si>
    <t>XYZD-6840迪普</t>
  </si>
  <si>
    <t>河南滨海</t>
  </si>
  <si>
    <t>XYZD20250461</t>
  </si>
  <si>
    <t>XYZD-0704迪普</t>
  </si>
  <si>
    <t>聚鑫</t>
  </si>
  <si>
    <t>XYZD20250462</t>
  </si>
  <si>
    <t>XYZD20250466</t>
  </si>
  <si>
    <t>XYZD20250471</t>
  </si>
  <si>
    <t>邦特</t>
  </si>
  <si>
    <t>明辉</t>
  </si>
  <si>
    <t>XYZD20250472</t>
  </si>
  <si>
    <t>XYZD20250481</t>
  </si>
  <si>
    <t>XYZD20250451</t>
  </si>
  <si>
    <t>XYZD-2335德普</t>
  </si>
  <si>
    <t>库存/声纳特</t>
  </si>
  <si>
    <t>XYZD20250480</t>
  </si>
  <si>
    <t>XYZD20250486</t>
  </si>
  <si>
    <t>库存/凡灵</t>
  </si>
  <si>
    <t>XYZD20250495</t>
  </si>
  <si>
    <t>XYZD-0840KC</t>
  </si>
  <si>
    <t>XYZD20250496</t>
  </si>
  <si>
    <t>XYZD202504503</t>
  </si>
  <si>
    <t>XYZD20250505</t>
  </si>
  <si>
    <t>XYZD-1532  10K NTC</t>
  </si>
  <si>
    <t>库存/般若</t>
  </si>
  <si>
    <t>QYX20250901004</t>
  </si>
  <si>
    <t>对账对0.58</t>
  </si>
  <si>
    <t>QYX20250908008</t>
  </si>
  <si>
    <t>QYX20250927007</t>
  </si>
  <si>
    <t>WRD2025080011</t>
  </si>
  <si>
    <t>WRD2025080012</t>
  </si>
  <si>
    <t>WRD-1040-NTC</t>
  </si>
  <si>
    <t>WRD2025080013</t>
  </si>
  <si>
    <t>WRD2025080014</t>
  </si>
  <si>
    <t>WRD2025080015</t>
  </si>
  <si>
    <t>WRD2025080016</t>
  </si>
  <si>
    <t>WRD2025080017</t>
  </si>
  <si>
    <t>WRD2025080018</t>
  </si>
  <si>
    <t>WRD2025090019</t>
  </si>
  <si>
    <t>WRD2025090021</t>
  </si>
  <si>
    <t>WRD2025090022</t>
  </si>
  <si>
    <t>WRD2025090023</t>
  </si>
  <si>
    <t>LNS2025082810193</t>
  </si>
  <si>
    <t>LNS2025082910252</t>
  </si>
  <si>
    <t>沃苪斯</t>
  </si>
  <si>
    <t>LNS2025090110369</t>
  </si>
  <si>
    <t>LNS2025090110391</t>
  </si>
  <si>
    <t>巡美/库存</t>
  </si>
  <si>
    <t>LNS2025090210438</t>
  </si>
  <si>
    <t>LNS2025090210429</t>
  </si>
  <si>
    <t>LNS2025090310501</t>
  </si>
  <si>
    <t>LNS2025090410539</t>
  </si>
  <si>
    <t>LNS2025090410572</t>
  </si>
  <si>
    <t>LNS2025090510582</t>
  </si>
  <si>
    <t>婕瑜</t>
  </si>
  <si>
    <t>LNS2025090510589</t>
  </si>
  <si>
    <t>LNS2025090510622</t>
  </si>
  <si>
    <t>LNS2025090510637</t>
  </si>
  <si>
    <t>库存/名科声学</t>
  </si>
  <si>
    <t>LNS2025090510656</t>
  </si>
  <si>
    <t>LNS2025090610684</t>
  </si>
  <si>
    <t>LNS2025090810730</t>
  </si>
  <si>
    <t>LNS2025090810732</t>
  </si>
  <si>
    <t>702030-400纯三元</t>
  </si>
  <si>
    <t>LNS2025090910790</t>
  </si>
  <si>
    <t>LNS2025091010835</t>
  </si>
  <si>
    <t>LNS2025091010851</t>
  </si>
  <si>
    <t>LNS2025091110878</t>
  </si>
  <si>
    <t>LNS2025091110908</t>
  </si>
  <si>
    <t>电商</t>
  </si>
  <si>
    <t>LNS2025091210952</t>
  </si>
  <si>
    <t>高森立/牧森</t>
  </si>
  <si>
    <t>501520-150</t>
  </si>
  <si>
    <t>LNS2025091210974</t>
  </si>
  <si>
    <t>LNS2025091210984</t>
  </si>
  <si>
    <t>LNS2025091311000</t>
  </si>
  <si>
    <t>LNS2025091311027</t>
  </si>
  <si>
    <t>601535-320</t>
  </si>
  <si>
    <t>LNS2025091311037</t>
  </si>
  <si>
    <t>LNS2025091511073</t>
  </si>
  <si>
    <t>LNS2025091511076</t>
  </si>
  <si>
    <t>嘉华利/声特纳</t>
  </si>
  <si>
    <t>LNS2025091511112</t>
  </si>
  <si>
    <t>LNS2025091611145</t>
  </si>
  <si>
    <t>睿宝智能</t>
  </si>
  <si>
    <t>LNS2025091611152</t>
  </si>
  <si>
    <t>嘉华利/潮超</t>
  </si>
  <si>
    <t>45835-110</t>
  </si>
  <si>
    <t>宝利/莫兰迪</t>
  </si>
  <si>
    <t>LNS2025091611154</t>
  </si>
  <si>
    <t>库存/新麦腾</t>
  </si>
  <si>
    <t>LNS2025091611161</t>
  </si>
  <si>
    <t>LNS2025091611166</t>
  </si>
  <si>
    <t>LNS2025091611164</t>
  </si>
  <si>
    <t>潮超/库存</t>
  </si>
  <si>
    <t>LNS2025091711210</t>
  </si>
  <si>
    <t>LNS2025091711248</t>
  </si>
  <si>
    <t>LNS2025091811269</t>
  </si>
  <si>
    <t>LNS2025091811297</t>
  </si>
  <si>
    <t>LNS2025091811314</t>
  </si>
  <si>
    <t>LNS2025091911354</t>
  </si>
  <si>
    <t>LNS2025092011413</t>
  </si>
  <si>
    <t>鼎会丰</t>
  </si>
  <si>
    <t>LNS2025092211450</t>
  </si>
  <si>
    <t>LNS2025092211485</t>
  </si>
  <si>
    <t>LNS2025092211492</t>
  </si>
  <si>
    <t>LNS2025092211512</t>
  </si>
  <si>
    <t>LNS2025092211525</t>
  </si>
  <si>
    <t>LNS2025092211676</t>
  </si>
  <si>
    <t>LNS2025092211730</t>
  </si>
  <si>
    <t>LNS2025092211760</t>
  </si>
  <si>
    <t>LNS2025092211805</t>
  </si>
  <si>
    <t>652040-500</t>
  </si>
  <si>
    <t>板子我司提供0.17</t>
  </si>
  <si>
    <t>芯源（金鑫达）</t>
  </si>
  <si>
    <t>501035-110</t>
  </si>
  <si>
    <t>HQ202050902006</t>
  </si>
  <si>
    <t>601230-160</t>
  </si>
  <si>
    <t>HQ202050907006</t>
  </si>
  <si>
    <t>202508031001</t>
  </si>
  <si>
    <t>202500916001</t>
  </si>
  <si>
    <t>喷码折角加锡快充</t>
  </si>
  <si>
    <t>202500918001</t>
  </si>
  <si>
    <t>202500923001</t>
  </si>
  <si>
    <t>202500929001</t>
  </si>
  <si>
    <t>WYD20250016699946</t>
  </si>
  <si>
    <t>WYD20250016699955</t>
  </si>
  <si>
    <t>WYD20250016699269</t>
  </si>
  <si>
    <t>WYD20250016699320</t>
  </si>
  <si>
    <t>XSCK-20250826-00002</t>
  </si>
  <si>
    <t>XSCK-20250901-00001</t>
  </si>
  <si>
    <t>接线喷码倒底角</t>
  </si>
  <si>
    <t>401525-120</t>
  </si>
  <si>
    <t>XSCK-20250903-00078</t>
  </si>
  <si>
    <t>XSCK-20250913-00076</t>
  </si>
  <si>
    <t>XSCK-20250915-00050</t>
  </si>
  <si>
    <t>XSCK-20250916-00080</t>
  </si>
  <si>
    <t>XSCK-20250927-00045</t>
  </si>
  <si>
    <t>2450POP透明标</t>
  </si>
  <si>
    <t>901535-470</t>
  </si>
  <si>
    <t>901535银色标签</t>
  </si>
  <si>
    <t>30x15x0.13双面胺</t>
  </si>
  <si>
    <t>602030--300</t>
  </si>
  <si>
    <t>KC银标8x8</t>
  </si>
  <si>
    <t>15-10双面胺</t>
  </si>
  <si>
    <t>9*9</t>
  </si>
  <si>
    <t>26*25*0.5</t>
  </si>
  <si>
    <t>15*15*0.1</t>
  </si>
  <si>
    <t>22*10</t>
  </si>
  <si>
    <t>客供板0.17</t>
  </si>
  <si>
    <t>01-96202508300014</t>
  </si>
  <si>
    <t>23长六脚点焊加锡</t>
  </si>
  <si>
    <t>202509010001</t>
  </si>
  <si>
    <t>202509180004</t>
  </si>
  <si>
    <t>202509240005</t>
  </si>
  <si>
    <t>鹰仕达/库存</t>
  </si>
  <si>
    <t>板线喷码</t>
  </si>
  <si>
    <t>20250904-1</t>
  </si>
  <si>
    <t>14500-800</t>
  </si>
  <si>
    <t>20250908-1</t>
  </si>
  <si>
    <t>HCY202509001</t>
  </si>
  <si>
    <t>30*30*17</t>
  </si>
  <si>
    <t>HCY202509002</t>
  </si>
  <si>
    <t>HCY202509003</t>
  </si>
  <si>
    <t>HCY202509004</t>
  </si>
  <si>
    <t>HCY202509005</t>
  </si>
  <si>
    <t>40*28*15</t>
  </si>
  <si>
    <t>HCY202509006</t>
  </si>
  <si>
    <t>HCY202509007</t>
  </si>
  <si>
    <t>HJ2025009006-012</t>
  </si>
  <si>
    <t>HJ2025009016-016</t>
  </si>
  <si>
    <t>蓝健</t>
  </si>
  <si>
    <t>1254-60</t>
  </si>
  <si>
    <t>鸿兴智能</t>
  </si>
  <si>
    <t>1040焊线加工</t>
  </si>
  <si>
    <t>1571/26</t>
  </si>
  <si>
    <t>易万特/迈科捷</t>
  </si>
  <si>
    <t>8440焊线加工</t>
  </si>
  <si>
    <t>1532焊线加工</t>
  </si>
  <si>
    <t>B202509010J001</t>
  </si>
  <si>
    <t>加精工板加线喷码</t>
  </si>
  <si>
    <t>亨派</t>
  </si>
  <si>
    <t>B202509017Y06</t>
  </si>
  <si>
    <t>KM20250901</t>
  </si>
  <si>
    <t>551030-140</t>
  </si>
  <si>
    <t>恒电新能源（速能）</t>
  </si>
  <si>
    <t>HO-250922-153</t>
  </si>
  <si>
    <t>华海旺/库存</t>
  </si>
  <si>
    <t>0000448</t>
  </si>
  <si>
    <t>430911-25</t>
  </si>
  <si>
    <t>折角点锡喷码</t>
  </si>
  <si>
    <t>0000449</t>
  </si>
  <si>
    <t xml:space="preserve"> </t>
  </si>
  <si>
    <t>XK-T-2025-10-03-0004</t>
  </si>
  <si>
    <t>XK-T-2025-10-04-0004</t>
  </si>
  <si>
    <t>XK-T-2025-10-05-0005</t>
  </si>
  <si>
    <t>XK-T-2025-10-06-0001</t>
  </si>
  <si>
    <t>加圆板加线喷码</t>
  </si>
  <si>
    <t>诺亚创新</t>
  </si>
  <si>
    <t>折角加线双面喷码</t>
  </si>
  <si>
    <t>鼎合创</t>
  </si>
  <si>
    <t>XK-T-2025-10-09-0004</t>
  </si>
  <si>
    <t>XK-T-2025-10-07-0010</t>
  </si>
  <si>
    <t>XK-T-2025-10-08-0012</t>
  </si>
  <si>
    <t>XK-T-2025-10-09-0014</t>
  </si>
  <si>
    <t>XK-T-2025-10-11-0001</t>
  </si>
  <si>
    <t>XK-T-2025-10-11-0004</t>
  </si>
  <si>
    <t>XK-T-2025-10-12-0010</t>
  </si>
  <si>
    <t>XK-T-2025-10-14-0001</t>
  </si>
  <si>
    <t>XK-T-2025-10-14-0006</t>
  </si>
  <si>
    <t>XK-T-2025-10-15-0016</t>
  </si>
  <si>
    <t>XK-T-2025-10-16-0012</t>
  </si>
  <si>
    <t>XK-T-2025-10-17-0015</t>
  </si>
  <si>
    <t>XK-T-2025-10-18-0004</t>
  </si>
  <si>
    <t>XK-T-2025-10-19-0004</t>
  </si>
  <si>
    <t>XK-T-2025-10-20-0018</t>
  </si>
  <si>
    <t>XK-T-2025-10-20-0010</t>
  </si>
  <si>
    <t>XK-T-2025-10-21-0011</t>
  </si>
  <si>
    <t>XK-T-2025-10-21-0017</t>
  </si>
  <si>
    <t>XK-T-2025-10-22-0002</t>
  </si>
  <si>
    <t>XK-T-2025-10-22-0014</t>
  </si>
  <si>
    <t>XK-T-2025-10-23-0002</t>
  </si>
  <si>
    <t>XK-T-2025-10-23-0008</t>
  </si>
  <si>
    <t>XK-T-2025-10-24-0007</t>
  </si>
  <si>
    <t>XK-T-2025-10-25-0014</t>
  </si>
  <si>
    <t>LNS2025093011188</t>
  </si>
  <si>
    <t>LNS2025100711896</t>
  </si>
  <si>
    <t>LNS2025100912019</t>
  </si>
  <si>
    <t>LNS2025100912021</t>
  </si>
  <si>
    <t>佳际/库存</t>
  </si>
  <si>
    <t>名科/库存</t>
  </si>
  <si>
    <t>LNS2025101012124</t>
  </si>
  <si>
    <t>LNS2025101012135</t>
  </si>
  <si>
    <t>LNS2025101012212</t>
  </si>
  <si>
    <t>LNS2025101012232</t>
  </si>
  <si>
    <t>303030-210</t>
  </si>
  <si>
    <t>速讯</t>
  </si>
  <si>
    <t>LNS2025101512426</t>
  </si>
  <si>
    <t>LNS2025101612475</t>
  </si>
  <si>
    <t>LNS2025101712578</t>
  </si>
  <si>
    <t>LNS20251017125785</t>
  </si>
  <si>
    <t>502025-200</t>
  </si>
  <si>
    <t>LNS2025102112742</t>
  </si>
  <si>
    <t>LNS2025102112743</t>
  </si>
  <si>
    <t>LNS20251023412751</t>
  </si>
  <si>
    <t>LNS2025102212794</t>
  </si>
  <si>
    <t>LNS2025102312891</t>
  </si>
  <si>
    <t>LNS20251023412924</t>
  </si>
  <si>
    <t>库存/艾瑞吉</t>
  </si>
  <si>
    <t>LNS20251023412934</t>
  </si>
  <si>
    <t>LNS20251023412990</t>
  </si>
  <si>
    <t>HCY202510001</t>
  </si>
  <si>
    <t>HCY202510002</t>
  </si>
  <si>
    <t>21*11*14</t>
  </si>
  <si>
    <t>HCY202510003</t>
  </si>
  <si>
    <t>HCY202510004</t>
  </si>
  <si>
    <t>HCY202510005</t>
  </si>
  <si>
    <t>南阳</t>
  </si>
  <si>
    <t>500930-100</t>
  </si>
  <si>
    <t>追光豹/星辰之音</t>
  </si>
  <si>
    <t>鑫盛雅</t>
  </si>
  <si>
    <t>加板加线并联喷码</t>
  </si>
  <si>
    <t>901535-360</t>
  </si>
  <si>
    <t>标签15*8*0.1</t>
  </si>
  <si>
    <t>标签20*15*0.1</t>
  </si>
  <si>
    <t>瑞之光</t>
  </si>
  <si>
    <t>标签15*10*0.5</t>
  </si>
  <si>
    <t>B20251012Y02</t>
  </si>
  <si>
    <t>B20251014Y05</t>
  </si>
  <si>
    <t>B20250100018J001</t>
  </si>
  <si>
    <t>速能</t>
  </si>
  <si>
    <t>索霸/库存</t>
  </si>
  <si>
    <t>艾瑞吉/莞瑞/库存</t>
  </si>
  <si>
    <t>WRD2025090024</t>
  </si>
  <si>
    <t>WRD2025010001</t>
  </si>
  <si>
    <t>WRD2025010002</t>
  </si>
  <si>
    <t>WRD2025010003</t>
  </si>
  <si>
    <t>WRD2025010004</t>
  </si>
  <si>
    <t>ZXD-1432  IEC</t>
  </si>
  <si>
    <t>WYD20250016700337</t>
  </si>
  <si>
    <t>WYD20250016700480</t>
  </si>
  <si>
    <t>WYD20250016700995</t>
  </si>
  <si>
    <t>WYD20250016701258</t>
  </si>
  <si>
    <t>鸿海鑫</t>
  </si>
  <si>
    <t>500945-180</t>
  </si>
  <si>
    <t>XYZD20250521</t>
  </si>
  <si>
    <t>XYZD20250507</t>
  </si>
  <si>
    <t>XYZD20250526</t>
  </si>
  <si>
    <t>XYZD-6804迪普</t>
  </si>
  <si>
    <t>贝耳/库存</t>
  </si>
  <si>
    <t>XYZD20250545</t>
  </si>
  <si>
    <t>XYZD20250554</t>
  </si>
  <si>
    <t>LXH-1040德普  10K NTC</t>
  </si>
  <si>
    <t>同源启航（众欣达）</t>
  </si>
  <si>
    <t>ZXD-1532  NTC  10K</t>
  </si>
  <si>
    <t>ZXD-1432  精工板</t>
  </si>
  <si>
    <t>协讯达/库存</t>
  </si>
  <si>
    <t>20251010-1</t>
  </si>
  <si>
    <t>14500-600</t>
  </si>
  <si>
    <t>可丽</t>
  </si>
  <si>
    <t>20251024-1</t>
  </si>
  <si>
    <t>071347</t>
  </si>
  <si>
    <t>071349</t>
  </si>
  <si>
    <t>0000802</t>
  </si>
  <si>
    <t>吸塑盘40/盘</t>
  </si>
  <si>
    <t>KM20251001</t>
  </si>
  <si>
    <t>0072156</t>
  </si>
  <si>
    <t>0000451</t>
  </si>
  <si>
    <t>0000452</t>
  </si>
  <si>
    <t>0000454</t>
  </si>
  <si>
    <t>焊线加工</t>
  </si>
  <si>
    <t>成鸿业</t>
  </si>
  <si>
    <t>XSCK-20251017-00023</t>
  </si>
  <si>
    <t>鑫和盛（和硕）</t>
  </si>
  <si>
    <t>XOUT011913</t>
  </si>
  <si>
    <t>XOUT011922</t>
  </si>
  <si>
    <t>洪瑞定</t>
  </si>
  <si>
    <t>美盛特/库存</t>
  </si>
  <si>
    <t>ASW-2025101502</t>
  </si>
  <si>
    <t>vvs</t>
  </si>
  <si>
    <t>ASW-10804</t>
  </si>
  <si>
    <t>ASW-2025102204</t>
  </si>
  <si>
    <t>凡灵/库存</t>
  </si>
  <si>
    <t>QYX202510270004</t>
  </si>
  <si>
    <t>XK-T-2025-10-26-0007</t>
  </si>
  <si>
    <t>XK-T-2025-10-27-0016</t>
  </si>
  <si>
    <t>XK-T-2025-10-28-0011</t>
  </si>
  <si>
    <t>折角加圆板喷码</t>
  </si>
  <si>
    <t>XK-T-2025-10-29-0007</t>
  </si>
  <si>
    <t>XK-T-2025-10-30-0017</t>
  </si>
  <si>
    <t>XK-T-2025-10-30-0018</t>
  </si>
  <si>
    <t>富明濠康</t>
  </si>
  <si>
    <t>XK-T-2025-10-30-0023</t>
  </si>
  <si>
    <t>XK-T-2025-10-31-0015</t>
  </si>
  <si>
    <t>XK-T-2025-11-01-0005</t>
  </si>
  <si>
    <t>XK-T-2025-11-02-0009</t>
  </si>
  <si>
    <t>XK-T-2025-11-03-0004</t>
  </si>
  <si>
    <t>XK-T-2025-11-04-0004</t>
  </si>
  <si>
    <t>XK-T-2025-11-05-0002</t>
  </si>
  <si>
    <t>XK-T-2025-11-05-0009</t>
  </si>
  <si>
    <t>XK-T-2025-11-06-0001</t>
  </si>
  <si>
    <t>XK-T-2025-11-06-0002</t>
  </si>
  <si>
    <t>XK-T-2025-11-07-0002</t>
  </si>
  <si>
    <t>XK-T-2025-11-08-0001</t>
  </si>
  <si>
    <t>XK-T-2025-11-08-0010</t>
  </si>
  <si>
    <t>XK-T-2025-11-09-0003</t>
  </si>
  <si>
    <t>XK-T-2025-11-10-0010</t>
  </si>
  <si>
    <t>XK-T-2025-11-11-0005</t>
  </si>
  <si>
    <t>XK-T-2025-11-12-0006</t>
  </si>
  <si>
    <t>XK-T-2025-11-13-0015</t>
  </si>
  <si>
    <t>XK-T-2025-11-14-0001</t>
  </si>
  <si>
    <t>XK-T-2025-11-15-0013</t>
  </si>
  <si>
    <t>XK-T-2025-11-16-0009</t>
  </si>
  <si>
    <t>加线双面喷码</t>
  </si>
  <si>
    <t>XK-T-2025-11-17-0006</t>
  </si>
  <si>
    <t>XK-T-2025-11-17-0008</t>
  </si>
  <si>
    <t>XK-T-2025-11-18-0002</t>
  </si>
  <si>
    <t>XK-T-2025-11-18-0003</t>
  </si>
  <si>
    <t>XK-T-2025-11-18-0004</t>
  </si>
  <si>
    <t>XK-T-2025-11-19-0003</t>
  </si>
  <si>
    <t>XK-T-2025-11-19-0018</t>
  </si>
  <si>
    <t>XK-T-2025-11-20-0004</t>
  </si>
  <si>
    <t>XK-T-2025-11-20-0018</t>
  </si>
  <si>
    <t>XK-T-2025-11-22-007</t>
  </si>
  <si>
    <t>XK-T-2025-11-23-0006</t>
  </si>
  <si>
    <t>LNS2025102713062</t>
  </si>
  <si>
    <t>LNS2025102813130</t>
  </si>
  <si>
    <t>沃丙斯</t>
  </si>
  <si>
    <t>LNS2025102813132</t>
  </si>
  <si>
    <t>LNS2025103013263</t>
  </si>
  <si>
    <t>803450-1500</t>
  </si>
  <si>
    <t>海韵</t>
  </si>
  <si>
    <t>LNS2025103013307</t>
  </si>
  <si>
    <t>LNS2025103113368</t>
  </si>
  <si>
    <t>3C认证</t>
  </si>
  <si>
    <t>LNS2025103113375</t>
  </si>
  <si>
    <t>503030-450</t>
  </si>
  <si>
    <t>LNS2025103113379</t>
  </si>
  <si>
    <t>LNS2025110313481</t>
  </si>
  <si>
    <t>LNS2025110413533</t>
  </si>
  <si>
    <t>LNS2025110413553</t>
  </si>
  <si>
    <t>502030-2500</t>
  </si>
  <si>
    <t>LNS2025110413554</t>
  </si>
  <si>
    <t>LNS2025110413579</t>
  </si>
  <si>
    <t>501225-110</t>
  </si>
  <si>
    <t>LNS2025110513619</t>
  </si>
  <si>
    <t>永浚/声特纳</t>
  </si>
  <si>
    <t>LNS2025110513620</t>
  </si>
  <si>
    <t>501230-150</t>
  </si>
  <si>
    <t>LNS2025110513600</t>
  </si>
  <si>
    <t>LNS2025110613700</t>
  </si>
  <si>
    <t>502248-500</t>
  </si>
  <si>
    <t>LNS2025110713770</t>
  </si>
  <si>
    <t>401235-130</t>
  </si>
  <si>
    <t>LNS2025110713805</t>
  </si>
  <si>
    <t>全智人工</t>
  </si>
  <si>
    <t>LNS2025110713815</t>
  </si>
  <si>
    <t>LNS2025110813839</t>
  </si>
  <si>
    <t>LNS2025110813847</t>
  </si>
  <si>
    <t>LNS2025110813881</t>
  </si>
  <si>
    <t>LNS2025110613881</t>
  </si>
  <si>
    <t>LNS2025111013883</t>
  </si>
  <si>
    <t>LNS2025111013918</t>
  </si>
  <si>
    <t>速讯数码</t>
  </si>
  <si>
    <t>LNS2025110613929</t>
  </si>
  <si>
    <t>LNS2025111113998</t>
  </si>
  <si>
    <t>LNS2025111113968</t>
  </si>
  <si>
    <t>安排退货</t>
  </si>
  <si>
    <t>LNS2025111113969</t>
  </si>
  <si>
    <t>货错了，尺寸偏厚，退货</t>
  </si>
  <si>
    <t>LNS2025111214058</t>
  </si>
  <si>
    <t>LNS2025111314103</t>
  </si>
  <si>
    <t>402535-320</t>
  </si>
  <si>
    <t>劲能</t>
  </si>
  <si>
    <t>LNS2025111314095</t>
  </si>
  <si>
    <t>LNS20251114141546</t>
  </si>
  <si>
    <t>LNS2025111414153</t>
  </si>
  <si>
    <t>LNS2025111814335</t>
  </si>
  <si>
    <t>晟晨之音</t>
  </si>
  <si>
    <t>LNS2025111814344</t>
  </si>
  <si>
    <t>601525-240</t>
  </si>
  <si>
    <t>LNS2025111814353</t>
  </si>
  <si>
    <t>LNS2025112014473</t>
  </si>
  <si>
    <t>LNS2025112114527</t>
  </si>
  <si>
    <t>303035-280</t>
  </si>
  <si>
    <t>LNS2025112114530</t>
  </si>
  <si>
    <t>LNS2025112114554</t>
  </si>
  <si>
    <t>LNS2025112114559</t>
  </si>
  <si>
    <t>亿美赛</t>
  </si>
  <si>
    <t>LNS2025112214622</t>
  </si>
  <si>
    <t>500940-180喷145</t>
  </si>
  <si>
    <t>WRD20250100005</t>
  </si>
  <si>
    <t>WRD20250100006</t>
  </si>
  <si>
    <t>WRD20250110001</t>
  </si>
  <si>
    <t>WRD-1432</t>
  </si>
  <si>
    <t>亿欧</t>
  </si>
  <si>
    <t>XSCK-20251028-00041</t>
  </si>
  <si>
    <t>WYD20250016701477</t>
  </si>
  <si>
    <t>WYD20250016701546</t>
  </si>
  <si>
    <t>601045-270</t>
  </si>
  <si>
    <t>WYD20250016701810</t>
  </si>
  <si>
    <t>捷瑜/率先</t>
  </si>
  <si>
    <t>WYD20250016702270</t>
  </si>
  <si>
    <t>0000455</t>
  </si>
  <si>
    <t>0000457</t>
  </si>
  <si>
    <t>双面折角加锡喷码</t>
  </si>
  <si>
    <t>0000458</t>
  </si>
  <si>
    <t>0000459</t>
  </si>
  <si>
    <t>0000460</t>
  </si>
  <si>
    <t>0000461</t>
  </si>
  <si>
    <t>0000571</t>
  </si>
  <si>
    <t>明昕</t>
  </si>
  <si>
    <t>HCY202510006</t>
  </si>
  <si>
    <t>39*31*12</t>
  </si>
  <si>
    <t>HCY202511001</t>
  </si>
  <si>
    <t>HCY202511002</t>
  </si>
  <si>
    <t>HCY202511003</t>
  </si>
  <si>
    <t>HCY202511004</t>
  </si>
  <si>
    <t>HCY202511005</t>
  </si>
  <si>
    <t>15×10×0.1 3M双面胶</t>
  </si>
  <si>
    <t>602030银色标</t>
  </si>
  <si>
    <t>EVA双面泡棉</t>
  </si>
  <si>
    <t>聚格</t>
  </si>
  <si>
    <t>0055881</t>
  </si>
  <si>
    <t>502030-210</t>
  </si>
  <si>
    <t>602030-310</t>
  </si>
  <si>
    <t>602040-420</t>
  </si>
  <si>
    <t>1532-F2</t>
  </si>
  <si>
    <t>2635-C</t>
  </si>
  <si>
    <t>2037-20长单</t>
  </si>
  <si>
    <t>兴创新</t>
  </si>
  <si>
    <t>075813</t>
  </si>
  <si>
    <t>鑫途纳米</t>
  </si>
  <si>
    <t>纳米涂层点胶</t>
  </si>
  <si>
    <t>发南阳</t>
  </si>
  <si>
    <t>XYZD20250572</t>
  </si>
  <si>
    <t>发湖北随州/南阳</t>
  </si>
  <si>
    <t>XYZD20250585</t>
  </si>
  <si>
    <t>SFH-1535迪普</t>
  </si>
  <si>
    <t>XYZD20250607</t>
  </si>
  <si>
    <t>XYZD-1040  10NTC B值3435</t>
  </si>
  <si>
    <t>XYZD-2335 10NTC B值3435</t>
  </si>
  <si>
    <t>LHX-3436</t>
  </si>
  <si>
    <t>小美创新</t>
  </si>
  <si>
    <t>XYZD20250616</t>
  </si>
  <si>
    <t>XYZD-1532  德普</t>
  </si>
  <si>
    <t>XYZD-0704  德普</t>
  </si>
  <si>
    <t>202511070001</t>
  </si>
  <si>
    <t>202511110001</t>
  </si>
  <si>
    <t>折角不喷码</t>
  </si>
  <si>
    <t>202511130001</t>
  </si>
  <si>
    <t>202511140001</t>
  </si>
  <si>
    <t>202511180001</t>
  </si>
  <si>
    <t>202511220001</t>
  </si>
  <si>
    <t>071373</t>
  </si>
  <si>
    <t>1240-48</t>
  </si>
  <si>
    <t>202501108-1</t>
  </si>
  <si>
    <t>202501115-1</t>
  </si>
  <si>
    <t>中间出线10NTC  硅胶线</t>
  </si>
  <si>
    <t>202501117-1</t>
  </si>
  <si>
    <t>QYX202511120005</t>
  </si>
  <si>
    <t>JT202511011-05</t>
  </si>
  <si>
    <t>誉芯</t>
  </si>
  <si>
    <t>YX202511011</t>
  </si>
  <si>
    <t>YX202511048</t>
  </si>
  <si>
    <t>鲲腾（万驰）</t>
  </si>
  <si>
    <t>三核芯</t>
  </si>
  <si>
    <t>601045-230</t>
  </si>
  <si>
    <t>宇宏</t>
  </si>
  <si>
    <t>YJ-202511095</t>
  </si>
  <si>
    <t>青稞纸</t>
  </si>
  <si>
    <t>6*12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</si>
</sst>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&quot;￥&quot;#,##0.00_);[Red]\(&quot;￥&quot;#,##0.00\)"/>
    <numFmt numFmtId="178" formatCode="0.00_ "/>
    <numFmt numFmtId="179" formatCode="m&quot;月&quot;d&quot;日&quot;;@"/>
    <numFmt numFmtId="180" formatCode="0.00_);[Red]\(0.00\)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0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24"/>
      <name val="WPS灵秀黑"/>
      <charset val="134"/>
    </font>
    <font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  <xf numFmtId="0" fontId="31" fillId="0" borderId="0" applyBorder="0">
      <protection locked="0"/>
    </xf>
  </cellStyleXfs>
  <cellXfs count="86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2" fillId="0" borderId="1" xfId="50" applyFont="1" applyFill="1" applyBorder="1" applyAlignment="1" applyProtection="1">
      <alignment horizontal="center" vertical="center" wrapText="1"/>
    </xf>
    <xf numFmtId="58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58" fontId="6" fillId="0" borderId="0" xfId="0" applyNumberFormat="1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58" fontId="0" fillId="0" borderId="1" xfId="0" applyNumberFormat="1" applyBorder="1">
      <alignment vertical="center"/>
    </xf>
    <xf numFmtId="178" fontId="9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58" fontId="6" fillId="0" borderId="0" xfId="0" applyNumberFormat="1" applyFont="1">
      <alignment vertical="center"/>
    </xf>
    <xf numFmtId="58" fontId="11" fillId="0" borderId="1" xfId="50" applyNumberFormat="1" applyFont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2" xfId="50"/>
  </cellStyles>
  <tableStyles count="0" defaultTableStyle="TableStyleMedium2" defaultPivotStyle="PivotStyleLight16"/>
  <colors>
    <mruColors>
      <color rgb="00BDD7EE"/>
      <color rgb="00FFFF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9"/>
  <sheetViews>
    <sheetView tabSelected="1" workbookViewId="0">
      <selection activeCell="A2" sqref="A2"/>
    </sheetView>
  </sheetViews>
  <sheetFormatPr defaultColWidth="9" defaultRowHeight="13.5"/>
  <cols>
    <col min="1" max="2" width="14.875" customWidth="1"/>
    <col min="3" max="3" width="24.25" customWidth="1"/>
    <col min="4" max="4" width="14.875" customWidth="1"/>
    <col min="5" max="5" width="18.75" customWidth="1"/>
    <col min="6" max="13" width="14.875" customWidth="1"/>
  </cols>
  <sheetData>
    <row r="1" s="32" customFormat="1" ht="19" customHeight="1" spans="1:1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8" t="s">
        <v>7</v>
      </c>
      <c r="I1" s="76" t="s">
        <v>8</v>
      </c>
      <c r="J1" s="76" t="s">
        <v>9</v>
      </c>
      <c r="K1" s="76" t="s">
        <v>10</v>
      </c>
    </row>
    <row r="2" spans="1:11">
      <c r="A2" s="41">
        <v>45660</v>
      </c>
      <c r="B2" s="43" t="s">
        <v>11</v>
      </c>
      <c r="C2" s="43" t="s">
        <v>12</v>
      </c>
      <c r="D2" s="43" t="s">
        <v>13</v>
      </c>
      <c r="E2" s="43" t="s">
        <v>14</v>
      </c>
      <c r="F2" s="43">
        <v>15</v>
      </c>
      <c r="G2" s="43">
        <v>1.4</v>
      </c>
      <c r="H2" s="43">
        <f t="shared" ref="H2:H40" si="0">F2*G2</f>
        <v>21</v>
      </c>
      <c r="I2" s="43" t="s">
        <v>15</v>
      </c>
      <c r="J2" s="43" t="s">
        <v>16</v>
      </c>
      <c r="K2" s="43"/>
    </row>
    <row r="3" spans="1:11">
      <c r="A3" s="41">
        <v>45661</v>
      </c>
      <c r="B3" s="43" t="s">
        <v>11</v>
      </c>
      <c r="C3" s="43" t="s">
        <v>17</v>
      </c>
      <c r="D3" s="43" t="s">
        <v>18</v>
      </c>
      <c r="E3" s="43" t="s">
        <v>14</v>
      </c>
      <c r="F3" s="43">
        <v>2110</v>
      </c>
      <c r="G3" s="43">
        <v>0.7</v>
      </c>
      <c r="H3" s="43">
        <f t="shared" si="0"/>
        <v>1477</v>
      </c>
      <c r="I3" s="43" t="s">
        <v>19</v>
      </c>
      <c r="J3" s="43" t="s">
        <v>16</v>
      </c>
      <c r="K3" s="43"/>
    </row>
    <row r="4" spans="1:11">
      <c r="A4" s="41">
        <v>45663</v>
      </c>
      <c r="B4" s="43" t="s">
        <v>11</v>
      </c>
      <c r="C4" s="43" t="s">
        <v>20</v>
      </c>
      <c r="D4" s="43" t="s">
        <v>21</v>
      </c>
      <c r="E4" s="43" t="s">
        <v>14</v>
      </c>
      <c r="F4" s="43">
        <v>20</v>
      </c>
      <c r="G4" s="43">
        <v>1.1</v>
      </c>
      <c r="H4" s="43">
        <f t="shared" si="0"/>
        <v>22</v>
      </c>
      <c r="I4" s="43" t="s">
        <v>22</v>
      </c>
      <c r="J4" s="43" t="s">
        <v>16</v>
      </c>
      <c r="K4" s="43"/>
    </row>
    <row r="5" spans="1:11">
      <c r="A5" s="41">
        <v>45663</v>
      </c>
      <c r="B5" s="43" t="s">
        <v>11</v>
      </c>
      <c r="C5" s="43" t="s">
        <v>23</v>
      </c>
      <c r="D5" s="43" t="s">
        <v>24</v>
      </c>
      <c r="E5" s="43" t="s">
        <v>14</v>
      </c>
      <c r="F5" s="43">
        <v>205</v>
      </c>
      <c r="G5" s="43">
        <v>1</v>
      </c>
      <c r="H5" s="43">
        <f t="shared" si="0"/>
        <v>205</v>
      </c>
      <c r="I5" s="43" t="s">
        <v>25</v>
      </c>
      <c r="J5" s="43" t="s">
        <v>16</v>
      </c>
      <c r="K5" s="43"/>
    </row>
    <row r="6" spans="1:11">
      <c r="A6" s="41">
        <v>45663</v>
      </c>
      <c r="B6" s="43" t="s">
        <v>11</v>
      </c>
      <c r="C6" s="43" t="s">
        <v>26</v>
      </c>
      <c r="D6" s="43" t="s">
        <v>27</v>
      </c>
      <c r="E6" s="43" t="s">
        <v>14</v>
      </c>
      <c r="F6" s="43">
        <v>135</v>
      </c>
      <c r="G6" s="43">
        <v>1.8</v>
      </c>
      <c r="H6" s="43">
        <f t="shared" si="0"/>
        <v>243</v>
      </c>
      <c r="I6" s="43" t="s">
        <v>28</v>
      </c>
      <c r="J6" s="43" t="s">
        <v>16</v>
      </c>
      <c r="K6" s="43"/>
    </row>
    <row r="7" spans="1:11">
      <c r="A7" s="41">
        <v>45664</v>
      </c>
      <c r="B7" s="43" t="s">
        <v>11</v>
      </c>
      <c r="C7" s="43" t="s">
        <v>29</v>
      </c>
      <c r="D7" s="43" t="s">
        <v>30</v>
      </c>
      <c r="E7" s="43" t="s">
        <v>14</v>
      </c>
      <c r="F7" s="43">
        <v>10</v>
      </c>
      <c r="G7" s="43">
        <v>2</v>
      </c>
      <c r="H7" s="43">
        <f t="shared" si="0"/>
        <v>20</v>
      </c>
      <c r="I7" s="43" t="s">
        <v>28</v>
      </c>
      <c r="J7" s="43" t="s">
        <v>16</v>
      </c>
      <c r="K7" s="43"/>
    </row>
    <row r="8" spans="1:11">
      <c r="A8" s="41">
        <v>45664</v>
      </c>
      <c r="B8" s="43" t="s">
        <v>11</v>
      </c>
      <c r="C8" s="43" t="s">
        <v>29</v>
      </c>
      <c r="D8" s="43" t="s">
        <v>31</v>
      </c>
      <c r="E8" s="43" t="s">
        <v>14</v>
      </c>
      <c r="F8" s="43">
        <v>20</v>
      </c>
      <c r="G8" s="43">
        <v>1</v>
      </c>
      <c r="H8" s="43">
        <f t="shared" si="0"/>
        <v>20</v>
      </c>
      <c r="I8" s="43" t="s">
        <v>32</v>
      </c>
      <c r="J8" s="43" t="s">
        <v>16</v>
      </c>
      <c r="K8" s="43"/>
    </row>
    <row r="9" spans="1:11">
      <c r="A9" s="41">
        <v>45666</v>
      </c>
      <c r="B9" s="43" t="s">
        <v>11</v>
      </c>
      <c r="C9" s="43" t="s">
        <v>33</v>
      </c>
      <c r="D9" s="43" t="s">
        <v>34</v>
      </c>
      <c r="E9" s="43" t="s">
        <v>14</v>
      </c>
      <c r="F9" s="43">
        <v>40</v>
      </c>
      <c r="G9" s="43">
        <v>1.05</v>
      </c>
      <c r="H9" s="43">
        <f t="shared" si="0"/>
        <v>42</v>
      </c>
      <c r="I9" s="43" t="s">
        <v>35</v>
      </c>
      <c r="J9" s="43"/>
      <c r="K9" s="43"/>
    </row>
    <row r="10" spans="1:11">
      <c r="A10" s="41">
        <v>45666</v>
      </c>
      <c r="B10" s="43" t="s">
        <v>11</v>
      </c>
      <c r="C10" s="43" t="s">
        <v>33</v>
      </c>
      <c r="D10" s="43" t="s">
        <v>36</v>
      </c>
      <c r="E10" s="43" t="s">
        <v>14</v>
      </c>
      <c r="F10" s="43">
        <v>327</v>
      </c>
      <c r="G10" s="43">
        <v>0.9</v>
      </c>
      <c r="H10" s="43">
        <f t="shared" si="0"/>
        <v>294.3</v>
      </c>
      <c r="I10" s="43" t="s">
        <v>37</v>
      </c>
      <c r="J10" s="43"/>
      <c r="K10" s="43"/>
    </row>
    <row r="11" spans="1:11">
      <c r="A11" s="41">
        <v>45666</v>
      </c>
      <c r="B11" s="43" t="s">
        <v>11</v>
      </c>
      <c r="C11" s="43" t="s">
        <v>33</v>
      </c>
      <c r="D11" s="43" t="s">
        <v>38</v>
      </c>
      <c r="E11" s="43" t="s">
        <v>14</v>
      </c>
      <c r="F11" s="43">
        <v>101</v>
      </c>
      <c r="G11" s="43">
        <v>1.4</v>
      </c>
      <c r="H11" s="43">
        <f t="shared" si="0"/>
        <v>141.4</v>
      </c>
      <c r="I11" s="43" t="s">
        <v>39</v>
      </c>
      <c r="J11" s="43"/>
      <c r="K11" s="43"/>
    </row>
    <row r="12" spans="1:11">
      <c r="A12" s="41">
        <v>45667</v>
      </c>
      <c r="B12" s="43" t="s">
        <v>11</v>
      </c>
      <c r="C12" s="43" t="s">
        <v>40</v>
      </c>
      <c r="D12" s="43" t="s">
        <v>34</v>
      </c>
      <c r="E12" s="43" t="s">
        <v>14</v>
      </c>
      <c r="F12" s="43">
        <v>60</v>
      </c>
      <c r="G12" s="43">
        <v>1.05</v>
      </c>
      <c r="H12" s="43">
        <f t="shared" si="0"/>
        <v>63</v>
      </c>
      <c r="I12" s="43" t="s">
        <v>35</v>
      </c>
      <c r="J12" s="43" t="s">
        <v>16</v>
      </c>
      <c r="K12" s="43"/>
    </row>
    <row r="13" spans="1:11">
      <c r="A13" s="41">
        <v>45667</v>
      </c>
      <c r="B13" s="43" t="s">
        <v>11</v>
      </c>
      <c r="C13" s="43" t="s">
        <v>41</v>
      </c>
      <c r="D13" s="43" t="s">
        <v>27</v>
      </c>
      <c r="E13" s="43" t="s">
        <v>14</v>
      </c>
      <c r="F13" s="43">
        <v>505</v>
      </c>
      <c r="G13" s="43">
        <v>1.8</v>
      </c>
      <c r="H13" s="43">
        <f t="shared" si="0"/>
        <v>909</v>
      </c>
      <c r="I13" s="43" t="s">
        <v>42</v>
      </c>
      <c r="J13" s="43" t="s">
        <v>16</v>
      </c>
      <c r="K13" s="43"/>
    </row>
    <row r="14" spans="1:11">
      <c r="A14" s="41">
        <v>45668</v>
      </c>
      <c r="B14" s="43" t="s">
        <v>11</v>
      </c>
      <c r="C14" s="43" t="s">
        <v>43</v>
      </c>
      <c r="D14" s="43" t="s">
        <v>44</v>
      </c>
      <c r="E14" s="43" t="s">
        <v>14</v>
      </c>
      <c r="F14" s="43">
        <v>6370</v>
      </c>
      <c r="G14" s="43">
        <v>1</v>
      </c>
      <c r="H14" s="43">
        <f t="shared" si="0"/>
        <v>6370</v>
      </c>
      <c r="I14" s="43" t="s">
        <v>45</v>
      </c>
      <c r="J14" s="43" t="s">
        <v>16</v>
      </c>
      <c r="K14" s="43" t="s">
        <v>46</v>
      </c>
    </row>
    <row r="15" spans="1:11">
      <c r="A15" s="41">
        <v>45668</v>
      </c>
      <c r="B15" s="43" t="s">
        <v>11</v>
      </c>
      <c r="C15" s="43" t="s">
        <v>43</v>
      </c>
      <c r="D15" s="43" t="s">
        <v>47</v>
      </c>
      <c r="E15" s="43" t="s">
        <v>14</v>
      </c>
      <c r="F15" s="43">
        <v>20</v>
      </c>
      <c r="G15" s="43">
        <v>1.2</v>
      </c>
      <c r="H15" s="43">
        <f t="shared" si="0"/>
        <v>24</v>
      </c>
      <c r="I15" s="43" t="s">
        <v>48</v>
      </c>
      <c r="J15" s="43" t="s">
        <v>16</v>
      </c>
      <c r="K15" s="43"/>
    </row>
    <row r="16" spans="1:11">
      <c r="A16" s="41">
        <v>45670</v>
      </c>
      <c r="B16" s="43" t="s">
        <v>11</v>
      </c>
      <c r="C16" s="43" t="s">
        <v>49</v>
      </c>
      <c r="D16" s="43" t="s">
        <v>50</v>
      </c>
      <c r="E16" s="43" t="s">
        <v>14</v>
      </c>
      <c r="F16" s="43">
        <v>5010</v>
      </c>
      <c r="G16" s="43">
        <v>1.1</v>
      </c>
      <c r="H16" s="43">
        <f t="shared" si="0"/>
        <v>5511</v>
      </c>
      <c r="I16" s="43" t="s">
        <v>51</v>
      </c>
      <c r="J16" s="43" t="s">
        <v>16</v>
      </c>
      <c r="K16" s="43" t="s">
        <v>46</v>
      </c>
    </row>
    <row r="17" spans="1:11">
      <c r="A17" s="41">
        <v>45670</v>
      </c>
      <c r="B17" s="43" t="s">
        <v>11</v>
      </c>
      <c r="C17" s="43" t="s">
        <v>52</v>
      </c>
      <c r="D17" s="43" t="s">
        <v>53</v>
      </c>
      <c r="E17" s="43" t="s">
        <v>14</v>
      </c>
      <c r="F17" s="43">
        <v>6700</v>
      </c>
      <c r="G17" s="43">
        <v>1.3</v>
      </c>
      <c r="H17" s="43">
        <f t="shared" si="0"/>
        <v>8710</v>
      </c>
      <c r="I17" s="43" t="s">
        <v>54</v>
      </c>
      <c r="J17" s="43" t="s">
        <v>16</v>
      </c>
      <c r="K17" s="43"/>
    </row>
    <row r="18" spans="1:11">
      <c r="A18" s="41">
        <v>45672</v>
      </c>
      <c r="B18" s="43" t="s">
        <v>11</v>
      </c>
      <c r="C18" s="43" t="s">
        <v>55</v>
      </c>
      <c r="D18" s="43" t="s">
        <v>31</v>
      </c>
      <c r="E18" s="43" t="s">
        <v>14</v>
      </c>
      <c r="F18" s="43">
        <v>50</v>
      </c>
      <c r="G18" s="43">
        <v>1</v>
      </c>
      <c r="H18" s="43">
        <f t="shared" si="0"/>
        <v>50</v>
      </c>
      <c r="I18" s="43" t="s">
        <v>56</v>
      </c>
      <c r="J18" s="43"/>
      <c r="K18" s="43"/>
    </row>
    <row r="19" s="35" customFormat="1" spans="1:11">
      <c r="A19" s="44">
        <v>45658</v>
      </c>
      <c r="B19" s="45" t="s">
        <v>57</v>
      </c>
      <c r="C19" s="86" t="s">
        <v>58</v>
      </c>
      <c r="D19" s="45" t="s">
        <v>59</v>
      </c>
      <c r="E19" s="45" t="s">
        <v>60</v>
      </c>
      <c r="F19" s="45">
        <v>10000</v>
      </c>
      <c r="G19" s="45">
        <v>0.53</v>
      </c>
      <c r="H19" s="45">
        <f t="shared" si="0"/>
        <v>5300</v>
      </c>
      <c r="I19" s="45" t="s">
        <v>61</v>
      </c>
      <c r="J19" s="45"/>
      <c r="K19" s="45"/>
    </row>
    <row r="20" s="35" customFormat="1" spans="1:11">
      <c r="A20" s="44">
        <v>45658</v>
      </c>
      <c r="B20" s="45" t="s">
        <v>57</v>
      </c>
      <c r="C20" s="86" t="s">
        <v>58</v>
      </c>
      <c r="D20" s="45" t="s">
        <v>59</v>
      </c>
      <c r="E20" s="45" t="s">
        <v>62</v>
      </c>
      <c r="F20" s="45">
        <v>250</v>
      </c>
      <c r="G20" s="45">
        <v>0.55</v>
      </c>
      <c r="H20" s="45">
        <f t="shared" si="0"/>
        <v>137.5</v>
      </c>
      <c r="I20" s="45" t="s">
        <v>63</v>
      </c>
      <c r="J20" s="45"/>
      <c r="K20" s="45"/>
    </row>
    <row r="21" s="35" customFormat="1" spans="1:11">
      <c r="A21" s="44">
        <v>45659</v>
      </c>
      <c r="B21" s="45" t="s">
        <v>57</v>
      </c>
      <c r="C21" s="86" t="s">
        <v>64</v>
      </c>
      <c r="D21" s="45" t="s">
        <v>59</v>
      </c>
      <c r="E21" s="45" t="s">
        <v>60</v>
      </c>
      <c r="F21" s="45">
        <v>4030</v>
      </c>
      <c r="G21" s="45">
        <v>0.53</v>
      </c>
      <c r="H21" s="45">
        <f t="shared" si="0"/>
        <v>2135.9</v>
      </c>
      <c r="I21" s="45" t="s">
        <v>65</v>
      </c>
      <c r="J21" s="45"/>
      <c r="K21" s="45"/>
    </row>
    <row r="22" s="35" customFormat="1" spans="1:11">
      <c r="A22" s="44">
        <v>45659</v>
      </c>
      <c r="B22" s="45" t="s">
        <v>57</v>
      </c>
      <c r="C22" s="86" t="s">
        <v>64</v>
      </c>
      <c r="D22" s="45" t="s">
        <v>59</v>
      </c>
      <c r="E22" s="45" t="s">
        <v>60</v>
      </c>
      <c r="F22" s="45">
        <v>10000</v>
      </c>
      <c r="G22" s="45">
        <v>0.53</v>
      </c>
      <c r="H22" s="45">
        <f t="shared" si="0"/>
        <v>5300</v>
      </c>
      <c r="I22" s="45" t="s">
        <v>61</v>
      </c>
      <c r="J22" s="45"/>
      <c r="K22" s="45"/>
    </row>
    <row r="23" s="35" customFormat="1" spans="1:11">
      <c r="A23" s="44">
        <v>45659</v>
      </c>
      <c r="B23" s="45" t="s">
        <v>57</v>
      </c>
      <c r="C23" s="86" t="s">
        <v>64</v>
      </c>
      <c r="D23" s="45" t="s">
        <v>59</v>
      </c>
      <c r="E23" s="45" t="s">
        <v>62</v>
      </c>
      <c r="F23" s="45">
        <v>10000</v>
      </c>
      <c r="G23" s="45">
        <v>0.55</v>
      </c>
      <c r="H23" s="45">
        <f t="shared" si="0"/>
        <v>5500</v>
      </c>
      <c r="I23" s="45" t="s">
        <v>65</v>
      </c>
      <c r="J23" s="45"/>
      <c r="K23" s="45"/>
    </row>
    <row r="24" s="35" customFormat="1" spans="1:11">
      <c r="A24" s="44">
        <v>45659</v>
      </c>
      <c r="B24" s="45" t="s">
        <v>57</v>
      </c>
      <c r="C24" s="86" t="s">
        <v>64</v>
      </c>
      <c r="D24" s="45" t="s">
        <v>59</v>
      </c>
      <c r="E24" s="45" t="s">
        <v>60</v>
      </c>
      <c r="F24" s="45">
        <v>530</v>
      </c>
      <c r="G24" s="45">
        <v>0.53</v>
      </c>
      <c r="H24" s="45">
        <f t="shared" si="0"/>
        <v>280.9</v>
      </c>
      <c r="I24" s="45" t="s">
        <v>63</v>
      </c>
      <c r="J24" s="45"/>
      <c r="K24" s="45"/>
    </row>
    <row r="25" s="35" customFormat="1" spans="1:11">
      <c r="A25" s="44">
        <v>45660</v>
      </c>
      <c r="B25" s="45" t="s">
        <v>57</v>
      </c>
      <c r="C25" s="86" t="s">
        <v>66</v>
      </c>
      <c r="D25" s="45" t="s">
        <v>59</v>
      </c>
      <c r="E25" s="45" t="s">
        <v>62</v>
      </c>
      <c r="F25" s="45">
        <v>20000</v>
      </c>
      <c r="G25" s="45">
        <v>0.55</v>
      </c>
      <c r="H25" s="45">
        <f t="shared" si="0"/>
        <v>11000</v>
      </c>
      <c r="I25" s="45" t="s">
        <v>65</v>
      </c>
      <c r="J25" s="45"/>
      <c r="K25" s="45"/>
    </row>
    <row r="26" s="35" customFormat="1" spans="1:11">
      <c r="A26" s="44">
        <v>45662</v>
      </c>
      <c r="B26" s="45" t="s">
        <v>57</v>
      </c>
      <c r="C26" s="86" t="s">
        <v>67</v>
      </c>
      <c r="D26" s="45" t="s">
        <v>59</v>
      </c>
      <c r="E26" s="45" t="s">
        <v>60</v>
      </c>
      <c r="F26" s="45">
        <v>5120</v>
      </c>
      <c r="G26" s="45">
        <v>0.55</v>
      </c>
      <c r="H26" s="45">
        <f t="shared" si="0"/>
        <v>2816</v>
      </c>
      <c r="I26" s="45" t="s">
        <v>65</v>
      </c>
      <c r="J26" s="45"/>
      <c r="K26" s="45"/>
    </row>
    <row r="27" s="35" customFormat="1" spans="1:11">
      <c r="A27" s="44">
        <v>45662</v>
      </c>
      <c r="B27" s="45" t="s">
        <v>57</v>
      </c>
      <c r="C27" s="86" t="s">
        <v>67</v>
      </c>
      <c r="D27" s="45" t="s">
        <v>59</v>
      </c>
      <c r="E27" s="45" t="s">
        <v>62</v>
      </c>
      <c r="F27" s="45">
        <v>20500</v>
      </c>
      <c r="G27" s="45">
        <v>0.55</v>
      </c>
      <c r="H27" s="45">
        <f t="shared" si="0"/>
        <v>11275</v>
      </c>
      <c r="I27" s="45" t="s">
        <v>65</v>
      </c>
      <c r="J27" s="45"/>
      <c r="K27" s="45"/>
    </row>
    <row r="28" s="35" customFormat="1" spans="1:11">
      <c r="A28" s="44">
        <v>45662</v>
      </c>
      <c r="B28" s="45" t="s">
        <v>57</v>
      </c>
      <c r="C28" s="86" t="s">
        <v>67</v>
      </c>
      <c r="D28" s="45" t="s">
        <v>59</v>
      </c>
      <c r="E28" s="45" t="s">
        <v>60</v>
      </c>
      <c r="F28" s="45">
        <v>12500</v>
      </c>
      <c r="G28" s="45">
        <v>0.53</v>
      </c>
      <c r="H28" s="45">
        <f t="shared" si="0"/>
        <v>6625</v>
      </c>
      <c r="I28" s="45" t="s">
        <v>61</v>
      </c>
      <c r="J28" s="45"/>
      <c r="K28" s="45"/>
    </row>
    <row r="29" s="35" customFormat="1" spans="1:11">
      <c r="A29" s="44">
        <v>45663</v>
      </c>
      <c r="B29" s="45" t="s">
        <v>57</v>
      </c>
      <c r="C29" s="86" t="s">
        <v>68</v>
      </c>
      <c r="D29" s="45" t="s">
        <v>59</v>
      </c>
      <c r="E29" s="45" t="s">
        <v>62</v>
      </c>
      <c r="F29" s="45">
        <v>250</v>
      </c>
      <c r="G29" s="45">
        <v>0.55</v>
      </c>
      <c r="H29" s="45">
        <f t="shared" si="0"/>
        <v>137.5</v>
      </c>
      <c r="I29" s="45" t="s">
        <v>69</v>
      </c>
      <c r="J29" s="45"/>
      <c r="K29" s="45"/>
    </row>
    <row r="30" s="35" customFormat="1" spans="1:11">
      <c r="A30" s="44">
        <v>45663</v>
      </c>
      <c r="B30" s="45" t="s">
        <v>57</v>
      </c>
      <c r="C30" s="86" t="s">
        <v>68</v>
      </c>
      <c r="D30" s="45" t="s">
        <v>59</v>
      </c>
      <c r="E30" s="45" t="s">
        <v>62</v>
      </c>
      <c r="F30" s="45">
        <v>300</v>
      </c>
      <c r="G30" s="45">
        <v>0.55</v>
      </c>
      <c r="H30" s="45">
        <f t="shared" si="0"/>
        <v>165</v>
      </c>
      <c r="I30" s="45" t="s">
        <v>65</v>
      </c>
      <c r="J30" s="45"/>
      <c r="K30" s="45"/>
    </row>
    <row r="31" s="35" customFormat="1" spans="1:11">
      <c r="A31" s="44">
        <v>45663</v>
      </c>
      <c r="B31" s="45" t="s">
        <v>57</v>
      </c>
      <c r="C31" s="86" t="s">
        <v>68</v>
      </c>
      <c r="D31" s="45" t="s">
        <v>59</v>
      </c>
      <c r="E31" s="45" t="s">
        <v>60</v>
      </c>
      <c r="F31" s="45">
        <v>20000</v>
      </c>
      <c r="G31" s="45">
        <v>0.53</v>
      </c>
      <c r="H31" s="45">
        <f t="shared" si="0"/>
        <v>10600</v>
      </c>
      <c r="I31" s="45" t="s">
        <v>61</v>
      </c>
      <c r="J31" s="45"/>
      <c r="K31" s="45"/>
    </row>
    <row r="32" s="35" customFormat="1" spans="1:11">
      <c r="A32" s="44">
        <v>45663</v>
      </c>
      <c r="B32" s="45" t="s">
        <v>57</v>
      </c>
      <c r="C32" s="45">
        <v>0.132347</v>
      </c>
      <c r="D32" s="45" t="s">
        <v>70</v>
      </c>
      <c r="E32" s="45" t="s">
        <v>62</v>
      </c>
      <c r="F32" s="45">
        <v>305</v>
      </c>
      <c r="G32" s="45">
        <v>0.57</v>
      </c>
      <c r="H32" s="45">
        <f t="shared" si="0"/>
        <v>173.85</v>
      </c>
      <c r="I32" s="45" t="s">
        <v>71</v>
      </c>
      <c r="J32" s="45"/>
      <c r="K32" s="45"/>
    </row>
    <row r="33" s="35" customFormat="1" spans="1:11">
      <c r="A33" s="44">
        <v>45665</v>
      </c>
      <c r="B33" s="45" t="s">
        <v>57</v>
      </c>
      <c r="C33" s="86" t="s">
        <v>72</v>
      </c>
      <c r="D33" s="45" t="s">
        <v>59</v>
      </c>
      <c r="E33" s="45" t="s">
        <v>60</v>
      </c>
      <c r="F33" s="45">
        <v>30000</v>
      </c>
      <c r="G33" s="45">
        <v>0.53</v>
      </c>
      <c r="H33" s="45">
        <f t="shared" si="0"/>
        <v>15900</v>
      </c>
      <c r="I33" s="45" t="s">
        <v>61</v>
      </c>
      <c r="J33" s="45"/>
      <c r="K33" s="45"/>
    </row>
    <row r="34" s="35" customFormat="1" spans="1:11">
      <c r="A34" s="44">
        <v>45665</v>
      </c>
      <c r="B34" s="45" t="s">
        <v>57</v>
      </c>
      <c r="C34" s="86" t="s">
        <v>72</v>
      </c>
      <c r="D34" s="45" t="s">
        <v>59</v>
      </c>
      <c r="E34" s="45" t="s">
        <v>60</v>
      </c>
      <c r="F34" s="45">
        <v>30000</v>
      </c>
      <c r="G34" s="45">
        <v>0.53</v>
      </c>
      <c r="H34" s="45">
        <f t="shared" si="0"/>
        <v>15900</v>
      </c>
      <c r="I34" s="45" t="s">
        <v>61</v>
      </c>
      <c r="J34" s="45"/>
      <c r="K34" s="45"/>
    </row>
    <row r="35" s="35" customFormat="1" spans="1:11">
      <c r="A35" s="44">
        <v>45667</v>
      </c>
      <c r="B35" s="45" t="s">
        <v>57</v>
      </c>
      <c r="C35" s="86" t="s">
        <v>73</v>
      </c>
      <c r="D35" s="45" t="s">
        <v>59</v>
      </c>
      <c r="E35" s="45" t="s">
        <v>60</v>
      </c>
      <c r="F35" s="45">
        <v>405</v>
      </c>
      <c r="G35" s="45">
        <v>0.52</v>
      </c>
      <c r="H35" s="45">
        <f t="shared" si="0"/>
        <v>210.6</v>
      </c>
      <c r="I35" s="45" t="s">
        <v>63</v>
      </c>
      <c r="J35" s="45"/>
      <c r="K35" s="45"/>
    </row>
    <row r="36" spans="1:11">
      <c r="A36" s="41">
        <v>45660</v>
      </c>
      <c r="B36" s="43" t="s">
        <v>74</v>
      </c>
      <c r="C36" s="43" t="s">
        <v>75</v>
      </c>
      <c r="D36" s="43" t="s">
        <v>76</v>
      </c>
      <c r="E36" s="43" t="s">
        <v>60</v>
      </c>
      <c r="F36" s="45">
        <v>4028</v>
      </c>
      <c r="G36" s="45">
        <v>0.58</v>
      </c>
      <c r="H36" s="43">
        <f t="shared" si="0"/>
        <v>2336.24</v>
      </c>
      <c r="I36" s="43" t="s">
        <v>77</v>
      </c>
      <c r="J36" s="43"/>
      <c r="K36" s="43"/>
    </row>
    <row r="37" spans="1:11">
      <c r="A37" s="41">
        <v>45660</v>
      </c>
      <c r="B37" s="43" t="s">
        <v>74</v>
      </c>
      <c r="C37" s="43" t="s">
        <v>75</v>
      </c>
      <c r="D37" s="43" t="s">
        <v>59</v>
      </c>
      <c r="E37" s="43" t="s">
        <v>60</v>
      </c>
      <c r="F37" s="45">
        <v>3071</v>
      </c>
      <c r="G37" s="45">
        <v>0.58</v>
      </c>
      <c r="H37" s="43">
        <f t="shared" si="0"/>
        <v>1781.18</v>
      </c>
      <c r="I37" s="43" t="s">
        <v>78</v>
      </c>
      <c r="J37" s="43"/>
      <c r="K37" s="43"/>
    </row>
    <row r="38" spans="1:11">
      <c r="A38" s="41">
        <v>45660</v>
      </c>
      <c r="B38" s="43" t="s">
        <v>74</v>
      </c>
      <c r="C38" s="43" t="s">
        <v>75</v>
      </c>
      <c r="D38" s="43" t="s">
        <v>59</v>
      </c>
      <c r="E38" s="43" t="s">
        <v>62</v>
      </c>
      <c r="F38" s="45">
        <v>5000</v>
      </c>
      <c r="G38" s="45">
        <v>0.58</v>
      </c>
      <c r="H38" s="43">
        <f t="shared" si="0"/>
        <v>2900</v>
      </c>
      <c r="I38" s="43" t="s">
        <v>79</v>
      </c>
      <c r="J38" s="43"/>
      <c r="K38" s="43"/>
    </row>
    <row r="39" spans="1:11">
      <c r="A39" s="41">
        <v>45661</v>
      </c>
      <c r="B39" s="43" t="s">
        <v>74</v>
      </c>
      <c r="C39" s="43" t="s">
        <v>80</v>
      </c>
      <c r="D39" s="43" t="s">
        <v>59</v>
      </c>
      <c r="E39" s="43" t="s">
        <v>62</v>
      </c>
      <c r="F39" s="45">
        <v>15134</v>
      </c>
      <c r="G39" s="45">
        <v>0.58</v>
      </c>
      <c r="H39" s="43">
        <f t="shared" si="0"/>
        <v>8777.72</v>
      </c>
      <c r="I39" s="43" t="s">
        <v>79</v>
      </c>
      <c r="J39" s="43"/>
      <c r="K39" s="43"/>
    </row>
    <row r="40" spans="1:11">
      <c r="A40" s="41">
        <v>45676</v>
      </c>
      <c r="B40" s="43" t="s">
        <v>74</v>
      </c>
      <c r="C40" s="43" t="s">
        <v>81</v>
      </c>
      <c r="D40" s="43" t="s">
        <v>76</v>
      </c>
      <c r="E40" s="43" t="s">
        <v>60</v>
      </c>
      <c r="F40" s="45">
        <v>12829</v>
      </c>
      <c r="G40" s="45">
        <v>0.6</v>
      </c>
      <c r="H40" s="43">
        <f t="shared" si="0"/>
        <v>7697.4</v>
      </c>
      <c r="I40" s="43" t="s">
        <v>45</v>
      </c>
      <c r="J40" s="43"/>
      <c r="K40" s="43"/>
    </row>
    <row r="41" spans="1:11">
      <c r="A41" s="41">
        <v>45659</v>
      </c>
      <c r="B41" s="43" t="s">
        <v>82</v>
      </c>
      <c r="C41" s="43" t="s">
        <v>83</v>
      </c>
      <c r="D41" s="43" t="s">
        <v>84</v>
      </c>
      <c r="E41" s="43" t="s">
        <v>85</v>
      </c>
      <c r="F41" s="43">
        <v>32182</v>
      </c>
      <c r="G41" s="43">
        <v>1.05</v>
      </c>
      <c r="H41" s="43">
        <f t="shared" ref="H41:H98" si="1">F41*G41</f>
        <v>33791.1</v>
      </c>
      <c r="I41" s="43" t="s">
        <v>86</v>
      </c>
      <c r="J41" s="43" t="s">
        <v>87</v>
      </c>
      <c r="K41" s="43">
        <v>1.21</v>
      </c>
    </row>
    <row r="42" spans="1:11">
      <c r="A42" s="41">
        <v>45659</v>
      </c>
      <c r="B42" s="43" t="s">
        <v>82</v>
      </c>
      <c r="C42" s="43" t="s">
        <v>83</v>
      </c>
      <c r="D42" s="43" t="s">
        <v>88</v>
      </c>
      <c r="E42" s="43" t="s">
        <v>85</v>
      </c>
      <c r="F42" s="43">
        <v>850</v>
      </c>
      <c r="G42" s="43">
        <v>2.03</v>
      </c>
      <c r="H42" s="43">
        <f t="shared" si="1"/>
        <v>1725.5</v>
      </c>
      <c r="I42" s="43" t="s">
        <v>89</v>
      </c>
      <c r="J42" s="43" t="s">
        <v>90</v>
      </c>
      <c r="K42" s="43">
        <v>2.2</v>
      </c>
    </row>
    <row r="43" spans="1:11">
      <c r="A43" s="41">
        <v>45663</v>
      </c>
      <c r="B43" s="43" t="s">
        <v>91</v>
      </c>
      <c r="C43" s="43" t="s">
        <v>92</v>
      </c>
      <c r="D43" s="43" t="s">
        <v>93</v>
      </c>
      <c r="E43" s="43" t="s">
        <v>14</v>
      </c>
      <c r="F43" s="43">
        <v>995</v>
      </c>
      <c r="G43" s="43">
        <v>3.85</v>
      </c>
      <c r="H43" s="43">
        <f t="shared" si="1"/>
        <v>3830.75</v>
      </c>
      <c r="I43" s="43" t="s">
        <v>94</v>
      </c>
      <c r="J43" s="43"/>
      <c r="K43" s="43">
        <v>4.494</v>
      </c>
    </row>
    <row r="44" spans="1:11">
      <c r="A44" s="41">
        <v>45663</v>
      </c>
      <c r="B44" s="43" t="s">
        <v>91</v>
      </c>
      <c r="C44" s="43" t="s">
        <v>92</v>
      </c>
      <c r="D44" s="43" t="s">
        <v>95</v>
      </c>
      <c r="E44" s="43" t="s">
        <v>14</v>
      </c>
      <c r="F44" s="43">
        <v>4001</v>
      </c>
      <c r="G44" s="43">
        <v>4.5</v>
      </c>
      <c r="H44" s="43">
        <f t="shared" si="1"/>
        <v>18004.5</v>
      </c>
      <c r="I44" s="43" t="s">
        <v>94</v>
      </c>
      <c r="J44" s="43"/>
      <c r="K44" s="43"/>
    </row>
    <row r="45" spans="1:11">
      <c r="A45" s="41">
        <v>45666</v>
      </c>
      <c r="B45" s="43" t="s">
        <v>91</v>
      </c>
      <c r="C45" s="43" t="s">
        <v>96</v>
      </c>
      <c r="D45" s="43" t="s">
        <v>93</v>
      </c>
      <c r="E45" s="43" t="s">
        <v>14</v>
      </c>
      <c r="F45" s="43">
        <v>13000</v>
      </c>
      <c r="G45" s="43">
        <v>3.85</v>
      </c>
      <c r="H45" s="43">
        <f t="shared" si="1"/>
        <v>50050</v>
      </c>
      <c r="I45" s="43" t="s">
        <v>94</v>
      </c>
      <c r="J45" s="43"/>
      <c r="K45" s="43">
        <v>4.494</v>
      </c>
    </row>
    <row r="46" spans="1:11">
      <c r="A46" s="41">
        <v>45666</v>
      </c>
      <c r="B46" s="43" t="s">
        <v>91</v>
      </c>
      <c r="C46" s="43" t="s">
        <v>96</v>
      </c>
      <c r="D46" s="43" t="s">
        <v>95</v>
      </c>
      <c r="E46" s="43" t="s">
        <v>14</v>
      </c>
      <c r="F46" s="43">
        <v>3001</v>
      </c>
      <c r="G46" s="43">
        <v>4.5</v>
      </c>
      <c r="H46" s="43">
        <f t="shared" si="1"/>
        <v>13504.5</v>
      </c>
      <c r="I46" s="43" t="s">
        <v>94</v>
      </c>
      <c r="J46" s="43"/>
      <c r="K46" s="43"/>
    </row>
    <row r="47" spans="1:11">
      <c r="A47" s="41">
        <v>45661</v>
      </c>
      <c r="B47" s="43" t="s">
        <v>97</v>
      </c>
      <c r="C47" s="43"/>
      <c r="D47" s="43" t="s">
        <v>98</v>
      </c>
      <c r="E47" s="43" t="s">
        <v>99</v>
      </c>
      <c r="F47" s="43">
        <v>3050</v>
      </c>
      <c r="G47" s="43">
        <v>0.83</v>
      </c>
      <c r="H47" s="43">
        <f t="shared" si="1"/>
        <v>2531.5</v>
      </c>
      <c r="I47" s="43" t="s">
        <v>100</v>
      </c>
      <c r="J47" s="43"/>
      <c r="K47" s="43"/>
    </row>
    <row r="48" spans="1:11">
      <c r="A48" s="41">
        <v>45662</v>
      </c>
      <c r="B48" s="43" t="s">
        <v>101</v>
      </c>
      <c r="C48" s="43">
        <v>20250102</v>
      </c>
      <c r="D48" s="43" t="s">
        <v>102</v>
      </c>
      <c r="E48" s="43" t="s">
        <v>60</v>
      </c>
      <c r="F48" s="43">
        <v>4058</v>
      </c>
      <c r="G48" s="43">
        <v>0.83</v>
      </c>
      <c r="H48" s="43">
        <f t="shared" si="1"/>
        <v>3368.14</v>
      </c>
      <c r="I48" s="43" t="s">
        <v>103</v>
      </c>
      <c r="J48" s="43"/>
      <c r="K48" s="43"/>
    </row>
    <row r="49" spans="1:11">
      <c r="A49" s="41">
        <v>45660</v>
      </c>
      <c r="B49" s="43" t="s">
        <v>101</v>
      </c>
      <c r="C49" s="43">
        <v>20250101</v>
      </c>
      <c r="D49" s="43" t="s">
        <v>104</v>
      </c>
      <c r="E49" s="43" t="s">
        <v>99</v>
      </c>
      <c r="F49" s="43">
        <v>10000</v>
      </c>
      <c r="G49" s="43">
        <v>0.98</v>
      </c>
      <c r="H49" s="43">
        <f t="shared" si="1"/>
        <v>9800</v>
      </c>
      <c r="I49" s="43" t="s">
        <v>105</v>
      </c>
      <c r="J49" s="43"/>
      <c r="K49" s="43"/>
    </row>
    <row r="50" spans="1:11">
      <c r="A50" s="41">
        <v>45664</v>
      </c>
      <c r="B50" s="43" t="s">
        <v>101</v>
      </c>
      <c r="C50" s="43">
        <v>20250103</v>
      </c>
      <c r="D50" s="43" t="s">
        <v>84</v>
      </c>
      <c r="E50" s="43" t="s">
        <v>85</v>
      </c>
      <c r="F50" s="43">
        <v>2900</v>
      </c>
      <c r="G50" s="43">
        <v>1.23</v>
      </c>
      <c r="H50" s="43">
        <f t="shared" si="1"/>
        <v>3567</v>
      </c>
      <c r="I50" s="43" t="s">
        <v>106</v>
      </c>
      <c r="J50" s="43"/>
      <c r="K50" s="43"/>
    </row>
    <row r="51" spans="1:11">
      <c r="A51" s="41">
        <v>45669</v>
      </c>
      <c r="B51" s="43" t="s">
        <v>101</v>
      </c>
      <c r="C51" s="43">
        <v>20250104</v>
      </c>
      <c r="D51" s="43" t="s">
        <v>107</v>
      </c>
      <c r="E51" s="43" t="s">
        <v>60</v>
      </c>
      <c r="F51" s="43">
        <v>85</v>
      </c>
      <c r="G51" s="43">
        <v>0.8</v>
      </c>
      <c r="H51" s="43">
        <f t="shared" si="1"/>
        <v>68</v>
      </c>
      <c r="I51" s="43" t="s">
        <v>103</v>
      </c>
      <c r="J51" s="43"/>
      <c r="K51" s="43"/>
    </row>
    <row r="52" spans="1:11">
      <c r="A52" s="41">
        <v>45672</v>
      </c>
      <c r="B52" s="43" t="s">
        <v>101</v>
      </c>
      <c r="C52" s="43">
        <v>20250105</v>
      </c>
      <c r="D52" s="43" t="s">
        <v>108</v>
      </c>
      <c r="E52" s="43" t="s">
        <v>99</v>
      </c>
      <c r="F52" s="43">
        <v>505</v>
      </c>
      <c r="G52" s="43">
        <v>0.95</v>
      </c>
      <c r="H52" s="43">
        <f t="shared" si="1"/>
        <v>479.75</v>
      </c>
      <c r="I52" s="43" t="s">
        <v>109</v>
      </c>
      <c r="J52" s="43"/>
      <c r="K52" s="43"/>
    </row>
    <row r="53" spans="1:11">
      <c r="A53" s="41">
        <v>45675</v>
      </c>
      <c r="B53" s="43" t="s">
        <v>101</v>
      </c>
      <c r="C53" s="43">
        <v>20250106</v>
      </c>
      <c r="D53" s="43" t="s">
        <v>110</v>
      </c>
      <c r="E53" s="43" t="s">
        <v>111</v>
      </c>
      <c r="F53" s="43">
        <v>62000</v>
      </c>
      <c r="G53" s="43">
        <v>0.56</v>
      </c>
      <c r="H53" s="43">
        <f t="shared" si="1"/>
        <v>34720</v>
      </c>
      <c r="I53" s="43" t="s">
        <v>112</v>
      </c>
      <c r="J53" s="43"/>
      <c r="K53" s="43"/>
    </row>
    <row r="54" spans="1:11">
      <c r="A54" s="41">
        <v>45661</v>
      </c>
      <c r="B54" s="43" t="s">
        <v>113</v>
      </c>
      <c r="C54" s="43" t="s">
        <v>114</v>
      </c>
      <c r="D54" s="43" t="s">
        <v>115</v>
      </c>
      <c r="E54" s="43" t="s">
        <v>116</v>
      </c>
      <c r="F54" s="43">
        <v>13480</v>
      </c>
      <c r="G54" s="43">
        <v>0.55</v>
      </c>
      <c r="H54" s="43">
        <f t="shared" si="1"/>
        <v>7414</v>
      </c>
      <c r="I54" s="43" t="s">
        <v>117</v>
      </c>
      <c r="J54" s="43"/>
      <c r="K54" s="43"/>
    </row>
    <row r="55" spans="1:11">
      <c r="A55" s="41">
        <v>45661</v>
      </c>
      <c r="B55" s="43" t="s">
        <v>118</v>
      </c>
      <c r="C55" s="43" t="s">
        <v>119</v>
      </c>
      <c r="D55" s="43" t="s">
        <v>120</v>
      </c>
      <c r="E55" s="43" t="s">
        <v>14</v>
      </c>
      <c r="F55" s="43">
        <v>110</v>
      </c>
      <c r="G55" s="43">
        <v>1.1</v>
      </c>
      <c r="H55" s="43">
        <f t="shared" si="1"/>
        <v>121</v>
      </c>
      <c r="I55" s="43" t="s">
        <v>28</v>
      </c>
      <c r="J55" s="43"/>
      <c r="K55" s="43"/>
    </row>
    <row r="56" s="35" customFormat="1" spans="1:11">
      <c r="A56" s="44">
        <v>45660</v>
      </c>
      <c r="B56" s="45" t="s">
        <v>121</v>
      </c>
      <c r="C56" s="45"/>
      <c r="D56" s="45" t="s">
        <v>122</v>
      </c>
      <c r="E56" s="45" t="s">
        <v>123</v>
      </c>
      <c r="F56" s="45">
        <v>2035</v>
      </c>
      <c r="G56" s="45">
        <v>0.62</v>
      </c>
      <c r="H56" s="45">
        <f t="shared" si="1"/>
        <v>1261.7</v>
      </c>
      <c r="I56" s="45" t="s">
        <v>117</v>
      </c>
      <c r="J56" s="45"/>
      <c r="K56" s="45"/>
    </row>
    <row r="57" s="35" customFormat="1" spans="1:11">
      <c r="A57" s="44">
        <v>45660</v>
      </c>
      <c r="B57" s="45" t="s">
        <v>121</v>
      </c>
      <c r="C57" s="45"/>
      <c r="D57" s="45" t="s">
        <v>122</v>
      </c>
      <c r="E57" s="45" t="s">
        <v>124</v>
      </c>
      <c r="F57" s="45">
        <v>5045</v>
      </c>
      <c r="G57" s="45">
        <v>0.57</v>
      </c>
      <c r="H57" s="45">
        <f t="shared" si="1"/>
        <v>2875.65</v>
      </c>
      <c r="I57" s="45" t="s">
        <v>117</v>
      </c>
      <c r="J57" s="45"/>
      <c r="K57" s="45"/>
    </row>
    <row r="58" s="35" customFormat="1" spans="1:11">
      <c r="A58" s="44">
        <v>45662</v>
      </c>
      <c r="B58" s="45" t="s">
        <v>121</v>
      </c>
      <c r="C58" s="45"/>
      <c r="D58" s="45" t="s">
        <v>122</v>
      </c>
      <c r="E58" s="45" t="s">
        <v>60</v>
      </c>
      <c r="F58" s="45">
        <v>36000</v>
      </c>
      <c r="G58" s="45">
        <v>0.53</v>
      </c>
      <c r="H58" s="45">
        <f t="shared" si="1"/>
        <v>19080</v>
      </c>
      <c r="I58" s="45" t="s">
        <v>125</v>
      </c>
      <c r="J58" s="45"/>
      <c r="K58" s="45"/>
    </row>
    <row r="59" s="35" customFormat="1" spans="1:11">
      <c r="A59" s="44">
        <v>45663</v>
      </c>
      <c r="B59" s="45" t="s">
        <v>121</v>
      </c>
      <c r="C59" s="45"/>
      <c r="D59" s="45" t="s">
        <v>122</v>
      </c>
      <c r="E59" s="45" t="s">
        <v>60</v>
      </c>
      <c r="F59" s="45">
        <v>25200</v>
      </c>
      <c r="G59" s="45">
        <v>0.53</v>
      </c>
      <c r="H59" s="45">
        <f t="shared" si="1"/>
        <v>13356</v>
      </c>
      <c r="I59" s="45" t="s">
        <v>125</v>
      </c>
      <c r="J59" s="45"/>
      <c r="K59" s="45"/>
    </row>
    <row r="60" s="35" customFormat="1" spans="1:11">
      <c r="A60" s="44">
        <v>45663</v>
      </c>
      <c r="B60" s="45" t="s">
        <v>121</v>
      </c>
      <c r="C60" s="45"/>
      <c r="D60" s="45" t="s">
        <v>122</v>
      </c>
      <c r="E60" s="45" t="s">
        <v>60</v>
      </c>
      <c r="F60" s="45">
        <v>2033</v>
      </c>
      <c r="G60" s="45">
        <v>0.53</v>
      </c>
      <c r="H60" s="45">
        <f t="shared" si="1"/>
        <v>1077.49</v>
      </c>
      <c r="I60" s="45" t="s">
        <v>126</v>
      </c>
      <c r="J60" s="45"/>
      <c r="K60" s="45"/>
    </row>
    <row r="61" s="35" customFormat="1" spans="1:11">
      <c r="A61" s="44">
        <v>45666</v>
      </c>
      <c r="B61" s="45" t="s">
        <v>121</v>
      </c>
      <c r="C61" s="45"/>
      <c r="D61" s="45" t="s">
        <v>122</v>
      </c>
      <c r="E61" s="45" t="s">
        <v>60</v>
      </c>
      <c r="F61" s="45">
        <v>10000</v>
      </c>
      <c r="G61" s="45">
        <v>0.53</v>
      </c>
      <c r="H61" s="45">
        <f t="shared" si="1"/>
        <v>5300</v>
      </c>
      <c r="I61" s="45" t="s">
        <v>61</v>
      </c>
      <c r="J61" s="45"/>
      <c r="K61" s="45"/>
    </row>
    <row r="62" s="35" customFormat="1" spans="1:11">
      <c r="A62" s="44">
        <v>45666</v>
      </c>
      <c r="B62" s="45" t="s">
        <v>121</v>
      </c>
      <c r="C62" s="45"/>
      <c r="D62" s="45" t="s">
        <v>122</v>
      </c>
      <c r="E62" s="45" t="s">
        <v>123</v>
      </c>
      <c r="F62" s="45">
        <v>8152</v>
      </c>
      <c r="G62" s="45">
        <v>0.58</v>
      </c>
      <c r="H62" s="45">
        <f t="shared" si="1"/>
        <v>4728.16</v>
      </c>
      <c r="I62" s="45" t="s">
        <v>126</v>
      </c>
      <c r="J62" s="45"/>
      <c r="K62" s="45"/>
    </row>
    <row r="63" s="35" customFormat="1" spans="1:11">
      <c r="A63" s="44">
        <v>45666</v>
      </c>
      <c r="B63" s="45" t="s">
        <v>121</v>
      </c>
      <c r="C63" s="45"/>
      <c r="D63" s="45" t="s">
        <v>115</v>
      </c>
      <c r="E63" s="45" t="s">
        <v>127</v>
      </c>
      <c r="F63" s="45">
        <v>4076</v>
      </c>
      <c r="G63" s="45">
        <v>0.56</v>
      </c>
      <c r="H63" s="45">
        <f t="shared" si="1"/>
        <v>2282.56</v>
      </c>
      <c r="I63" s="45" t="s">
        <v>126</v>
      </c>
      <c r="J63" s="45"/>
      <c r="K63" s="45"/>
    </row>
    <row r="64" s="35" customFormat="1" spans="1:11">
      <c r="A64" s="44">
        <v>45666</v>
      </c>
      <c r="B64" s="45" t="s">
        <v>121</v>
      </c>
      <c r="C64" s="45"/>
      <c r="D64" s="45" t="s">
        <v>128</v>
      </c>
      <c r="E64" s="45" t="s">
        <v>60</v>
      </c>
      <c r="F64" s="45">
        <v>405</v>
      </c>
      <c r="G64" s="45">
        <v>0.55</v>
      </c>
      <c r="H64" s="45">
        <f t="shared" si="1"/>
        <v>222.75</v>
      </c>
      <c r="I64" s="45" t="s">
        <v>129</v>
      </c>
      <c r="J64" s="45"/>
      <c r="K64" s="45"/>
    </row>
    <row r="65" s="35" customFormat="1" spans="1:11">
      <c r="A65" s="44">
        <v>45667</v>
      </c>
      <c r="B65" s="45" t="s">
        <v>121</v>
      </c>
      <c r="C65" s="45"/>
      <c r="D65" s="45" t="s">
        <v>76</v>
      </c>
      <c r="E65" s="45" t="s">
        <v>123</v>
      </c>
      <c r="F65" s="45">
        <v>300</v>
      </c>
      <c r="G65" s="45">
        <v>0.57</v>
      </c>
      <c r="H65" s="45">
        <f t="shared" si="1"/>
        <v>171</v>
      </c>
      <c r="I65" s="45" t="s">
        <v>63</v>
      </c>
      <c r="J65" s="45"/>
      <c r="K65" s="45"/>
    </row>
    <row r="66" s="35" customFormat="1" spans="1:11">
      <c r="A66" s="44">
        <v>45667</v>
      </c>
      <c r="B66" s="45" t="s">
        <v>121</v>
      </c>
      <c r="C66" s="45"/>
      <c r="D66" s="45" t="s">
        <v>130</v>
      </c>
      <c r="E66" s="45" t="s">
        <v>62</v>
      </c>
      <c r="F66" s="45">
        <v>30050</v>
      </c>
      <c r="G66" s="45">
        <v>0.5</v>
      </c>
      <c r="H66" s="45">
        <f t="shared" si="1"/>
        <v>15025</v>
      </c>
      <c r="I66" s="45" t="s">
        <v>65</v>
      </c>
      <c r="J66" s="45"/>
      <c r="K66" s="45"/>
    </row>
    <row r="67" s="35" customFormat="1" spans="1:11">
      <c r="A67" s="44">
        <v>45668</v>
      </c>
      <c r="B67" s="45" t="s">
        <v>121</v>
      </c>
      <c r="C67" s="45"/>
      <c r="D67" s="45" t="s">
        <v>131</v>
      </c>
      <c r="E67" s="45" t="s">
        <v>132</v>
      </c>
      <c r="F67" s="45">
        <v>1110</v>
      </c>
      <c r="G67" s="45">
        <v>1.03</v>
      </c>
      <c r="H67" s="45">
        <f t="shared" si="1"/>
        <v>1143.3</v>
      </c>
      <c r="I67" s="45" t="s">
        <v>133</v>
      </c>
      <c r="J67" s="45"/>
      <c r="K67" s="45"/>
    </row>
    <row r="68" s="35" customFormat="1" spans="1:11">
      <c r="A68" s="44">
        <v>45668</v>
      </c>
      <c r="B68" s="45" t="s">
        <v>121</v>
      </c>
      <c r="C68" s="45"/>
      <c r="D68" s="45" t="s">
        <v>122</v>
      </c>
      <c r="E68" s="45" t="s">
        <v>123</v>
      </c>
      <c r="F68" s="45">
        <v>6068</v>
      </c>
      <c r="G68" s="45">
        <v>0.6</v>
      </c>
      <c r="H68" s="45">
        <f t="shared" si="1"/>
        <v>3640.8</v>
      </c>
      <c r="I68" s="45" t="s">
        <v>117</v>
      </c>
      <c r="J68" s="45"/>
      <c r="K68" s="45"/>
    </row>
    <row r="69" s="35" customFormat="1" spans="1:11">
      <c r="A69" s="44">
        <v>45668</v>
      </c>
      <c r="B69" s="45" t="s">
        <v>121</v>
      </c>
      <c r="C69" s="45"/>
      <c r="D69" s="45" t="s">
        <v>76</v>
      </c>
      <c r="E69" s="45" t="s">
        <v>123</v>
      </c>
      <c r="F69" s="45">
        <v>32067</v>
      </c>
      <c r="G69" s="45">
        <v>0.53</v>
      </c>
      <c r="H69" s="45">
        <f t="shared" si="1"/>
        <v>16995.51</v>
      </c>
      <c r="I69" s="45" t="s">
        <v>126</v>
      </c>
      <c r="J69" s="45"/>
      <c r="K69" s="45"/>
    </row>
    <row r="70" s="35" customFormat="1" spans="1:11">
      <c r="A70" s="44">
        <v>45669</v>
      </c>
      <c r="B70" s="45" t="s">
        <v>121</v>
      </c>
      <c r="C70" s="45"/>
      <c r="D70" s="45" t="s">
        <v>134</v>
      </c>
      <c r="E70" s="45" t="s">
        <v>14</v>
      </c>
      <c r="F70" s="45">
        <v>100000</v>
      </c>
      <c r="G70" s="45">
        <v>0.65</v>
      </c>
      <c r="H70" s="45">
        <f t="shared" si="1"/>
        <v>65000</v>
      </c>
      <c r="I70" s="45" t="s">
        <v>61</v>
      </c>
      <c r="J70" s="45" t="s">
        <v>46</v>
      </c>
      <c r="K70" s="45"/>
    </row>
    <row r="71" s="35" customFormat="1" spans="1:11">
      <c r="A71" s="44">
        <v>45671</v>
      </c>
      <c r="B71" s="45" t="s">
        <v>121</v>
      </c>
      <c r="C71" s="45"/>
      <c r="D71" s="45" t="s">
        <v>115</v>
      </c>
      <c r="E71" s="45" t="s">
        <v>135</v>
      </c>
      <c r="F71" s="45">
        <v>4090</v>
      </c>
      <c r="G71" s="45">
        <v>0.53</v>
      </c>
      <c r="H71" s="45">
        <f t="shared" si="1"/>
        <v>2167.7</v>
      </c>
      <c r="I71" s="45" t="s">
        <v>126</v>
      </c>
      <c r="J71" s="45"/>
      <c r="K71" s="45"/>
    </row>
    <row r="72" s="35" customFormat="1" spans="1:11">
      <c r="A72" s="44">
        <v>45671</v>
      </c>
      <c r="B72" s="45" t="s">
        <v>121</v>
      </c>
      <c r="C72" s="45"/>
      <c r="D72" s="45" t="s">
        <v>70</v>
      </c>
      <c r="E72" s="45" t="s">
        <v>136</v>
      </c>
      <c r="F72" s="45">
        <v>13000</v>
      </c>
      <c r="G72" s="45">
        <v>0.62</v>
      </c>
      <c r="H72" s="45">
        <f t="shared" si="1"/>
        <v>8060</v>
      </c>
      <c r="I72" s="45" t="s">
        <v>45</v>
      </c>
      <c r="J72" s="45"/>
      <c r="K72" s="45"/>
    </row>
    <row r="73" s="35" customFormat="1" spans="1:11">
      <c r="A73" s="44">
        <v>45671</v>
      </c>
      <c r="B73" s="45" t="s">
        <v>121</v>
      </c>
      <c r="C73" s="45"/>
      <c r="D73" s="45" t="s">
        <v>76</v>
      </c>
      <c r="E73" s="45" t="s">
        <v>123</v>
      </c>
      <c r="F73" s="45">
        <v>8000</v>
      </c>
      <c r="G73" s="45">
        <v>0.53</v>
      </c>
      <c r="H73" s="45">
        <f t="shared" si="1"/>
        <v>4240</v>
      </c>
      <c r="I73" s="45" t="s">
        <v>63</v>
      </c>
      <c r="J73" s="45"/>
      <c r="K73" s="45"/>
    </row>
    <row r="74" s="35" customFormat="1" spans="1:11">
      <c r="A74" s="44">
        <v>45676</v>
      </c>
      <c r="B74" s="45" t="s">
        <v>121</v>
      </c>
      <c r="C74" s="45"/>
      <c r="D74" s="45" t="s">
        <v>59</v>
      </c>
      <c r="E74" s="45" t="s">
        <v>60</v>
      </c>
      <c r="F74" s="45">
        <v>6150</v>
      </c>
      <c r="G74" s="45">
        <v>0.52</v>
      </c>
      <c r="H74" s="45">
        <f t="shared" si="1"/>
        <v>3198</v>
      </c>
      <c r="I74" s="45" t="s">
        <v>137</v>
      </c>
      <c r="J74" s="45"/>
      <c r="K74" s="45"/>
    </row>
    <row r="75" s="35" customFormat="1" spans="1:11">
      <c r="A75" s="44">
        <v>45676</v>
      </c>
      <c r="B75" s="45" t="s">
        <v>121</v>
      </c>
      <c r="C75" s="45"/>
      <c r="D75" s="45" t="s">
        <v>128</v>
      </c>
      <c r="E75" s="45" t="s">
        <v>62</v>
      </c>
      <c r="F75" s="45">
        <v>2049</v>
      </c>
      <c r="G75" s="45">
        <v>0.55</v>
      </c>
      <c r="H75" s="45">
        <f t="shared" si="1"/>
        <v>1126.95</v>
      </c>
      <c r="I75" s="45" t="s">
        <v>65</v>
      </c>
      <c r="J75" s="45"/>
      <c r="K75" s="45"/>
    </row>
    <row r="76" s="35" customFormat="1" spans="1:11">
      <c r="A76" s="44">
        <v>45676</v>
      </c>
      <c r="B76" s="45" t="s">
        <v>121</v>
      </c>
      <c r="C76" s="45"/>
      <c r="D76" s="45" t="s">
        <v>70</v>
      </c>
      <c r="E76" s="45" t="s">
        <v>136</v>
      </c>
      <c r="F76" s="45">
        <v>34400</v>
      </c>
      <c r="G76" s="45">
        <v>0.62</v>
      </c>
      <c r="H76" s="45">
        <f t="shared" si="1"/>
        <v>21328</v>
      </c>
      <c r="I76" s="45" t="s">
        <v>45</v>
      </c>
      <c r="J76" s="45"/>
      <c r="K76" s="45"/>
    </row>
    <row r="77" s="35" customFormat="1" spans="1:11">
      <c r="A77" s="44">
        <v>45676</v>
      </c>
      <c r="B77" s="45" t="s">
        <v>121</v>
      </c>
      <c r="C77" s="45"/>
      <c r="D77" s="45" t="s">
        <v>76</v>
      </c>
      <c r="E77" s="45" t="s">
        <v>123</v>
      </c>
      <c r="F77" s="45">
        <v>40128</v>
      </c>
      <c r="G77" s="45">
        <v>0.53</v>
      </c>
      <c r="H77" s="45">
        <f t="shared" si="1"/>
        <v>21267.84</v>
      </c>
      <c r="I77" s="45" t="s">
        <v>126</v>
      </c>
      <c r="J77" s="45"/>
      <c r="K77" s="45"/>
    </row>
    <row r="78" spans="1:11">
      <c r="A78" s="41">
        <v>45660</v>
      </c>
      <c r="B78" s="43" t="s">
        <v>138</v>
      </c>
      <c r="C78" s="43">
        <v>2025297</v>
      </c>
      <c r="D78" s="43" t="s">
        <v>139</v>
      </c>
      <c r="E78" s="43" t="s">
        <v>140</v>
      </c>
      <c r="F78" s="43">
        <v>10000</v>
      </c>
      <c r="G78" s="43">
        <v>0.03</v>
      </c>
      <c r="H78" s="43">
        <f t="shared" si="1"/>
        <v>300</v>
      </c>
      <c r="I78" s="43" t="s">
        <v>45</v>
      </c>
      <c r="J78" s="43"/>
      <c r="K78" s="43"/>
    </row>
    <row r="79" spans="1:11">
      <c r="A79" s="41">
        <v>45660</v>
      </c>
      <c r="B79" s="43" t="s">
        <v>138</v>
      </c>
      <c r="C79" s="43">
        <v>2025297</v>
      </c>
      <c r="D79" s="43" t="s">
        <v>141</v>
      </c>
      <c r="E79" s="43" t="s">
        <v>142</v>
      </c>
      <c r="F79" s="43">
        <v>5000</v>
      </c>
      <c r="G79" s="43">
        <v>0.05</v>
      </c>
      <c r="H79" s="43">
        <f t="shared" si="1"/>
        <v>250</v>
      </c>
      <c r="I79" s="43" t="s">
        <v>143</v>
      </c>
      <c r="J79" s="43"/>
      <c r="K79" s="43"/>
    </row>
    <row r="80" spans="1:11">
      <c r="A80" s="41">
        <v>45664</v>
      </c>
      <c r="B80" s="43" t="s">
        <v>138</v>
      </c>
      <c r="C80" s="43">
        <v>2025296</v>
      </c>
      <c r="D80" s="43" t="s">
        <v>47</v>
      </c>
      <c r="E80" s="43" t="s">
        <v>144</v>
      </c>
      <c r="F80" s="43">
        <v>15000</v>
      </c>
      <c r="G80" s="43">
        <v>0.01</v>
      </c>
      <c r="H80" s="43">
        <f t="shared" si="1"/>
        <v>150</v>
      </c>
      <c r="I80" s="43" t="s">
        <v>65</v>
      </c>
      <c r="J80" s="43"/>
      <c r="K80" s="43"/>
    </row>
    <row r="81" spans="1:11">
      <c r="A81" s="41">
        <v>45664</v>
      </c>
      <c r="B81" s="43" t="s">
        <v>138</v>
      </c>
      <c r="C81" s="43">
        <v>2025296</v>
      </c>
      <c r="D81" s="43" t="s">
        <v>130</v>
      </c>
      <c r="E81" s="43" t="s">
        <v>145</v>
      </c>
      <c r="F81" s="43">
        <v>30000</v>
      </c>
      <c r="G81" s="43">
        <v>0.007</v>
      </c>
      <c r="H81" s="43">
        <f t="shared" si="1"/>
        <v>210</v>
      </c>
      <c r="I81" s="43" t="s">
        <v>65</v>
      </c>
      <c r="J81" s="43"/>
      <c r="K81" s="43"/>
    </row>
    <row r="82" spans="1:11">
      <c r="A82" s="41">
        <v>45662</v>
      </c>
      <c r="B82" s="43" t="s">
        <v>146</v>
      </c>
      <c r="C82" s="43" t="s">
        <v>147</v>
      </c>
      <c r="D82" s="43" t="s">
        <v>148</v>
      </c>
      <c r="E82" s="43" t="s">
        <v>60</v>
      </c>
      <c r="F82" s="43">
        <v>8020</v>
      </c>
      <c r="G82" s="43">
        <v>0.55</v>
      </c>
      <c r="H82" s="43">
        <f t="shared" si="1"/>
        <v>4411</v>
      </c>
      <c r="I82" s="43" t="s">
        <v>149</v>
      </c>
      <c r="J82" s="43"/>
      <c r="K82" s="43"/>
    </row>
    <row r="83" spans="1:11">
      <c r="A83" s="41">
        <v>45664</v>
      </c>
      <c r="B83" s="43" t="s">
        <v>150</v>
      </c>
      <c r="C83" s="43" t="s">
        <v>151</v>
      </c>
      <c r="D83" s="43" t="s">
        <v>152</v>
      </c>
      <c r="E83" s="43" t="s">
        <v>99</v>
      </c>
      <c r="F83" s="43">
        <v>4105</v>
      </c>
      <c r="G83" s="43">
        <v>1.3</v>
      </c>
      <c r="H83" s="43">
        <f t="shared" si="1"/>
        <v>5336.5</v>
      </c>
      <c r="I83" s="43" t="s">
        <v>149</v>
      </c>
      <c r="J83" s="43"/>
      <c r="K83" s="43"/>
    </row>
    <row r="84" spans="1:11">
      <c r="A84" s="41">
        <v>45661</v>
      </c>
      <c r="B84" s="43" t="s">
        <v>153</v>
      </c>
      <c r="C84" s="43">
        <v>20250104001</v>
      </c>
      <c r="D84" s="43" t="s">
        <v>154</v>
      </c>
      <c r="E84" s="43" t="s">
        <v>155</v>
      </c>
      <c r="F84" s="43">
        <v>20000</v>
      </c>
      <c r="G84" s="43">
        <v>0.053</v>
      </c>
      <c r="H84" s="43">
        <f t="shared" si="1"/>
        <v>1060</v>
      </c>
      <c r="I84" s="43" t="s">
        <v>45</v>
      </c>
      <c r="J84" s="43" t="s">
        <v>46</v>
      </c>
      <c r="K84" s="43"/>
    </row>
    <row r="85" spans="1:11">
      <c r="A85" s="41">
        <v>45659</v>
      </c>
      <c r="B85" s="43" t="s">
        <v>156</v>
      </c>
      <c r="C85" s="43"/>
      <c r="D85" s="43" t="s">
        <v>157</v>
      </c>
      <c r="E85" s="43" t="s">
        <v>158</v>
      </c>
      <c r="F85" s="43">
        <v>240000</v>
      </c>
      <c r="G85" s="43">
        <v>0.17</v>
      </c>
      <c r="H85" s="43">
        <f t="shared" si="1"/>
        <v>40800</v>
      </c>
      <c r="I85" s="43" t="s">
        <v>61</v>
      </c>
      <c r="J85" s="43" t="s">
        <v>159</v>
      </c>
      <c r="K85" s="43"/>
    </row>
    <row r="86" spans="1:11">
      <c r="A86" s="41">
        <v>45660</v>
      </c>
      <c r="B86" s="43" t="s">
        <v>156</v>
      </c>
      <c r="C86" s="43"/>
      <c r="D86" s="43" t="s">
        <v>160</v>
      </c>
      <c r="E86" s="43" t="s">
        <v>158</v>
      </c>
      <c r="F86" s="43">
        <v>2000</v>
      </c>
      <c r="G86" s="43">
        <v>0.016</v>
      </c>
      <c r="H86" s="43">
        <f t="shared" si="1"/>
        <v>32</v>
      </c>
      <c r="I86" s="43" t="s">
        <v>86</v>
      </c>
      <c r="J86" s="43" t="s">
        <v>46</v>
      </c>
      <c r="K86" s="43"/>
    </row>
    <row r="87" spans="1:11">
      <c r="A87" s="41">
        <v>45659</v>
      </c>
      <c r="B87" s="43" t="s">
        <v>156</v>
      </c>
      <c r="C87" s="43"/>
      <c r="D87" s="43" t="s">
        <v>161</v>
      </c>
      <c r="E87" s="43" t="s">
        <v>158</v>
      </c>
      <c r="F87" s="43">
        <v>50000</v>
      </c>
      <c r="G87" s="43">
        <v>0.17</v>
      </c>
      <c r="H87" s="43">
        <f t="shared" si="1"/>
        <v>8500</v>
      </c>
      <c r="I87" s="43" t="s">
        <v>61</v>
      </c>
      <c r="J87" s="43" t="s">
        <v>159</v>
      </c>
      <c r="K87" s="43"/>
    </row>
    <row r="88" spans="1:11">
      <c r="A88" s="41">
        <v>45664</v>
      </c>
      <c r="B88" s="43" t="s">
        <v>162</v>
      </c>
      <c r="C88" s="43" t="s">
        <v>163</v>
      </c>
      <c r="D88" s="43" t="s">
        <v>164</v>
      </c>
      <c r="E88" s="43" t="s">
        <v>165</v>
      </c>
      <c r="F88" s="43">
        <v>6300</v>
      </c>
      <c r="G88" s="43">
        <v>0.26</v>
      </c>
      <c r="H88" s="43">
        <f t="shared" si="1"/>
        <v>1638</v>
      </c>
      <c r="I88" s="43" t="s">
        <v>166</v>
      </c>
      <c r="J88" s="43"/>
      <c r="K88" s="43"/>
    </row>
    <row r="89" spans="1:11">
      <c r="A89" s="41">
        <v>45667</v>
      </c>
      <c r="B89" s="43" t="s">
        <v>162</v>
      </c>
      <c r="C89" s="43" t="s">
        <v>167</v>
      </c>
      <c r="D89" s="43" t="s">
        <v>168</v>
      </c>
      <c r="E89" s="43" t="s">
        <v>158</v>
      </c>
      <c r="F89" s="43">
        <v>20000</v>
      </c>
      <c r="G89" s="43">
        <v>0.24</v>
      </c>
      <c r="H89" s="43">
        <f t="shared" si="1"/>
        <v>4800</v>
      </c>
      <c r="I89" s="43" t="s">
        <v>94</v>
      </c>
      <c r="J89" s="43"/>
      <c r="K89" s="43"/>
    </row>
    <row r="90" spans="1:11">
      <c r="A90" s="41">
        <v>45667</v>
      </c>
      <c r="B90" s="43" t="s">
        <v>162</v>
      </c>
      <c r="C90" s="43" t="s">
        <v>169</v>
      </c>
      <c r="D90" s="43" t="s">
        <v>170</v>
      </c>
      <c r="E90" s="43" t="s">
        <v>158</v>
      </c>
      <c r="F90" s="43">
        <v>100000</v>
      </c>
      <c r="G90" s="43">
        <v>0.17</v>
      </c>
      <c r="H90" s="43">
        <f t="shared" si="1"/>
        <v>17000</v>
      </c>
      <c r="I90" s="43" t="s">
        <v>61</v>
      </c>
      <c r="J90" s="43" t="s">
        <v>46</v>
      </c>
      <c r="K90" s="43"/>
    </row>
    <row r="91" spans="1:11">
      <c r="A91" s="41">
        <v>45673</v>
      </c>
      <c r="B91" s="43" t="s">
        <v>162</v>
      </c>
      <c r="C91" s="43" t="s">
        <v>171</v>
      </c>
      <c r="D91" s="43" t="s">
        <v>172</v>
      </c>
      <c r="E91" s="43">
        <v>56000</v>
      </c>
      <c r="F91" s="43">
        <v>0.17</v>
      </c>
      <c r="G91" s="43">
        <v>1.17</v>
      </c>
      <c r="H91" s="43">
        <f t="shared" si="1"/>
        <v>0.1989</v>
      </c>
      <c r="I91" s="43" t="s">
        <v>61</v>
      </c>
      <c r="J91" s="43" t="s">
        <v>46</v>
      </c>
      <c r="K91" s="43"/>
    </row>
    <row r="92" spans="1:11">
      <c r="A92" s="41">
        <v>45666</v>
      </c>
      <c r="B92" s="43" t="s">
        <v>173</v>
      </c>
      <c r="C92" s="43"/>
      <c r="D92" s="43" t="s">
        <v>93</v>
      </c>
      <c r="E92" s="43" t="s">
        <v>14</v>
      </c>
      <c r="F92" s="43">
        <v>1880</v>
      </c>
      <c r="G92" s="43">
        <v>3.7</v>
      </c>
      <c r="H92" s="43">
        <f t="shared" si="1"/>
        <v>6956</v>
      </c>
      <c r="I92" s="43" t="s">
        <v>94</v>
      </c>
      <c r="J92" s="43"/>
      <c r="K92" s="43"/>
    </row>
    <row r="93" spans="1:11">
      <c r="A93" s="41">
        <v>45664</v>
      </c>
      <c r="B93" s="43" t="s">
        <v>174</v>
      </c>
      <c r="C93" s="87" t="s">
        <v>175</v>
      </c>
      <c r="D93" s="43" t="s">
        <v>130</v>
      </c>
      <c r="E93" s="43" t="s">
        <v>176</v>
      </c>
      <c r="F93" s="43">
        <v>24648</v>
      </c>
      <c r="G93" s="43">
        <v>0.455</v>
      </c>
      <c r="H93" s="43">
        <f t="shared" si="1"/>
        <v>11214.84</v>
      </c>
      <c r="I93" s="43" t="s">
        <v>149</v>
      </c>
      <c r="J93" s="43"/>
      <c r="K93" s="43"/>
    </row>
    <row r="94" spans="1:11">
      <c r="A94" s="41">
        <v>45664</v>
      </c>
      <c r="B94" s="43" t="s">
        <v>174</v>
      </c>
      <c r="C94" s="87" t="s">
        <v>175</v>
      </c>
      <c r="D94" s="43" t="s">
        <v>130</v>
      </c>
      <c r="E94" s="43" t="s">
        <v>176</v>
      </c>
      <c r="F94" s="43">
        <v>10070</v>
      </c>
      <c r="G94" s="43">
        <v>0.455</v>
      </c>
      <c r="H94" s="43">
        <f t="shared" si="1"/>
        <v>4581.85</v>
      </c>
      <c r="I94" s="43" t="s">
        <v>149</v>
      </c>
      <c r="J94" s="43"/>
      <c r="K94" s="43"/>
    </row>
    <row r="95" spans="1:11">
      <c r="A95" s="41">
        <v>45659</v>
      </c>
      <c r="B95" s="43" t="s">
        <v>177</v>
      </c>
      <c r="C95" s="43" t="s">
        <v>178</v>
      </c>
      <c r="D95" s="43" t="s">
        <v>179</v>
      </c>
      <c r="E95" s="43" t="s">
        <v>14</v>
      </c>
      <c r="F95" s="43">
        <v>17100</v>
      </c>
      <c r="G95" s="43">
        <v>1.25</v>
      </c>
      <c r="H95" s="43">
        <f t="shared" si="1"/>
        <v>21375</v>
      </c>
      <c r="I95" s="43" t="s">
        <v>61</v>
      </c>
      <c r="J95" s="43" t="s">
        <v>46</v>
      </c>
      <c r="K95" s="43"/>
    </row>
    <row r="96" spans="1:11">
      <c r="A96" s="41">
        <v>45670</v>
      </c>
      <c r="B96" s="43" t="s">
        <v>177</v>
      </c>
      <c r="C96" s="43" t="s">
        <v>180</v>
      </c>
      <c r="D96" s="43" t="s">
        <v>181</v>
      </c>
      <c r="E96" s="43" t="s">
        <v>14</v>
      </c>
      <c r="F96" s="43">
        <v>6100</v>
      </c>
      <c r="G96" s="43">
        <v>2.15</v>
      </c>
      <c r="H96" s="43">
        <f t="shared" si="1"/>
        <v>13115</v>
      </c>
      <c r="I96" s="43" t="s">
        <v>94</v>
      </c>
      <c r="J96" s="43"/>
      <c r="K96" s="43"/>
    </row>
    <row r="97" spans="1:11">
      <c r="A97" s="41">
        <v>45670</v>
      </c>
      <c r="B97" s="43" t="s">
        <v>177</v>
      </c>
      <c r="C97" s="43" t="s">
        <v>182</v>
      </c>
      <c r="D97" s="43" t="s">
        <v>179</v>
      </c>
      <c r="E97" s="43" t="s">
        <v>14</v>
      </c>
      <c r="F97" s="43">
        <v>30000</v>
      </c>
      <c r="G97" s="43">
        <v>1.25</v>
      </c>
      <c r="H97" s="43">
        <f t="shared" si="1"/>
        <v>37500</v>
      </c>
      <c r="I97" s="43" t="s">
        <v>61</v>
      </c>
      <c r="J97" s="43" t="s">
        <v>46</v>
      </c>
      <c r="K97" s="43"/>
    </row>
    <row r="98" spans="1:11">
      <c r="A98" s="41">
        <v>45670</v>
      </c>
      <c r="B98" s="43" t="s">
        <v>177</v>
      </c>
      <c r="C98" s="43" t="s">
        <v>182</v>
      </c>
      <c r="D98" s="43" t="s">
        <v>183</v>
      </c>
      <c r="E98" s="43" t="s">
        <v>14</v>
      </c>
      <c r="F98" s="43">
        <v>30000</v>
      </c>
      <c r="G98" s="43">
        <v>1.12</v>
      </c>
      <c r="H98" s="43">
        <f t="shared" si="1"/>
        <v>33600</v>
      </c>
      <c r="I98" s="43" t="s">
        <v>61</v>
      </c>
      <c r="J98" s="43" t="s">
        <v>46</v>
      </c>
      <c r="K98" s="43"/>
    </row>
    <row r="99" spans="1:11">
      <c r="A99" s="41">
        <v>45660</v>
      </c>
      <c r="B99" s="43" t="s">
        <v>184</v>
      </c>
      <c r="C99" s="43" t="s">
        <v>185</v>
      </c>
      <c r="D99" s="43" t="s">
        <v>183</v>
      </c>
      <c r="E99" s="43" t="s">
        <v>14</v>
      </c>
      <c r="F99" s="43">
        <v>15000</v>
      </c>
      <c r="G99" s="43">
        <v>1.05</v>
      </c>
      <c r="H99" s="43">
        <f t="shared" ref="H99:H128" si="2">F99*G99</f>
        <v>15750</v>
      </c>
      <c r="I99" s="43" t="s">
        <v>45</v>
      </c>
      <c r="J99" s="43" t="s">
        <v>46</v>
      </c>
      <c r="K99" s="43"/>
    </row>
    <row r="100" spans="1:11">
      <c r="A100" s="41">
        <v>45661</v>
      </c>
      <c r="B100" s="43" t="s">
        <v>184</v>
      </c>
      <c r="C100" s="43" t="s">
        <v>186</v>
      </c>
      <c r="D100" s="43" t="s">
        <v>183</v>
      </c>
      <c r="E100" s="43" t="s">
        <v>14</v>
      </c>
      <c r="F100" s="43">
        <v>5000</v>
      </c>
      <c r="G100" s="43">
        <v>1.05</v>
      </c>
      <c r="H100" s="43">
        <f t="shared" si="2"/>
        <v>5250</v>
      </c>
      <c r="I100" s="43" t="s">
        <v>126</v>
      </c>
      <c r="J100" s="43" t="s">
        <v>46</v>
      </c>
      <c r="K100" s="43"/>
    </row>
    <row r="101" spans="1:11">
      <c r="A101" s="41">
        <v>45668</v>
      </c>
      <c r="B101" s="43" t="s">
        <v>184</v>
      </c>
      <c r="C101" s="43" t="s">
        <v>187</v>
      </c>
      <c r="D101" s="43" t="s">
        <v>188</v>
      </c>
      <c r="E101" s="43" t="s">
        <v>14</v>
      </c>
      <c r="F101" s="43">
        <v>5050</v>
      </c>
      <c r="G101" s="43">
        <v>1</v>
      </c>
      <c r="H101" s="43">
        <f t="shared" si="2"/>
        <v>5050</v>
      </c>
      <c r="I101" s="43" t="s">
        <v>189</v>
      </c>
      <c r="J101" s="43" t="s">
        <v>46</v>
      </c>
      <c r="K101" s="43"/>
    </row>
    <row r="102" spans="1:11">
      <c r="A102" s="41">
        <v>45664</v>
      </c>
      <c r="B102" s="43" t="s">
        <v>190</v>
      </c>
      <c r="C102" s="43" t="s">
        <v>191</v>
      </c>
      <c r="D102" s="43" t="s">
        <v>192</v>
      </c>
      <c r="E102" s="43" t="s">
        <v>14</v>
      </c>
      <c r="F102" s="43">
        <v>8050</v>
      </c>
      <c r="G102" s="43">
        <v>1.05</v>
      </c>
      <c r="H102" s="43">
        <f t="shared" si="2"/>
        <v>8452.5</v>
      </c>
      <c r="I102" s="43" t="s">
        <v>193</v>
      </c>
      <c r="J102" s="43"/>
      <c r="K102" s="43"/>
    </row>
    <row r="103" spans="1:11">
      <c r="A103" s="41">
        <v>45664</v>
      </c>
      <c r="B103" s="43" t="s">
        <v>194</v>
      </c>
      <c r="C103" s="43"/>
      <c r="D103" s="45" t="s">
        <v>195</v>
      </c>
      <c r="E103" s="45" t="s">
        <v>60</v>
      </c>
      <c r="F103" s="45">
        <v>10000</v>
      </c>
      <c r="G103" s="45">
        <v>0.73</v>
      </c>
      <c r="H103" s="43">
        <f t="shared" si="2"/>
        <v>7300</v>
      </c>
      <c r="I103" s="43" t="s">
        <v>125</v>
      </c>
      <c r="J103" s="43"/>
      <c r="K103" s="43"/>
    </row>
    <row r="104" spans="1:11">
      <c r="A104" s="41">
        <v>45664</v>
      </c>
      <c r="B104" s="43" t="s">
        <v>194</v>
      </c>
      <c r="C104" s="43"/>
      <c r="D104" s="45" t="s">
        <v>196</v>
      </c>
      <c r="E104" s="45" t="s">
        <v>197</v>
      </c>
      <c r="F104" s="45">
        <v>80</v>
      </c>
      <c r="G104" s="45">
        <v>0.82</v>
      </c>
      <c r="H104" s="43">
        <f t="shared" si="2"/>
        <v>65.6</v>
      </c>
      <c r="I104" s="43" t="s">
        <v>56</v>
      </c>
      <c r="J104" s="43"/>
      <c r="K104" s="43"/>
    </row>
    <row r="105" spans="1:11">
      <c r="A105" s="41">
        <v>45664</v>
      </c>
      <c r="B105" s="43" t="s">
        <v>194</v>
      </c>
      <c r="C105" s="43"/>
      <c r="D105" s="45" t="s">
        <v>198</v>
      </c>
      <c r="E105" s="45" t="s">
        <v>124</v>
      </c>
      <c r="F105" s="45">
        <v>1015</v>
      </c>
      <c r="G105" s="45">
        <v>1.1</v>
      </c>
      <c r="H105" s="43">
        <f t="shared" si="2"/>
        <v>1116.5</v>
      </c>
      <c r="I105" s="43" t="s">
        <v>199</v>
      </c>
      <c r="J105" s="43"/>
      <c r="K105" s="43"/>
    </row>
    <row r="106" spans="1:11">
      <c r="A106" s="41">
        <v>45664</v>
      </c>
      <c r="B106" s="43" t="s">
        <v>194</v>
      </c>
      <c r="C106" s="43"/>
      <c r="D106" s="45" t="s">
        <v>198</v>
      </c>
      <c r="E106" s="45" t="s">
        <v>124</v>
      </c>
      <c r="F106" s="45">
        <v>15040</v>
      </c>
      <c r="G106" s="45">
        <v>1.1</v>
      </c>
      <c r="H106" s="43">
        <f t="shared" si="2"/>
        <v>16544</v>
      </c>
      <c r="I106" s="43" t="s">
        <v>200</v>
      </c>
      <c r="J106" s="43"/>
      <c r="K106" s="43"/>
    </row>
    <row r="107" spans="1:11">
      <c r="A107" s="41">
        <v>45661</v>
      </c>
      <c r="B107" s="43" t="s">
        <v>194</v>
      </c>
      <c r="C107" s="43"/>
      <c r="D107" s="45" t="s">
        <v>201</v>
      </c>
      <c r="E107" s="45" t="s">
        <v>14</v>
      </c>
      <c r="F107" s="45">
        <v>300</v>
      </c>
      <c r="G107" s="45">
        <v>0.9</v>
      </c>
      <c r="H107" s="43">
        <f t="shared" si="2"/>
        <v>270</v>
      </c>
      <c r="I107" s="43" t="s">
        <v>202</v>
      </c>
      <c r="J107" s="43"/>
      <c r="K107" s="43"/>
    </row>
    <row r="108" spans="1:11">
      <c r="A108" s="41">
        <v>45666</v>
      </c>
      <c r="B108" s="43" t="s">
        <v>194</v>
      </c>
      <c r="C108" s="43"/>
      <c r="D108" s="45" t="s">
        <v>203</v>
      </c>
      <c r="E108" s="45" t="s">
        <v>204</v>
      </c>
      <c r="F108" s="45">
        <v>142</v>
      </c>
      <c r="G108" s="45">
        <v>0.88</v>
      </c>
      <c r="H108" s="43">
        <f t="shared" si="2"/>
        <v>124.96</v>
      </c>
      <c r="I108" s="43" t="s">
        <v>205</v>
      </c>
      <c r="J108" s="43"/>
      <c r="K108" s="43"/>
    </row>
    <row r="109" spans="1:11">
      <c r="A109" s="41">
        <v>45668</v>
      </c>
      <c r="B109" s="43" t="s">
        <v>194</v>
      </c>
      <c r="C109" s="43"/>
      <c r="D109" s="45" t="s">
        <v>195</v>
      </c>
      <c r="E109" s="45" t="s">
        <v>60</v>
      </c>
      <c r="F109" s="45">
        <v>35000</v>
      </c>
      <c r="G109" s="45">
        <v>0.73</v>
      </c>
      <c r="H109" s="43">
        <f t="shared" si="2"/>
        <v>25550</v>
      </c>
      <c r="I109" s="43" t="s">
        <v>125</v>
      </c>
      <c r="J109" s="43"/>
      <c r="K109" s="43"/>
    </row>
    <row r="110" spans="1:11">
      <c r="A110" s="41">
        <v>45668</v>
      </c>
      <c r="B110" s="43" t="s">
        <v>194</v>
      </c>
      <c r="C110" s="43"/>
      <c r="D110" s="45" t="s">
        <v>195</v>
      </c>
      <c r="E110" s="45" t="s">
        <v>99</v>
      </c>
      <c r="F110" s="45">
        <v>812</v>
      </c>
      <c r="G110" s="45">
        <v>0.83</v>
      </c>
      <c r="H110" s="43">
        <f t="shared" si="2"/>
        <v>673.96</v>
      </c>
      <c r="I110" s="43" t="s">
        <v>206</v>
      </c>
      <c r="J110" s="43"/>
      <c r="K110" s="43"/>
    </row>
    <row r="111" spans="1:11">
      <c r="A111" s="41">
        <v>45668</v>
      </c>
      <c r="B111" s="43" t="s">
        <v>194</v>
      </c>
      <c r="C111" s="43"/>
      <c r="D111" s="45" t="s">
        <v>198</v>
      </c>
      <c r="E111" s="45" t="s">
        <v>207</v>
      </c>
      <c r="F111" s="45">
        <v>1511</v>
      </c>
      <c r="G111" s="45">
        <v>1.1</v>
      </c>
      <c r="H111" s="43">
        <f t="shared" si="2"/>
        <v>1662.1</v>
      </c>
      <c r="I111" s="43" t="s">
        <v>208</v>
      </c>
      <c r="J111" s="43"/>
      <c r="K111" s="43"/>
    </row>
    <row r="112" spans="1:11">
      <c r="A112" s="41">
        <v>45668</v>
      </c>
      <c r="B112" s="43" t="s">
        <v>194</v>
      </c>
      <c r="C112" s="43"/>
      <c r="D112" s="45" t="s">
        <v>209</v>
      </c>
      <c r="E112" s="45" t="s">
        <v>207</v>
      </c>
      <c r="F112" s="45">
        <v>3008</v>
      </c>
      <c r="G112" s="45">
        <v>1.02</v>
      </c>
      <c r="H112" s="43">
        <f t="shared" si="2"/>
        <v>3068.16</v>
      </c>
      <c r="I112" s="43" t="s">
        <v>208</v>
      </c>
      <c r="J112" s="43"/>
      <c r="K112" s="43"/>
    </row>
    <row r="113" spans="1:11">
      <c r="A113" s="41">
        <v>45668</v>
      </c>
      <c r="B113" s="43" t="s">
        <v>194</v>
      </c>
      <c r="C113" s="43"/>
      <c r="D113" s="45" t="s">
        <v>195</v>
      </c>
      <c r="E113" s="45" t="s">
        <v>60</v>
      </c>
      <c r="F113" s="45">
        <v>2026</v>
      </c>
      <c r="G113" s="45">
        <v>0.73</v>
      </c>
      <c r="H113" s="43">
        <f t="shared" si="2"/>
        <v>1478.98</v>
      </c>
      <c r="I113" s="43" t="s">
        <v>126</v>
      </c>
      <c r="J113" s="43"/>
      <c r="K113" s="43"/>
    </row>
    <row r="114" spans="1:11">
      <c r="A114" s="41">
        <v>45668</v>
      </c>
      <c r="B114" s="43" t="s">
        <v>194</v>
      </c>
      <c r="C114" s="43"/>
      <c r="D114" s="45" t="s">
        <v>209</v>
      </c>
      <c r="E114" s="45" t="s">
        <v>124</v>
      </c>
      <c r="F114" s="45">
        <v>3008</v>
      </c>
      <c r="G114" s="45">
        <v>1.02</v>
      </c>
      <c r="H114" s="43">
        <f t="shared" si="2"/>
        <v>3068.16</v>
      </c>
      <c r="I114" s="43" t="s">
        <v>208</v>
      </c>
      <c r="J114" s="43"/>
      <c r="K114" s="43"/>
    </row>
    <row r="115" spans="1:11">
      <c r="A115" s="41">
        <v>45668</v>
      </c>
      <c r="B115" s="43" t="s">
        <v>194</v>
      </c>
      <c r="C115" s="43"/>
      <c r="D115" s="45" t="s">
        <v>195</v>
      </c>
      <c r="E115" s="45" t="s">
        <v>60</v>
      </c>
      <c r="F115" s="45">
        <v>2026</v>
      </c>
      <c r="G115" s="45">
        <v>0.73</v>
      </c>
      <c r="H115" s="43">
        <f t="shared" si="2"/>
        <v>1478.98</v>
      </c>
      <c r="I115" s="43" t="s">
        <v>126</v>
      </c>
      <c r="J115" s="43"/>
      <c r="K115" s="43"/>
    </row>
    <row r="116" spans="1:11">
      <c r="A116" s="41">
        <v>45672</v>
      </c>
      <c r="B116" s="43" t="s">
        <v>194</v>
      </c>
      <c r="C116" s="43"/>
      <c r="D116" s="45" t="s">
        <v>195</v>
      </c>
      <c r="E116" s="45" t="s">
        <v>60</v>
      </c>
      <c r="F116" s="45">
        <v>17930</v>
      </c>
      <c r="G116" s="45">
        <v>0.73</v>
      </c>
      <c r="H116" s="43">
        <f t="shared" si="2"/>
        <v>13088.9</v>
      </c>
      <c r="I116" s="43" t="s">
        <v>125</v>
      </c>
      <c r="J116" s="43"/>
      <c r="K116" s="43"/>
    </row>
    <row r="117" spans="1:11">
      <c r="A117" s="41">
        <v>45667</v>
      </c>
      <c r="B117" s="43" t="s">
        <v>74</v>
      </c>
      <c r="C117" s="43" t="s">
        <v>210</v>
      </c>
      <c r="D117" s="43" t="s">
        <v>128</v>
      </c>
      <c r="E117" s="43" t="s">
        <v>60</v>
      </c>
      <c r="F117" s="45">
        <v>3294</v>
      </c>
      <c r="G117" s="45">
        <v>0.7</v>
      </c>
      <c r="H117" s="43">
        <f t="shared" si="2"/>
        <v>2305.8</v>
      </c>
      <c r="I117" s="43" t="s">
        <v>51</v>
      </c>
      <c r="J117" s="43"/>
      <c r="K117" s="43"/>
    </row>
    <row r="118" spans="1:11">
      <c r="A118" s="41">
        <v>45667</v>
      </c>
      <c r="B118" s="43" t="s">
        <v>74</v>
      </c>
      <c r="C118" s="43" t="s">
        <v>210</v>
      </c>
      <c r="D118" s="43" t="s">
        <v>211</v>
      </c>
      <c r="E118" s="43" t="s">
        <v>212</v>
      </c>
      <c r="F118" s="45">
        <v>1619</v>
      </c>
      <c r="G118" s="45">
        <v>0.8</v>
      </c>
      <c r="H118" s="43">
        <f t="shared" si="2"/>
        <v>1295.2</v>
      </c>
      <c r="I118" s="43" t="s">
        <v>213</v>
      </c>
      <c r="J118" s="43" t="s">
        <v>214</v>
      </c>
      <c r="K118" s="43"/>
    </row>
    <row r="119" spans="1:11">
      <c r="A119" s="41">
        <v>45667</v>
      </c>
      <c r="B119" s="43" t="s">
        <v>215</v>
      </c>
      <c r="C119" s="43" t="s">
        <v>216</v>
      </c>
      <c r="D119" s="43" t="s">
        <v>217</v>
      </c>
      <c r="E119" s="43" t="s">
        <v>218</v>
      </c>
      <c r="F119" s="43">
        <v>200</v>
      </c>
      <c r="G119" s="43">
        <v>2.5</v>
      </c>
      <c r="H119" s="43">
        <f t="shared" si="2"/>
        <v>500</v>
      </c>
      <c r="I119" s="43" t="s">
        <v>61</v>
      </c>
      <c r="J119" s="43"/>
      <c r="K119" s="43"/>
    </row>
    <row r="120" spans="1:11">
      <c r="A120" s="41">
        <v>45667</v>
      </c>
      <c r="B120" s="43" t="s">
        <v>215</v>
      </c>
      <c r="C120" s="43" t="s">
        <v>216</v>
      </c>
      <c r="D120" s="43" t="s">
        <v>219</v>
      </c>
      <c r="E120" s="43" t="s">
        <v>220</v>
      </c>
      <c r="F120" s="43">
        <v>200</v>
      </c>
      <c r="G120" s="43">
        <v>2.5</v>
      </c>
      <c r="H120" s="43">
        <f t="shared" si="2"/>
        <v>500</v>
      </c>
      <c r="I120" s="43" t="s">
        <v>61</v>
      </c>
      <c r="J120" s="43"/>
      <c r="K120" s="43"/>
    </row>
    <row r="121" spans="1:11">
      <c r="A121" s="41">
        <v>45670</v>
      </c>
      <c r="B121" s="43" t="s">
        <v>221</v>
      </c>
      <c r="C121" s="43"/>
      <c r="D121" s="43">
        <v>1140</v>
      </c>
      <c r="E121" s="43" t="s">
        <v>222</v>
      </c>
      <c r="F121" s="43">
        <v>5010</v>
      </c>
      <c r="G121" s="43">
        <v>1.1</v>
      </c>
      <c r="H121" s="43">
        <f t="shared" si="2"/>
        <v>5511</v>
      </c>
      <c r="I121" s="43" t="s">
        <v>223</v>
      </c>
      <c r="J121" s="43" t="s">
        <v>16</v>
      </c>
      <c r="K121" s="43"/>
    </row>
    <row r="122" spans="1:11">
      <c r="A122" s="41">
        <v>45668</v>
      </c>
      <c r="B122" s="43" t="s">
        <v>97</v>
      </c>
      <c r="C122" s="43"/>
      <c r="D122" s="43" t="s">
        <v>224</v>
      </c>
      <c r="E122" s="43" t="s">
        <v>116</v>
      </c>
      <c r="F122" s="43">
        <v>3010</v>
      </c>
      <c r="G122" s="43">
        <v>0.95</v>
      </c>
      <c r="H122" s="43">
        <f t="shared" si="2"/>
        <v>2859.5</v>
      </c>
      <c r="I122" s="43" t="s">
        <v>208</v>
      </c>
      <c r="J122" s="43"/>
      <c r="K122" s="43"/>
    </row>
    <row r="123" spans="1:11">
      <c r="A123" s="41">
        <v>45666</v>
      </c>
      <c r="B123" s="43" t="s">
        <v>225</v>
      </c>
      <c r="C123" s="87" t="s">
        <v>226</v>
      </c>
      <c r="D123" s="43" t="s">
        <v>227</v>
      </c>
      <c r="E123" s="43" t="s">
        <v>228</v>
      </c>
      <c r="F123" s="43">
        <v>1025</v>
      </c>
      <c r="G123" s="43">
        <v>0.7</v>
      </c>
      <c r="H123" s="43">
        <f t="shared" si="2"/>
        <v>717.5</v>
      </c>
      <c r="I123" s="43" t="s">
        <v>208</v>
      </c>
      <c r="J123" s="43"/>
      <c r="K123" s="43"/>
    </row>
    <row r="124" spans="1:11">
      <c r="A124" s="41">
        <v>45671</v>
      </c>
      <c r="B124" s="43" t="s">
        <v>225</v>
      </c>
      <c r="C124" s="87" t="s">
        <v>229</v>
      </c>
      <c r="D124" s="43" t="s">
        <v>227</v>
      </c>
      <c r="E124" s="43" t="s">
        <v>207</v>
      </c>
      <c r="F124" s="43">
        <v>524</v>
      </c>
      <c r="G124" s="43">
        <v>0.66</v>
      </c>
      <c r="H124" s="43">
        <f t="shared" si="2"/>
        <v>345.84</v>
      </c>
      <c r="I124" s="43" t="s">
        <v>208</v>
      </c>
      <c r="J124" s="43"/>
      <c r="K124" s="43"/>
    </row>
    <row r="125" spans="1:11">
      <c r="A125" s="41">
        <v>45666</v>
      </c>
      <c r="B125" s="43" t="s">
        <v>174</v>
      </c>
      <c r="C125" s="87" t="s">
        <v>230</v>
      </c>
      <c r="D125" s="43" t="s">
        <v>130</v>
      </c>
      <c r="E125" s="43" t="s">
        <v>231</v>
      </c>
      <c r="F125" s="43">
        <v>12000</v>
      </c>
      <c r="G125" s="43">
        <v>0.52</v>
      </c>
      <c r="H125" s="43">
        <f t="shared" si="2"/>
        <v>6240</v>
      </c>
      <c r="I125" s="43" t="s">
        <v>232</v>
      </c>
      <c r="J125" s="43"/>
      <c r="K125" s="43"/>
    </row>
    <row r="126" spans="1:11">
      <c r="A126" s="41">
        <v>45667</v>
      </c>
      <c r="B126" s="43" t="s">
        <v>150</v>
      </c>
      <c r="C126" s="43"/>
      <c r="D126" s="43" t="s">
        <v>233</v>
      </c>
      <c r="E126" s="43" t="s">
        <v>14</v>
      </c>
      <c r="F126" s="43">
        <v>1005</v>
      </c>
      <c r="G126" s="43">
        <v>0.87</v>
      </c>
      <c r="H126" s="43">
        <f t="shared" si="2"/>
        <v>874.35</v>
      </c>
      <c r="I126" s="43" t="s">
        <v>45</v>
      </c>
      <c r="J126" s="43"/>
      <c r="K126" s="43"/>
    </row>
    <row r="127" spans="1:11">
      <c r="A127" s="41">
        <v>45667</v>
      </c>
      <c r="B127" s="43" t="s">
        <v>82</v>
      </c>
      <c r="C127" s="43"/>
      <c r="D127" s="43" t="s">
        <v>234</v>
      </c>
      <c r="E127" s="43" t="s">
        <v>99</v>
      </c>
      <c r="F127" s="43">
        <v>2045</v>
      </c>
      <c r="G127" s="43">
        <v>1.25</v>
      </c>
      <c r="H127" s="43">
        <f t="shared" si="2"/>
        <v>2556.25</v>
      </c>
      <c r="I127" s="43" t="s">
        <v>235</v>
      </c>
      <c r="J127" s="43" t="s">
        <v>90</v>
      </c>
      <c r="K127" s="43">
        <v>1.42</v>
      </c>
    </row>
    <row r="128" spans="1:11">
      <c r="A128" s="41">
        <v>45671</v>
      </c>
      <c r="B128" s="43" t="s">
        <v>82</v>
      </c>
      <c r="C128" s="43"/>
      <c r="D128" s="43" t="s">
        <v>236</v>
      </c>
      <c r="E128" s="43" t="s">
        <v>14</v>
      </c>
      <c r="F128" s="43">
        <v>10000</v>
      </c>
      <c r="G128" s="43">
        <v>0.9</v>
      </c>
      <c r="H128" s="43">
        <f t="shared" si="2"/>
        <v>9000</v>
      </c>
      <c r="I128" s="43" t="s">
        <v>61</v>
      </c>
      <c r="J128" s="43" t="s">
        <v>46</v>
      </c>
      <c r="K128" s="43"/>
    </row>
    <row r="129" spans="1:11">
      <c r="A129" s="41">
        <v>45660</v>
      </c>
      <c r="B129" s="43" t="s">
        <v>237</v>
      </c>
      <c r="C129" s="43" t="s">
        <v>238</v>
      </c>
      <c r="D129" s="43" t="s">
        <v>239</v>
      </c>
      <c r="E129" s="43" t="s">
        <v>14</v>
      </c>
      <c r="F129" s="43">
        <v>95250</v>
      </c>
      <c r="G129" s="43">
        <v>0.6</v>
      </c>
      <c r="H129" s="43">
        <f t="shared" ref="H129:H158" si="3">F129*G129</f>
        <v>57150</v>
      </c>
      <c r="I129" s="43" t="s">
        <v>61</v>
      </c>
      <c r="J129" s="43" t="s">
        <v>46</v>
      </c>
      <c r="K129" s="43"/>
    </row>
    <row r="130" spans="1:11">
      <c r="A130" s="41">
        <v>45663</v>
      </c>
      <c r="B130" s="43" t="s">
        <v>237</v>
      </c>
      <c r="C130" s="43" t="s">
        <v>240</v>
      </c>
      <c r="D130" s="43" t="s">
        <v>241</v>
      </c>
      <c r="E130" s="43" t="s">
        <v>14</v>
      </c>
      <c r="F130" s="43">
        <v>60060</v>
      </c>
      <c r="G130" s="43">
        <v>0.8</v>
      </c>
      <c r="H130" s="43">
        <f t="shared" si="3"/>
        <v>48048</v>
      </c>
      <c r="I130" s="43" t="s">
        <v>61</v>
      </c>
      <c r="J130" s="43" t="s">
        <v>46</v>
      </c>
      <c r="K130" s="43"/>
    </row>
    <row r="131" spans="1:11">
      <c r="A131" s="41">
        <v>45663</v>
      </c>
      <c r="B131" s="43" t="s">
        <v>237</v>
      </c>
      <c r="C131" s="43" t="s">
        <v>240</v>
      </c>
      <c r="D131" s="43" t="s">
        <v>242</v>
      </c>
      <c r="E131" s="43" t="s">
        <v>14</v>
      </c>
      <c r="F131" s="43">
        <v>57588</v>
      </c>
      <c r="G131" s="43">
        <v>0.55</v>
      </c>
      <c r="H131" s="43">
        <f t="shared" si="3"/>
        <v>31673.4</v>
      </c>
      <c r="I131" s="43" t="s">
        <v>243</v>
      </c>
      <c r="J131" s="43" t="s">
        <v>46</v>
      </c>
      <c r="K131" s="43"/>
    </row>
    <row r="132" spans="1:11">
      <c r="A132" s="41">
        <v>45664</v>
      </c>
      <c r="B132" s="43" t="s">
        <v>237</v>
      </c>
      <c r="C132" s="43" t="s">
        <v>244</v>
      </c>
      <c r="D132" s="43" t="s">
        <v>239</v>
      </c>
      <c r="E132" s="43" t="s">
        <v>14</v>
      </c>
      <c r="F132" s="43">
        <v>120250</v>
      </c>
      <c r="G132" s="43">
        <v>0.6</v>
      </c>
      <c r="H132" s="43">
        <f t="shared" si="3"/>
        <v>72150</v>
      </c>
      <c r="I132" s="43" t="s">
        <v>245</v>
      </c>
      <c r="J132" s="43" t="s">
        <v>46</v>
      </c>
      <c r="K132" s="43"/>
    </row>
    <row r="133" spans="1:11">
      <c r="A133" s="41">
        <v>45666</v>
      </c>
      <c r="B133" s="43" t="s">
        <v>237</v>
      </c>
      <c r="C133" s="43" t="s">
        <v>246</v>
      </c>
      <c r="D133" s="43" t="s">
        <v>239</v>
      </c>
      <c r="E133" s="43" t="s">
        <v>14</v>
      </c>
      <c r="F133" s="43">
        <v>41230</v>
      </c>
      <c r="G133" s="43">
        <v>0.6</v>
      </c>
      <c r="H133" s="43">
        <f t="shared" si="3"/>
        <v>24738</v>
      </c>
      <c r="I133" s="43" t="s">
        <v>245</v>
      </c>
      <c r="J133" s="43" t="s">
        <v>46</v>
      </c>
      <c r="K133" s="43"/>
    </row>
    <row r="134" spans="1:11">
      <c r="A134" s="41">
        <v>45668</v>
      </c>
      <c r="B134" s="43" t="s">
        <v>237</v>
      </c>
      <c r="C134" s="43" t="s">
        <v>247</v>
      </c>
      <c r="D134" s="43" t="s">
        <v>130</v>
      </c>
      <c r="E134" s="43" t="s">
        <v>60</v>
      </c>
      <c r="F134" s="43">
        <v>50100</v>
      </c>
      <c r="G134" s="43">
        <v>0.36</v>
      </c>
      <c r="H134" s="43">
        <f t="shared" si="3"/>
        <v>18036</v>
      </c>
      <c r="I134" s="43" t="s">
        <v>248</v>
      </c>
      <c r="J134" s="43" t="s">
        <v>46</v>
      </c>
      <c r="K134" s="43"/>
    </row>
    <row r="135" spans="1:11">
      <c r="A135" s="41">
        <v>45668</v>
      </c>
      <c r="B135" s="43" t="s">
        <v>237</v>
      </c>
      <c r="C135" s="43"/>
      <c r="D135" s="43" t="s">
        <v>18</v>
      </c>
      <c r="E135" s="43" t="s">
        <v>14</v>
      </c>
      <c r="F135" s="43">
        <v>35800</v>
      </c>
      <c r="G135" s="43">
        <v>0.65</v>
      </c>
      <c r="H135" s="43">
        <f t="shared" si="3"/>
        <v>23270</v>
      </c>
      <c r="I135" s="43" t="s">
        <v>149</v>
      </c>
      <c r="J135" s="43" t="s">
        <v>46</v>
      </c>
      <c r="K135" s="43"/>
    </row>
    <row r="136" spans="1:11">
      <c r="A136" s="41">
        <v>45671</v>
      </c>
      <c r="B136" s="43" t="s">
        <v>237</v>
      </c>
      <c r="C136" s="43" t="s">
        <v>249</v>
      </c>
      <c r="D136" s="43" t="s">
        <v>239</v>
      </c>
      <c r="E136" s="43" t="s">
        <v>14</v>
      </c>
      <c r="F136" s="43">
        <v>64350</v>
      </c>
      <c r="G136" s="43">
        <v>0.6</v>
      </c>
      <c r="H136" s="43">
        <f t="shared" si="3"/>
        <v>38610</v>
      </c>
      <c r="I136" s="43" t="s">
        <v>61</v>
      </c>
      <c r="J136" s="43" t="s">
        <v>46</v>
      </c>
      <c r="K136" s="43"/>
    </row>
    <row r="137" spans="1:11">
      <c r="A137" s="41">
        <v>45671</v>
      </c>
      <c r="B137" s="43" t="s">
        <v>237</v>
      </c>
      <c r="C137" s="43" t="s">
        <v>249</v>
      </c>
      <c r="D137" s="43" t="s">
        <v>134</v>
      </c>
      <c r="E137" s="43" t="s">
        <v>14</v>
      </c>
      <c r="F137" s="43">
        <v>113091</v>
      </c>
      <c r="G137" s="43">
        <v>0.6</v>
      </c>
      <c r="H137" s="43">
        <f t="shared" si="3"/>
        <v>67854.6</v>
      </c>
      <c r="I137" s="43" t="s">
        <v>61</v>
      </c>
      <c r="J137" s="43" t="s">
        <v>46</v>
      </c>
      <c r="K137" s="43"/>
    </row>
    <row r="138" spans="1:11">
      <c r="A138" s="41">
        <v>45671</v>
      </c>
      <c r="B138" s="43" t="s">
        <v>237</v>
      </c>
      <c r="C138" s="43" t="s">
        <v>250</v>
      </c>
      <c r="D138" s="43" t="s">
        <v>239</v>
      </c>
      <c r="E138" s="43" t="s">
        <v>14</v>
      </c>
      <c r="F138" s="43">
        <v>65000</v>
      </c>
      <c r="G138" s="43">
        <v>0.6</v>
      </c>
      <c r="H138" s="43">
        <f t="shared" si="3"/>
        <v>39000</v>
      </c>
      <c r="I138" s="43" t="s">
        <v>61</v>
      </c>
      <c r="J138" s="43" t="s">
        <v>46</v>
      </c>
      <c r="K138" s="43"/>
    </row>
    <row r="139" spans="1:11">
      <c r="A139" s="41">
        <v>45673</v>
      </c>
      <c r="B139" s="43" t="s">
        <v>237</v>
      </c>
      <c r="C139" s="43" t="s">
        <v>251</v>
      </c>
      <c r="D139" s="43" t="s">
        <v>252</v>
      </c>
      <c r="E139" s="43" t="s">
        <v>14</v>
      </c>
      <c r="F139" s="43">
        <v>51000</v>
      </c>
      <c r="G139" s="43">
        <v>0.5</v>
      </c>
      <c r="H139" s="43">
        <f t="shared" si="3"/>
        <v>25500</v>
      </c>
      <c r="I139" s="43" t="s">
        <v>61</v>
      </c>
      <c r="J139" s="43" t="s">
        <v>46</v>
      </c>
      <c r="K139" s="43"/>
    </row>
    <row r="140" spans="1:11">
      <c r="A140" s="41">
        <v>45674</v>
      </c>
      <c r="B140" s="43" t="s">
        <v>237</v>
      </c>
      <c r="C140" s="43" t="s">
        <v>253</v>
      </c>
      <c r="D140" s="43" t="s">
        <v>241</v>
      </c>
      <c r="E140" s="43" t="s">
        <v>14</v>
      </c>
      <c r="F140" s="43">
        <v>130000</v>
      </c>
      <c r="G140" s="43">
        <v>0.8</v>
      </c>
      <c r="H140" s="43">
        <f t="shared" si="3"/>
        <v>104000</v>
      </c>
      <c r="I140" s="43" t="s">
        <v>61</v>
      </c>
      <c r="J140" s="43" t="s">
        <v>46</v>
      </c>
      <c r="K140" s="43"/>
    </row>
    <row r="141" spans="1:11">
      <c r="A141" s="41">
        <v>45674</v>
      </c>
      <c r="B141" s="43" t="s">
        <v>237</v>
      </c>
      <c r="C141" s="43" t="s">
        <v>254</v>
      </c>
      <c r="D141" s="43" t="s">
        <v>239</v>
      </c>
      <c r="E141" s="43" t="s">
        <v>14</v>
      </c>
      <c r="F141" s="43">
        <v>91000</v>
      </c>
      <c r="G141" s="43">
        <v>0.6</v>
      </c>
      <c r="H141" s="43">
        <f t="shared" si="3"/>
        <v>54600</v>
      </c>
      <c r="I141" s="43" t="s">
        <v>61</v>
      </c>
      <c r="J141" s="43" t="s">
        <v>46</v>
      </c>
      <c r="K141" s="43"/>
    </row>
    <row r="142" spans="1:11">
      <c r="A142" s="41">
        <v>45674</v>
      </c>
      <c r="B142" s="43" t="s">
        <v>237</v>
      </c>
      <c r="C142" s="43" t="s">
        <v>253</v>
      </c>
      <c r="D142" s="43" t="s">
        <v>131</v>
      </c>
      <c r="E142" s="43" t="s">
        <v>14</v>
      </c>
      <c r="F142" s="43">
        <v>22500</v>
      </c>
      <c r="G142" s="43">
        <v>0.85</v>
      </c>
      <c r="H142" s="43">
        <f t="shared" si="3"/>
        <v>19125</v>
      </c>
      <c r="I142" s="43" t="s">
        <v>61</v>
      </c>
      <c r="J142" s="43" t="s">
        <v>46</v>
      </c>
      <c r="K142" s="43"/>
    </row>
    <row r="143" spans="1:11">
      <c r="A143" s="41">
        <v>45674</v>
      </c>
      <c r="B143" s="43" t="s">
        <v>237</v>
      </c>
      <c r="C143" s="43" t="s">
        <v>255</v>
      </c>
      <c r="D143" s="43" t="s">
        <v>256</v>
      </c>
      <c r="E143" s="43" t="s">
        <v>14</v>
      </c>
      <c r="F143" s="43">
        <v>86000</v>
      </c>
      <c r="G143" s="43">
        <v>0.65</v>
      </c>
      <c r="H143" s="43">
        <f t="shared" si="3"/>
        <v>55900</v>
      </c>
      <c r="I143" s="43" t="s">
        <v>61</v>
      </c>
      <c r="J143" s="43" t="s">
        <v>46</v>
      </c>
      <c r="K143" s="43"/>
    </row>
    <row r="144" spans="1:11">
      <c r="A144" s="41">
        <v>45662</v>
      </c>
      <c r="B144" s="43" t="s">
        <v>257</v>
      </c>
      <c r="C144" s="43"/>
      <c r="D144" s="43" t="s">
        <v>252</v>
      </c>
      <c r="E144" s="43" t="s">
        <v>14</v>
      </c>
      <c r="F144" s="43">
        <v>10000</v>
      </c>
      <c r="G144" s="43">
        <v>0.55</v>
      </c>
      <c r="H144" s="43">
        <f t="shared" si="3"/>
        <v>5500</v>
      </c>
      <c r="I144" s="43" t="s">
        <v>61</v>
      </c>
      <c r="J144" s="43" t="s">
        <v>46</v>
      </c>
      <c r="K144" s="43"/>
    </row>
    <row r="145" spans="1:11">
      <c r="A145" s="41">
        <v>45663</v>
      </c>
      <c r="B145" s="43" t="s">
        <v>257</v>
      </c>
      <c r="C145" s="43"/>
      <c r="D145" s="43" t="s">
        <v>252</v>
      </c>
      <c r="E145" s="43" t="s">
        <v>14</v>
      </c>
      <c r="F145" s="43">
        <v>4998</v>
      </c>
      <c r="G145" s="43">
        <v>0.55</v>
      </c>
      <c r="H145" s="43">
        <f t="shared" si="3"/>
        <v>2748.9</v>
      </c>
      <c r="I145" s="43" t="s">
        <v>61</v>
      </c>
      <c r="J145" s="43" t="s">
        <v>46</v>
      </c>
      <c r="K145" s="43"/>
    </row>
    <row r="146" spans="1:11">
      <c r="A146" s="41">
        <v>45665</v>
      </c>
      <c r="B146" s="43" t="s">
        <v>257</v>
      </c>
      <c r="C146" s="43"/>
      <c r="D146" s="43" t="s">
        <v>252</v>
      </c>
      <c r="E146" s="43" t="s">
        <v>14</v>
      </c>
      <c r="F146" s="43">
        <v>20000</v>
      </c>
      <c r="G146" s="43">
        <v>0.55</v>
      </c>
      <c r="H146" s="43">
        <f t="shared" si="3"/>
        <v>11000</v>
      </c>
      <c r="I146" s="43" t="s">
        <v>61</v>
      </c>
      <c r="J146" s="43" t="s">
        <v>46</v>
      </c>
      <c r="K146" s="43"/>
    </row>
    <row r="147" spans="1:11">
      <c r="A147" s="41">
        <v>45670</v>
      </c>
      <c r="B147" s="43" t="s">
        <v>257</v>
      </c>
      <c r="C147" s="43"/>
      <c r="D147" s="43" t="s">
        <v>227</v>
      </c>
      <c r="E147" s="43" t="s">
        <v>62</v>
      </c>
      <c r="F147" s="43">
        <v>4010</v>
      </c>
      <c r="G147" s="43">
        <v>0.55</v>
      </c>
      <c r="H147" s="43">
        <f t="shared" si="3"/>
        <v>2205.5</v>
      </c>
      <c r="I147" s="43" t="s">
        <v>65</v>
      </c>
      <c r="J147" s="43"/>
      <c r="K147" s="43"/>
    </row>
    <row r="148" spans="1:11">
      <c r="A148" s="41">
        <v>45670</v>
      </c>
      <c r="B148" s="43" t="s">
        <v>257</v>
      </c>
      <c r="C148" s="43"/>
      <c r="D148" s="43" t="s">
        <v>227</v>
      </c>
      <c r="E148" s="43" t="s">
        <v>62</v>
      </c>
      <c r="F148" s="43">
        <v>1060</v>
      </c>
      <c r="G148" s="43">
        <v>0.55</v>
      </c>
      <c r="H148" s="43">
        <f t="shared" si="3"/>
        <v>583</v>
      </c>
      <c r="I148" s="43" t="s">
        <v>258</v>
      </c>
      <c r="J148" s="43"/>
      <c r="K148" s="43"/>
    </row>
    <row r="149" spans="1:11">
      <c r="A149" s="41">
        <v>45673</v>
      </c>
      <c r="B149" s="43" t="s">
        <v>257</v>
      </c>
      <c r="C149" s="43"/>
      <c r="D149" s="43" t="s">
        <v>259</v>
      </c>
      <c r="E149" s="43" t="s">
        <v>14</v>
      </c>
      <c r="F149" s="43">
        <v>5000</v>
      </c>
      <c r="G149" s="43">
        <v>0.55</v>
      </c>
      <c r="H149" s="43">
        <f t="shared" si="3"/>
        <v>2750</v>
      </c>
      <c r="I149" s="43" t="s">
        <v>61</v>
      </c>
      <c r="J149" s="43" t="s">
        <v>46</v>
      </c>
      <c r="K149" s="43"/>
    </row>
    <row r="150" spans="1:11">
      <c r="A150" s="41">
        <v>45673</v>
      </c>
      <c r="B150" s="43" t="s">
        <v>260</v>
      </c>
      <c r="C150" s="43" t="s">
        <v>261</v>
      </c>
      <c r="D150" s="43" t="s">
        <v>242</v>
      </c>
      <c r="E150" s="43" t="s">
        <v>14</v>
      </c>
      <c r="F150" s="43">
        <v>2000</v>
      </c>
      <c r="G150" s="43">
        <v>0.8</v>
      </c>
      <c r="H150" s="43">
        <f t="shared" si="3"/>
        <v>1600</v>
      </c>
      <c r="I150" s="43" t="s">
        <v>248</v>
      </c>
      <c r="J150" s="43"/>
      <c r="K150" s="43"/>
    </row>
    <row r="151" spans="1:11">
      <c r="A151" s="41">
        <v>45674</v>
      </c>
      <c r="B151" s="43" t="s">
        <v>260</v>
      </c>
      <c r="C151" s="43" t="s">
        <v>262</v>
      </c>
      <c r="D151" s="43" t="s">
        <v>134</v>
      </c>
      <c r="E151" s="43" t="s">
        <v>14</v>
      </c>
      <c r="F151" s="43">
        <v>155</v>
      </c>
      <c r="G151" s="43">
        <v>0.85</v>
      </c>
      <c r="H151" s="43">
        <f t="shared" si="3"/>
        <v>131.75</v>
      </c>
      <c r="I151" s="43" t="s">
        <v>166</v>
      </c>
      <c r="J151" s="43"/>
      <c r="K151" s="43"/>
    </row>
    <row r="152" spans="1:11">
      <c r="A152" s="41">
        <v>45664</v>
      </c>
      <c r="B152" s="43" t="s">
        <v>263</v>
      </c>
      <c r="C152" s="87" t="s">
        <v>264</v>
      </c>
      <c r="D152" s="43" t="s">
        <v>265</v>
      </c>
      <c r="E152" s="43" t="s">
        <v>14</v>
      </c>
      <c r="F152" s="43">
        <v>150000</v>
      </c>
      <c r="G152" s="43">
        <v>0.13</v>
      </c>
      <c r="H152" s="43">
        <f t="shared" si="3"/>
        <v>19500</v>
      </c>
      <c r="I152" s="43" t="s">
        <v>245</v>
      </c>
      <c r="J152" s="43" t="s">
        <v>46</v>
      </c>
      <c r="K152" s="43"/>
    </row>
    <row r="153" spans="1:11">
      <c r="A153" s="41">
        <v>45673</v>
      </c>
      <c r="B153" s="43" t="s">
        <v>263</v>
      </c>
      <c r="C153" s="87" t="s">
        <v>266</v>
      </c>
      <c r="D153" s="43" t="s">
        <v>267</v>
      </c>
      <c r="E153" s="43" t="s">
        <v>268</v>
      </c>
      <c r="F153" s="43">
        <v>50500</v>
      </c>
      <c r="G153" s="43">
        <v>0.13</v>
      </c>
      <c r="H153" s="43">
        <f t="shared" si="3"/>
        <v>6565</v>
      </c>
      <c r="I153" s="43" t="s">
        <v>243</v>
      </c>
      <c r="J153" s="43"/>
      <c r="K153" s="43"/>
    </row>
    <row r="154" spans="1:11">
      <c r="A154" s="41">
        <v>45662</v>
      </c>
      <c r="B154" s="43" t="s">
        <v>269</v>
      </c>
      <c r="C154" s="43"/>
      <c r="D154" s="43" t="s">
        <v>270</v>
      </c>
      <c r="E154" s="43" t="s">
        <v>14</v>
      </c>
      <c r="F154" s="43">
        <v>20637</v>
      </c>
      <c r="G154" s="43">
        <v>1.2</v>
      </c>
      <c r="H154" s="43">
        <f t="shared" si="3"/>
        <v>24764.4</v>
      </c>
      <c r="I154" s="43" t="s">
        <v>271</v>
      </c>
      <c r="J154" s="43"/>
      <c r="K154" s="43"/>
    </row>
    <row r="155" spans="1:11">
      <c r="A155" s="41">
        <v>45666</v>
      </c>
      <c r="B155" s="43" t="s">
        <v>272</v>
      </c>
      <c r="C155" s="43"/>
      <c r="D155" s="43" t="s">
        <v>252</v>
      </c>
      <c r="E155" s="43" t="s">
        <v>14</v>
      </c>
      <c r="F155" s="43">
        <v>20000</v>
      </c>
      <c r="G155" s="43">
        <v>0.58</v>
      </c>
      <c r="H155" s="43">
        <f t="shared" si="3"/>
        <v>11600</v>
      </c>
      <c r="I155" s="43" t="s">
        <v>61</v>
      </c>
      <c r="J155" s="43"/>
      <c r="K155" s="43"/>
    </row>
    <row r="156" spans="1:11">
      <c r="A156" s="41">
        <v>45668</v>
      </c>
      <c r="B156" s="43" t="s">
        <v>153</v>
      </c>
      <c r="C156" s="43"/>
      <c r="D156" s="43" t="s">
        <v>273</v>
      </c>
      <c r="E156" s="43" t="s">
        <v>155</v>
      </c>
      <c r="F156" s="43">
        <v>8000</v>
      </c>
      <c r="G156" s="43">
        <v>0.053</v>
      </c>
      <c r="H156" s="43">
        <f t="shared" si="3"/>
        <v>424</v>
      </c>
      <c r="I156" s="43" t="s">
        <v>45</v>
      </c>
      <c r="J156" s="43"/>
      <c r="K156" s="43"/>
    </row>
    <row r="157" spans="1:11">
      <c r="A157" s="41">
        <v>45675</v>
      </c>
      <c r="B157" s="43" t="s">
        <v>274</v>
      </c>
      <c r="C157" s="43"/>
      <c r="D157" s="43" t="s">
        <v>275</v>
      </c>
      <c r="E157" s="43" t="s">
        <v>158</v>
      </c>
      <c r="F157" s="43">
        <v>20000</v>
      </c>
      <c r="G157" s="43">
        <v>0.4</v>
      </c>
      <c r="H157" s="43">
        <f t="shared" si="3"/>
        <v>8000</v>
      </c>
      <c r="I157" s="43" t="s">
        <v>193</v>
      </c>
      <c r="J157" s="43" t="s">
        <v>46</v>
      </c>
      <c r="K157" s="43"/>
    </row>
    <row r="158" spans="1:11">
      <c r="A158" s="41">
        <v>45671</v>
      </c>
      <c r="B158" s="43" t="s">
        <v>276</v>
      </c>
      <c r="C158" s="43"/>
      <c r="D158" s="43" t="s">
        <v>277</v>
      </c>
      <c r="E158" s="43" t="s">
        <v>14</v>
      </c>
      <c r="F158" s="43">
        <v>999</v>
      </c>
      <c r="G158" s="43">
        <v>0.85</v>
      </c>
      <c r="H158" s="43">
        <f t="shared" si="3"/>
        <v>849.15</v>
      </c>
      <c r="I158" s="43" t="s">
        <v>278</v>
      </c>
      <c r="J158" s="43"/>
      <c r="K158" s="43"/>
    </row>
    <row r="159" spans="1:11">
      <c r="A159" s="43" t="s">
        <v>279</v>
      </c>
      <c r="B159" s="43"/>
      <c r="C159" s="43"/>
      <c r="D159" s="43"/>
      <c r="E159" s="43"/>
      <c r="F159" s="43"/>
      <c r="G159" s="43"/>
      <c r="H159" s="53">
        <f>SUM(H2:H158)</f>
        <v>1671001.9689</v>
      </c>
      <c r="I159" s="53"/>
      <c r="J159" s="53"/>
      <c r="K159" s="53"/>
    </row>
  </sheetData>
  <mergeCells count="1">
    <mergeCell ref="A159:G15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7"/>
  <sheetViews>
    <sheetView workbookViewId="0">
      <selection activeCell="A2" sqref="A2"/>
    </sheetView>
  </sheetViews>
  <sheetFormatPr defaultColWidth="9" defaultRowHeight="13.5"/>
  <cols>
    <col min="1" max="2" width="12.75" customWidth="1"/>
    <col min="3" max="3" width="26.5" customWidth="1"/>
    <col min="4" max="4" width="12.75" customWidth="1"/>
    <col min="5" max="5" width="22.75" customWidth="1"/>
    <col min="6" max="10" width="12.75" customWidth="1"/>
    <col min="11" max="11" width="19.5" customWidth="1"/>
  </cols>
  <sheetData>
    <row r="1" s="32" customFormat="1" ht="19" customHeight="1" spans="1:1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8" t="s">
        <v>7</v>
      </c>
      <c r="I1" s="76" t="s">
        <v>8</v>
      </c>
      <c r="J1" s="76" t="s">
        <v>9</v>
      </c>
      <c r="K1" s="76" t="s">
        <v>10</v>
      </c>
    </row>
    <row r="2" spans="1:11">
      <c r="A2" s="41">
        <v>45697</v>
      </c>
      <c r="B2" s="43" t="s">
        <v>280</v>
      </c>
      <c r="C2" s="43">
        <v>2025020004</v>
      </c>
      <c r="D2" s="43" t="s">
        <v>281</v>
      </c>
      <c r="E2" s="43" t="s">
        <v>14</v>
      </c>
      <c r="F2" s="43">
        <v>2045</v>
      </c>
      <c r="G2" s="43">
        <v>2.3</v>
      </c>
      <c r="H2" s="43">
        <f t="shared" ref="H2:H25" si="0">F2*G2</f>
        <v>4703.5</v>
      </c>
      <c r="I2" s="43" t="s">
        <v>94</v>
      </c>
      <c r="J2" s="43"/>
      <c r="K2" s="43"/>
    </row>
    <row r="3" spans="1:11">
      <c r="A3" s="41">
        <v>45705</v>
      </c>
      <c r="B3" s="43" t="s">
        <v>280</v>
      </c>
      <c r="C3" s="43">
        <v>2025020044</v>
      </c>
      <c r="D3" s="43" t="s">
        <v>281</v>
      </c>
      <c r="E3" s="43" t="s">
        <v>14</v>
      </c>
      <c r="F3" s="43">
        <v>1000</v>
      </c>
      <c r="G3" s="43">
        <v>2.3</v>
      </c>
      <c r="H3" s="43">
        <f t="shared" si="0"/>
        <v>2300</v>
      </c>
      <c r="I3" s="43" t="s">
        <v>94</v>
      </c>
      <c r="J3" s="43"/>
      <c r="K3" s="43"/>
    </row>
    <row r="4" spans="1:11">
      <c r="A4" s="41">
        <v>45707</v>
      </c>
      <c r="B4" s="43" t="s">
        <v>280</v>
      </c>
      <c r="C4" s="43">
        <v>2025020061</v>
      </c>
      <c r="D4" s="43" t="s">
        <v>281</v>
      </c>
      <c r="E4" s="43" t="s">
        <v>14</v>
      </c>
      <c r="F4" s="43">
        <v>1020</v>
      </c>
      <c r="G4" s="43">
        <v>2.3</v>
      </c>
      <c r="H4" s="43">
        <f t="shared" si="0"/>
        <v>2346</v>
      </c>
      <c r="I4" s="43" t="s">
        <v>94</v>
      </c>
      <c r="J4" s="43"/>
      <c r="K4" s="43"/>
    </row>
    <row r="5" spans="1:11">
      <c r="A5" s="41">
        <v>45693</v>
      </c>
      <c r="B5" s="43" t="s">
        <v>257</v>
      </c>
      <c r="C5" s="85">
        <v>45693</v>
      </c>
      <c r="D5" s="43" t="s">
        <v>130</v>
      </c>
      <c r="E5" s="43" t="s">
        <v>60</v>
      </c>
      <c r="F5" s="43">
        <v>8100</v>
      </c>
      <c r="G5" s="43">
        <v>0.47</v>
      </c>
      <c r="H5" s="43">
        <f t="shared" si="0"/>
        <v>3807</v>
      </c>
      <c r="I5" s="43" t="s">
        <v>137</v>
      </c>
      <c r="J5" s="43"/>
      <c r="K5" s="43"/>
    </row>
    <row r="6" spans="1:11">
      <c r="A6" s="41">
        <v>45693</v>
      </c>
      <c r="B6" s="43" t="s">
        <v>257</v>
      </c>
      <c r="C6" s="85">
        <v>45693</v>
      </c>
      <c r="D6" s="43" t="s">
        <v>130</v>
      </c>
      <c r="E6" s="43" t="s">
        <v>60</v>
      </c>
      <c r="F6" s="43">
        <v>50000</v>
      </c>
      <c r="G6" s="43">
        <v>0.47</v>
      </c>
      <c r="H6" s="43">
        <f t="shared" si="0"/>
        <v>23500</v>
      </c>
      <c r="I6" s="43" t="s">
        <v>149</v>
      </c>
      <c r="J6" s="43"/>
      <c r="K6" s="43"/>
    </row>
    <row r="7" s="35" customFormat="1" spans="1:11">
      <c r="A7" s="44">
        <v>45697</v>
      </c>
      <c r="B7" s="45" t="s">
        <v>177</v>
      </c>
      <c r="C7" s="45">
        <v>20250209</v>
      </c>
      <c r="D7" s="45" t="s">
        <v>282</v>
      </c>
      <c r="E7" s="45" t="s">
        <v>14</v>
      </c>
      <c r="F7" s="45">
        <v>1500</v>
      </c>
      <c r="G7" s="45">
        <v>1</v>
      </c>
      <c r="H7" s="45">
        <f t="shared" si="0"/>
        <v>1500</v>
      </c>
      <c r="I7" s="45" t="s">
        <v>283</v>
      </c>
      <c r="J7" s="45"/>
      <c r="K7" s="45"/>
    </row>
    <row r="8" s="35" customFormat="1" spans="1:11">
      <c r="A8" s="44">
        <v>45697</v>
      </c>
      <c r="B8" s="45" t="s">
        <v>177</v>
      </c>
      <c r="C8" s="45">
        <v>20250209</v>
      </c>
      <c r="D8" s="45" t="s">
        <v>181</v>
      </c>
      <c r="E8" s="45" t="s">
        <v>14</v>
      </c>
      <c r="F8" s="45">
        <v>4005</v>
      </c>
      <c r="G8" s="45">
        <v>2.15</v>
      </c>
      <c r="H8" s="45">
        <f t="shared" si="0"/>
        <v>8610.75</v>
      </c>
      <c r="I8" s="45" t="s">
        <v>94</v>
      </c>
      <c r="J8" s="45"/>
      <c r="K8" s="45"/>
    </row>
    <row r="9" s="35" customFormat="1" spans="1:11">
      <c r="A9" s="44">
        <v>45697</v>
      </c>
      <c r="B9" s="45" t="s">
        <v>177</v>
      </c>
      <c r="C9" s="45">
        <v>20250209</v>
      </c>
      <c r="D9" s="45" t="s">
        <v>38</v>
      </c>
      <c r="E9" s="45" t="s">
        <v>14</v>
      </c>
      <c r="F9" s="45">
        <v>4005</v>
      </c>
      <c r="G9" s="45">
        <v>1.4</v>
      </c>
      <c r="H9" s="45">
        <f t="shared" si="0"/>
        <v>5607</v>
      </c>
      <c r="I9" s="45" t="s">
        <v>284</v>
      </c>
      <c r="J9" s="45"/>
      <c r="K9" s="45"/>
    </row>
    <row r="10" s="35" customFormat="1" spans="1:11">
      <c r="A10" s="44">
        <v>45697</v>
      </c>
      <c r="B10" s="45" t="s">
        <v>177</v>
      </c>
      <c r="C10" s="45">
        <v>20250209</v>
      </c>
      <c r="D10" s="45" t="s">
        <v>285</v>
      </c>
      <c r="E10" s="45" t="s">
        <v>14</v>
      </c>
      <c r="F10" s="45">
        <v>305</v>
      </c>
      <c r="G10" s="45">
        <v>1.95</v>
      </c>
      <c r="H10" s="45">
        <f t="shared" si="0"/>
        <v>594.75</v>
      </c>
      <c r="I10" s="45" t="s">
        <v>286</v>
      </c>
      <c r="J10" s="45"/>
      <c r="K10" s="45"/>
    </row>
    <row r="11" s="35" customFormat="1" spans="1:11">
      <c r="A11" s="44">
        <v>45697</v>
      </c>
      <c r="B11" s="45" t="s">
        <v>177</v>
      </c>
      <c r="C11" s="45">
        <v>20250209</v>
      </c>
      <c r="D11" s="45" t="s">
        <v>30</v>
      </c>
      <c r="E11" s="45" t="s">
        <v>14</v>
      </c>
      <c r="F11" s="45">
        <v>155</v>
      </c>
      <c r="G11" s="45">
        <v>2.2</v>
      </c>
      <c r="H11" s="45">
        <f t="shared" si="0"/>
        <v>341</v>
      </c>
      <c r="I11" s="45" t="s">
        <v>287</v>
      </c>
      <c r="J11" s="45"/>
      <c r="K11" s="45"/>
    </row>
    <row r="12" s="35" customFormat="1" spans="1:11">
      <c r="A12" s="44">
        <v>45697</v>
      </c>
      <c r="B12" s="45" t="s">
        <v>177</v>
      </c>
      <c r="C12" s="45">
        <v>20250209</v>
      </c>
      <c r="D12" s="45" t="s">
        <v>288</v>
      </c>
      <c r="E12" s="45" t="s">
        <v>14</v>
      </c>
      <c r="F12" s="45">
        <v>55</v>
      </c>
      <c r="G12" s="45">
        <v>2.5</v>
      </c>
      <c r="H12" s="45">
        <f t="shared" si="0"/>
        <v>137.5</v>
      </c>
      <c r="I12" s="45" t="s">
        <v>28</v>
      </c>
      <c r="J12" s="45"/>
      <c r="K12" s="45"/>
    </row>
    <row r="13" s="35" customFormat="1" spans="1:11">
      <c r="A13" s="44">
        <v>45700</v>
      </c>
      <c r="B13" s="45" t="s">
        <v>177</v>
      </c>
      <c r="C13" s="45" t="s">
        <v>289</v>
      </c>
      <c r="D13" s="45" t="s">
        <v>290</v>
      </c>
      <c r="E13" s="45" t="s">
        <v>14</v>
      </c>
      <c r="F13" s="45">
        <v>70</v>
      </c>
      <c r="G13" s="45">
        <v>1.1</v>
      </c>
      <c r="H13" s="45">
        <f t="shared" si="0"/>
        <v>77</v>
      </c>
      <c r="I13" s="45" t="s">
        <v>15</v>
      </c>
      <c r="J13" s="45"/>
      <c r="K13" s="45"/>
    </row>
    <row r="14" s="35" customFormat="1" spans="1:11">
      <c r="A14" s="44">
        <v>45701</v>
      </c>
      <c r="B14" s="45" t="s">
        <v>177</v>
      </c>
      <c r="C14" s="45" t="s">
        <v>291</v>
      </c>
      <c r="D14" s="45" t="s">
        <v>38</v>
      </c>
      <c r="E14" s="45" t="s">
        <v>14</v>
      </c>
      <c r="F14" s="45">
        <v>10000</v>
      </c>
      <c r="G14" s="45">
        <v>1.42</v>
      </c>
      <c r="H14" s="45">
        <f t="shared" si="0"/>
        <v>14200</v>
      </c>
      <c r="I14" s="45" t="s">
        <v>61</v>
      </c>
      <c r="J14" s="45" t="s">
        <v>46</v>
      </c>
      <c r="K14" s="45"/>
    </row>
    <row r="15" s="35" customFormat="1" spans="1:11">
      <c r="A15" s="44">
        <v>45701</v>
      </c>
      <c r="B15" s="45" t="s">
        <v>177</v>
      </c>
      <c r="C15" s="45" t="s">
        <v>291</v>
      </c>
      <c r="D15" s="45" t="s">
        <v>285</v>
      </c>
      <c r="E15" s="45" t="s">
        <v>14</v>
      </c>
      <c r="F15" s="45">
        <v>10000</v>
      </c>
      <c r="G15" s="45">
        <v>1.92</v>
      </c>
      <c r="H15" s="45">
        <f t="shared" si="0"/>
        <v>19200</v>
      </c>
      <c r="I15" s="45" t="s">
        <v>61</v>
      </c>
      <c r="J15" s="45" t="s">
        <v>46</v>
      </c>
      <c r="K15" s="45"/>
    </row>
    <row r="16" s="35" customFormat="1" spans="1:11">
      <c r="A16" s="44">
        <v>45706</v>
      </c>
      <c r="B16" s="45" t="s">
        <v>177</v>
      </c>
      <c r="C16" s="45" t="s">
        <v>292</v>
      </c>
      <c r="D16" s="45" t="s">
        <v>282</v>
      </c>
      <c r="E16" s="45" t="s">
        <v>14</v>
      </c>
      <c r="F16" s="45">
        <v>2500</v>
      </c>
      <c r="G16" s="45">
        <v>1</v>
      </c>
      <c r="H16" s="45">
        <f t="shared" si="0"/>
        <v>2500</v>
      </c>
      <c r="I16" s="45" t="s">
        <v>283</v>
      </c>
      <c r="J16" s="45"/>
      <c r="K16" s="45"/>
    </row>
    <row r="17" s="35" customFormat="1" spans="1:11">
      <c r="A17" s="44">
        <v>45706</v>
      </c>
      <c r="B17" s="45" t="s">
        <v>177</v>
      </c>
      <c r="C17" s="45" t="s">
        <v>292</v>
      </c>
      <c r="D17" s="45" t="s">
        <v>181</v>
      </c>
      <c r="E17" s="45" t="s">
        <v>14</v>
      </c>
      <c r="F17" s="45">
        <v>7210</v>
      </c>
      <c r="G17" s="45">
        <v>2.15</v>
      </c>
      <c r="H17" s="45">
        <f t="shared" si="0"/>
        <v>15501.5</v>
      </c>
      <c r="I17" s="45" t="s">
        <v>94</v>
      </c>
      <c r="J17" s="45"/>
      <c r="K17" s="45"/>
    </row>
    <row r="18" s="35" customFormat="1" spans="1:11">
      <c r="A18" s="44">
        <v>45707</v>
      </c>
      <c r="B18" s="45" t="s">
        <v>177</v>
      </c>
      <c r="C18" s="45" t="s">
        <v>293</v>
      </c>
      <c r="D18" s="45" t="s">
        <v>38</v>
      </c>
      <c r="E18" s="45" t="s">
        <v>14</v>
      </c>
      <c r="F18" s="45">
        <v>355</v>
      </c>
      <c r="G18" s="45">
        <v>1.4</v>
      </c>
      <c r="H18" s="45">
        <f t="shared" si="0"/>
        <v>497</v>
      </c>
      <c r="I18" s="45" t="s">
        <v>278</v>
      </c>
      <c r="J18" s="45"/>
      <c r="K18" s="45"/>
    </row>
    <row r="19" s="35" customFormat="1" spans="1:11">
      <c r="A19" s="44">
        <v>45709</v>
      </c>
      <c r="B19" s="45" t="s">
        <v>177</v>
      </c>
      <c r="C19" s="45" t="s">
        <v>294</v>
      </c>
      <c r="D19" s="45" t="s">
        <v>181</v>
      </c>
      <c r="E19" s="45" t="s">
        <v>14</v>
      </c>
      <c r="F19" s="45">
        <v>7005</v>
      </c>
      <c r="G19" s="45">
        <v>2.15</v>
      </c>
      <c r="H19" s="45">
        <f t="shared" si="0"/>
        <v>15060.75</v>
      </c>
      <c r="I19" s="45" t="s">
        <v>94</v>
      </c>
      <c r="J19" s="45"/>
      <c r="K19" s="45"/>
    </row>
    <row r="20" s="35" customFormat="1" spans="1:11">
      <c r="A20" s="44">
        <v>45709</v>
      </c>
      <c r="B20" s="45" t="s">
        <v>177</v>
      </c>
      <c r="C20" s="45" t="s">
        <v>294</v>
      </c>
      <c r="D20" s="45" t="s">
        <v>295</v>
      </c>
      <c r="E20" s="45" t="s">
        <v>14</v>
      </c>
      <c r="F20" s="45">
        <v>20</v>
      </c>
      <c r="G20" s="45">
        <v>0</v>
      </c>
      <c r="H20" s="45">
        <f t="shared" si="0"/>
        <v>0</v>
      </c>
      <c r="I20" s="45" t="s">
        <v>32</v>
      </c>
      <c r="J20" s="45"/>
      <c r="K20" s="45"/>
    </row>
    <row r="21" s="35" customFormat="1" spans="1:11">
      <c r="A21" s="44">
        <v>45709</v>
      </c>
      <c r="B21" s="45" t="s">
        <v>177</v>
      </c>
      <c r="C21" s="45" t="s">
        <v>294</v>
      </c>
      <c r="D21" s="45">
        <v>-500</v>
      </c>
      <c r="E21" s="45" t="s">
        <v>14</v>
      </c>
      <c r="F21" s="45">
        <v>1015</v>
      </c>
      <c r="G21" s="45">
        <v>1.2</v>
      </c>
      <c r="H21" s="45">
        <f t="shared" si="0"/>
        <v>1218</v>
      </c>
      <c r="I21" s="45" t="s">
        <v>296</v>
      </c>
      <c r="J21" s="45"/>
      <c r="K21" s="45"/>
    </row>
    <row r="22" s="35" customFormat="1" spans="1:11">
      <c r="A22" s="44">
        <v>45710</v>
      </c>
      <c r="B22" s="45" t="s">
        <v>177</v>
      </c>
      <c r="C22" s="45" t="s">
        <v>297</v>
      </c>
      <c r="D22" s="45" t="s">
        <v>38</v>
      </c>
      <c r="E22" s="45" t="s">
        <v>14</v>
      </c>
      <c r="F22" s="45">
        <v>50</v>
      </c>
      <c r="G22" s="45">
        <v>1.4</v>
      </c>
      <c r="H22" s="45">
        <f t="shared" si="0"/>
        <v>70</v>
      </c>
      <c r="I22" s="45" t="s">
        <v>78</v>
      </c>
      <c r="J22" s="45"/>
      <c r="K22" s="45"/>
    </row>
    <row r="23" s="35" customFormat="1" spans="1:11">
      <c r="A23" s="44">
        <v>45710</v>
      </c>
      <c r="B23" s="45" t="s">
        <v>177</v>
      </c>
      <c r="C23" s="45" t="s">
        <v>297</v>
      </c>
      <c r="D23" s="45">
        <v>-500</v>
      </c>
      <c r="E23" s="45" t="s">
        <v>14</v>
      </c>
      <c r="F23" s="45">
        <v>2030</v>
      </c>
      <c r="G23" s="45">
        <v>1.2</v>
      </c>
      <c r="H23" s="45">
        <f t="shared" si="0"/>
        <v>2436</v>
      </c>
      <c r="I23" s="45" t="s">
        <v>298</v>
      </c>
      <c r="J23" s="45"/>
      <c r="K23" s="45"/>
    </row>
    <row r="24" s="35" customFormat="1" spans="1:11">
      <c r="A24" s="44">
        <v>45712</v>
      </c>
      <c r="B24" s="45" t="s">
        <v>177</v>
      </c>
      <c r="C24" s="45" t="s">
        <v>299</v>
      </c>
      <c r="D24" s="45" t="s">
        <v>183</v>
      </c>
      <c r="E24" s="45" t="s">
        <v>14</v>
      </c>
      <c r="F24" s="45">
        <v>5030</v>
      </c>
      <c r="G24" s="45">
        <v>1.1</v>
      </c>
      <c r="H24" s="45">
        <f t="shared" si="0"/>
        <v>5533</v>
      </c>
      <c r="I24" s="45" t="s">
        <v>300</v>
      </c>
      <c r="J24" s="45"/>
      <c r="K24" s="45"/>
    </row>
    <row r="25" s="35" customFormat="1" spans="1:11">
      <c r="A25" s="44">
        <v>45714</v>
      </c>
      <c r="B25" s="45" t="s">
        <v>177</v>
      </c>
      <c r="C25" s="45" t="s">
        <v>301</v>
      </c>
      <c r="D25" s="45" t="s">
        <v>295</v>
      </c>
      <c r="E25" s="45" t="s">
        <v>14</v>
      </c>
      <c r="F25" s="45">
        <v>20000</v>
      </c>
      <c r="G25" s="45">
        <v>1.55</v>
      </c>
      <c r="H25" s="45">
        <f t="shared" si="0"/>
        <v>31000</v>
      </c>
      <c r="I25" s="45" t="s">
        <v>61</v>
      </c>
      <c r="J25" s="45" t="s">
        <v>46</v>
      </c>
      <c r="K25" s="45"/>
    </row>
    <row r="26" spans="1:11">
      <c r="A26" s="41">
        <v>45697</v>
      </c>
      <c r="B26" s="43" t="s">
        <v>11</v>
      </c>
      <c r="C26" s="43" t="s">
        <v>302</v>
      </c>
      <c r="D26" s="43" t="s">
        <v>44</v>
      </c>
      <c r="E26" s="43" t="s">
        <v>14</v>
      </c>
      <c r="F26" s="43">
        <v>20</v>
      </c>
      <c r="G26" s="43">
        <v>1</v>
      </c>
      <c r="H26" s="43">
        <f t="shared" ref="H26:H47" si="1">F26*G26</f>
        <v>20</v>
      </c>
      <c r="I26" s="43" t="s">
        <v>45</v>
      </c>
      <c r="J26" s="43" t="s">
        <v>16</v>
      </c>
      <c r="K26" s="43"/>
    </row>
    <row r="27" spans="1:11">
      <c r="A27" s="41">
        <v>45697</v>
      </c>
      <c r="B27" s="43" t="s">
        <v>11</v>
      </c>
      <c r="C27" s="43" t="s">
        <v>303</v>
      </c>
      <c r="D27" s="43" t="s">
        <v>304</v>
      </c>
      <c r="E27" s="43" t="s">
        <v>14</v>
      </c>
      <c r="F27" s="43">
        <v>55</v>
      </c>
      <c r="G27" s="43">
        <v>1.8</v>
      </c>
      <c r="H27" s="43">
        <f t="shared" si="1"/>
        <v>99</v>
      </c>
      <c r="I27" s="43" t="s">
        <v>28</v>
      </c>
      <c r="J27" s="43" t="s">
        <v>16</v>
      </c>
      <c r="K27" s="43"/>
    </row>
    <row r="28" spans="1:11">
      <c r="A28" s="41">
        <v>45697</v>
      </c>
      <c r="B28" s="43" t="s">
        <v>11</v>
      </c>
      <c r="C28" s="43" t="s">
        <v>303</v>
      </c>
      <c r="D28" s="43" t="s">
        <v>305</v>
      </c>
      <c r="E28" s="43" t="s">
        <v>14</v>
      </c>
      <c r="F28" s="43">
        <v>105</v>
      </c>
      <c r="G28" s="43">
        <v>3.2</v>
      </c>
      <c r="H28" s="43">
        <f t="shared" si="1"/>
        <v>336</v>
      </c>
      <c r="I28" s="43" t="s">
        <v>28</v>
      </c>
      <c r="J28" s="43" t="s">
        <v>16</v>
      </c>
      <c r="K28" s="43"/>
    </row>
    <row r="29" spans="1:11">
      <c r="A29" s="41">
        <v>45697</v>
      </c>
      <c r="B29" s="43" t="s">
        <v>11</v>
      </c>
      <c r="C29" s="43" t="s">
        <v>303</v>
      </c>
      <c r="D29" s="43" t="s">
        <v>306</v>
      </c>
      <c r="E29" s="43" t="s">
        <v>14</v>
      </c>
      <c r="F29" s="43">
        <v>55</v>
      </c>
      <c r="G29" s="43">
        <v>1.2</v>
      </c>
      <c r="H29" s="43">
        <f t="shared" si="1"/>
        <v>66</v>
      </c>
      <c r="I29" s="43" t="s">
        <v>28</v>
      </c>
      <c r="J29" s="43" t="s">
        <v>16</v>
      </c>
      <c r="K29" s="43"/>
    </row>
    <row r="30" spans="1:11">
      <c r="A30" s="41">
        <v>45697</v>
      </c>
      <c r="B30" s="43" t="s">
        <v>11</v>
      </c>
      <c r="C30" s="43" t="s">
        <v>303</v>
      </c>
      <c r="D30" s="43" t="s">
        <v>27</v>
      </c>
      <c r="E30" s="43" t="s">
        <v>14</v>
      </c>
      <c r="F30" s="43">
        <v>105</v>
      </c>
      <c r="G30" s="43">
        <v>1.8</v>
      </c>
      <c r="H30" s="43">
        <f t="shared" si="1"/>
        <v>189</v>
      </c>
      <c r="I30" s="43" t="s">
        <v>28</v>
      </c>
      <c r="J30" s="43" t="s">
        <v>16</v>
      </c>
      <c r="K30" s="43"/>
    </row>
    <row r="31" spans="1:11">
      <c r="A31" s="41">
        <v>45697</v>
      </c>
      <c r="B31" s="43" t="s">
        <v>11</v>
      </c>
      <c r="C31" s="43" t="s">
        <v>303</v>
      </c>
      <c r="D31" s="43" t="s">
        <v>307</v>
      </c>
      <c r="E31" s="43" t="s">
        <v>14</v>
      </c>
      <c r="F31" s="43">
        <v>55</v>
      </c>
      <c r="G31" s="43">
        <v>1.4</v>
      </c>
      <c r="H31" s="43">
        <f t="shared" si="1"/>
        <v>77</v>
      </c>
      <c r="I31" s="43" t="s">
        <v>28</v>
      </c>
      <c r="J31" s="43" t="s">
        <v>16</v>
      </c>
      <c r="K31" s="43"/>
    </row>
    <row r="32" spans="1:11">
      <c r="A32" s="41">
        <v>45702</v>
      </c>
      <c r="B32" s="43" t="s">
        <v>11</v>
      </c>
      <c r="C32" s="43" t="s">
        <v>308</v>
      </c>
      <c r="D32" s="43" t="s">
        <v>53</v>
      </c>
      <c r="E32" s="43" t="s">
        <v>14</v>
      </c>
      <c r="F32" s="43">
        <v>2005</v>
      </c>
      <c r="G32" s="43">
        <v>1.3</v>
      </c>
      <c r="H32" s="43">
        <f t="shared" si="1"/>
        <v>2606.5</v>
      </c>
      <c r="I32" s="43" t="s">
        <v>77</v>
      </c>
      <c r="J32" s="43" t="s">
        <v>16</v>
      </c>
      <c r="K32" s="43"/>
    </row>
    <row r="33" spans="1:11">
      <c r="A33" s="41">
        <v>45706</v>
      </c>
      <c r="B33" s="43" t="s">
        <v>11</v>
      </c>
      <c r="C33" s="43" t="s">
        <v>309</v>
      </c>
      <c r="D33" s="43" t="s">
        <v>310</v>
      </c>
      <c r="E33" s="43" t="s">
        <v>14</v>
      </c>
      <c r="F33" s="43">
        <v>5000</v>
      </c>
      <c r="G33" s="43">
        <v>1.3</v>
      </c>
      <c r="H33" s="43">
        <f t="shared" si="1"/>
        <v>6500</v>
      </c>
      <c r="I33" s="43" t="s">
        <v>311</v>
      </c>
      <c r="J33" s="43" t="s">
        <v>16</v>
      </c>
      <c r="K33" s="43"/>
    </row>
    <row r="34" spans="1:11">
      <c r="A34" s="41">
        <v>45706</v>
      </c>
      <c r="B34" s="43" t="s">
        <v>11</v>
      </c>
      <c r="C34" s="43" t="s">
        <v>309</v>
      </c>
      <c r="D34" s="43" t="s">
        <v>188</v>
      </c>
      <c r="E34" s="43" t="s">
        <v>14</v>
      </c>
      <c r="F34" s="43">
        <v>1400</v>
      </c>
      <c r="G34" s="43">
        <v>1.1</v>
      </c>
      <c r="H34" s="43">
        <f t="shared" si="1"/>
        <v>1540</v>
      </c>
      <c r="I34" s="43" t="s">
        <v>45</v>
      </c>
      <c r="J34" s="43" t="s">
        <v>16</v>
      </c>
      <c r="K34" s="43"/>
    </row>
    <row r="35" spans="1:11">
      <c r="A35" s="41">
        <v>45707</v>
      </c>
      <c r="B35" s="43" t="s">
        <v>11</v>
      </c>
      <c r="C35" s="43" t="s">
        <v>312</v>
      </c>
      <c r="D35" s="43" t="s">
        <v>44</v>
      </c>
      <c r="E35" s="43" t="s">
        <v>14</v>
      </c>
      <c r="F35" s="43">
        <v>10500</v>
      </c>
      <c r="G35" s="43">
        <v>1</v>
      </c>
      <c r="H35" s="43">
        <f t="shared" si="1"/>
        <v>10500</v>
      </c>
      <c r="I35" s="43" t="s">
        <v>45</v>
      </c>
      <c r="J35" s="43" t="s">
        <v>16</v>
      </c>
      <c r="K35" s="43"/>
    </row>
    <row r="36" spans="1:11">
      <c r="A36" s="41">
        <v>45709</v>
      </c>
      <c r="B36" s="43" t="s">
        <v>11</v>
      </c>
      <c r="C36" s="43" t="s">
        <v>313</v>
      </c>
      <c r="D36" s="43" t="s">
        <v>314</v>
      </c>
      <c r="E36" s="43" t="s">
        <v>14</v>
      </c>
      <c r="F36" s="43">
        <v>10000</v>
      </c>
      <c r="G36" s="43">
        <v>1.5</v>
      </c>
      <c r="H36" s="43">
        <f t="shared" si="1"/>
        <v>15000</v>
      </c>
      <c r="I36" s="43" t="s">
        <v>271</v>
      </c>
      <c r="J36" s="43" t="s">
        <v>16</v>
      </c>
      <c r="K36" s="43"/>
    </row>
    <row r="37" spans="1:11">
      <c r="A37" s="41">
        <v>45709</v>
      </c>
      <c r="B37" s="43" t="s">
        <v>11</v>
      </c>
      <c r="C37" s="43" t="s">
        <v>313</v>
      </c>
      <c r="D37" s="43" t="s">
        <v>310</v>
      </c>
      <c r="E37" s="43" t="s">
        <v>14</v>
      </c>
      <c r="F37" s="43">
        <v>3200</v>
      </c>
      <c r="G37" s="43">
        <v>1.3</v>
      </c>
      <c r="H37" s="43">
        <f t="shared" si="1"/>
        <v>4160</v>
      </c>
      <c r="I37" s="43" t="s">
        <v>311</v>
      </c>
      <c r="J37" s="43" t="s">
        <v>16</v>
      </c>
      <c r="K37" s="43"/>
    </row>
    <row r="38" spans="1:11">
      <c r="A38" s="41">
        <v>45709</v>
      </c>
      <c r="B38" s="43" t="s">
        <v>11</v>
      </c>
      <c r="C38" s="43" t="s">
        <v>313</v>
      </c>
      <c r="D38" s="43" t="s">
        <v>31</v>
      </c>
      <c r="E38" s="43" t="s">
        <v>14</v>
      </c>
      <c r="F38" s="43">
        <v>30</v>
      </c>
      <c r="G38" s="43">
        <v>0.9</v>
      </c>
      <c r="H38" s="43">
        <f t="shared" si="1"/>
        <v>27</v>
      </c>
      <c r="I38" s="43" t="s">
        <v>32</v>
      </c>
      <c r="J38" s="43" t="s">
        <v>16</v>
      </c>
      <c r="K38" s="43"/>
    </row>
    <row r="39" spans="1:11">
      <c r="A39" s="41">
        <v>45709</v>
      </c>
      <c r="B39" s="43" t="s">
        <v>11</v>
      </c>
      <c r="C39" s="43" t="s">
        <v>315</v>
      </c>
      <c r="D39" s="43" t="s">
        <v>316</v>
      </c>
      <c r="E39" s="43" t="s">
        <v>14</v>
      </c>
      <c r="F39" s="43">
        <v>10</v>
      </c>
      <c r="G39" s="43">
        <v>1.7</v>
      </c>
      <c r="H39" s="43">
        <f t="shared" si="1"/>
        <v>17</v>
      </c>
      <c r="I39" s="43" t="s">
        <v>32</v>
      </c>
      <c r="J39" s="43" t="s">
        <v>16</v>
      </c>
      <c r="K39" s="43"/>
    </row>
    <row r="40" spans="1:11">
      <c r="A40" s="41">
        <v>45709</v>
      </c>
      <c r="B40" s="43" t="s">
        <v>11</v>
      </c>
      <c r="C40" s="43" t="s">
        <v>315</v>
      </c>
      <c r="D40" s="43" t="s">
        <v>317</v>
      </c>
      <c r="E40" s="43" t="s">
        <v>14</v>
      </c>
      <c r="F40" s="43">
        <v>10</v>
      </c>
      <c r="G40" s="43">
        <v>1.1</v>
      </c>
      <c r="H40" s="43">
        <f t="shared" si="1"/>
        <v>11</v>
      </c>
      <c r="I40" s="43" t="s">
        <v>32</v>
      </c>
      <c r="J40" s="43" t="s">
        <v>16</v>
      </c>
      <c r="K40" s="43"/>
    </row>
    <row r="41" spans="1:11">
      <c r="A41" s="41">
        <v>45712</v>
      </c>
      <c r="B41" s="43" t="s">
        <v>11</v>
      </c>
      <c r="C41" s="43" t="s">
        <v>318</v>
      </c>
      <c r="D41" s="43" t="s">
        <v>38</v>
      </c>
      <c r="E41" s="43" t="s">
        <v>14</v>
      </c>
      <c r="F41" s="43">
        <v>405</v>
      </c>
      <c r="G41" s="43">
        <v>1.3</v>
      </c>
      <c r="H41" s="43">
        <f t="shared" si="1"/>
        <v>526.5</v>
      </c>
      <c r="I41" s="43" t="s">
        <v>319</v>
      </c>
      <c r="J41" s="43" t="s">
        <v>16</v>
      </c>
      <c r="K41" s="43"/>
    </row>
    <row r="42" spans="1:11">
      <c r="A42" s="41">
        <v>45713</v>
      </c>
      <c r="B42" s="43" t="s">
        <v>11</v>
      </c>
      <c r="C42" s="43" t="s">
        <v>320</v>
      </c>
      <c r="D42" s="43" t="s">
        <v>321</v>
      </c>
      <c r="E42" s="43" t="s">
        <v>14</v>
      </c>
      <c r="F42" s="43">
        <v>25</v>
      </c>
      <c r="G42" s="43">
        <v>1.4</v>
      </c>
      <c r="H42" s="43">
        <f t="shared" si="1"/>
        <v>35</v>
      </c>
      <c r="I42" s="43" t="s">
        <v>322</v>
      </c>
      <c r="J42" s="43" t="s">
        <v>16</v>
      </c>
      <c r="K42" s="43"/>
    </row>
    <row r="43" spans="1:11">
      <c r="A43" s="41">
        <v>45716</v>
      </c>
      <c r="B43" s="43" t="s">
        <v>11</v>
      </c>
      <c r="C43" s="43" t="s">
        <v>323</v>
      </c>
      <c r="D43" s="43" t="s">
        <v>324</v>
      </c>
      <c r="E43" s="43" t="s">
        <v>14</v>
      </c>
      <c r="F43" s="43">
        <v>53</v>
      </c>
      <c r="G43" s="43">
        <v>2</v>
      </c>
      <c r="H43" s="43">
        <f t="shared" si="1"/>
        <v>106</v>
      </c>
      <c r="I43" s="43" t="s">
        <v>322</v>
      </c>
      <c r="J43" s="43" t="s">
        <v>16</v>
      </c>
      <c r="K43" s="43"/>
    </row>
    <row r="44" spans="1:11">
      <c r="A44" s="41">
        <v>45716</v>
      </c>
      <c r="B44" s="43" t="s">
        <v>11</v>
      </c>
      <c r="C44" s="43" t="s">
        <v>323</v>
      </c>
      <c r="D44" s="43" t="s">
        <v>325</v>
      </c>
      <c r="E44" s="43" t="s">
        <v>14</v>
      </c>
      <c r="F44" s="43">
        <v>53</v>
      </c>
      <c r="G44" s="43">
        <v>1.1</v>
      </c>
      <c r="H44" s="43">
        <f t="shared" si="1"/>
        <v>58.3</v>
      </c>
      <c r="I44" s="43" t="s">
        <v>322</v>
      </c>
      <c r="J44" s="43" t="s">
        <v>16</v>
      </c>
      <c r="K44" s="43"/>
    </row>
    <row r="45" spans="1:11">
      <c r="A45" s="41">
        <v>45716</v>
      </c>
      <c r="B45" s="43" t="s">
        <v>11</v>
      </c>
      <c r="C45" s="43" t="s">
        <v>323</v>
      </c>
      <c r="D45" s="43" t="s">
        <v>326</v>
      </c>
      <c r="E45" s="43" t="s">
        <v>14</v>
      </c>
      <c r="F45" s="43">
        <v>53</v>
      </c>
      <c r="G45" s="43">
        <v>1.5</v>
      </c>
      <c r="H45" s="43">
        <f t="shared" si="1"/>
        <v>79.5</v>
      </c>
      <c r="I45" s="43" t="s">
        <v>322</v>
      </c>
      <c r="J45" s="43" t="s">
        <v>16</v>
      </c>
      <c r="K45" s="43"/>
    </row>
    <row r="46" spans="1:11">
      <c r="A46" s="41">
        <v>45716</v>
      </c>
      <c r="B46" s="43" t="s">
        <v>11</v>
      </c>
      <c r="C46" s="43" t="s">
        <v>323</v>
      </c>
      <c r="D46" s="43" t="s">
        <v>327</v>
      </c>
      <c r="E46" s="43" t="s">
        <v>14</v>
      </c>
      <c r="F46" s="43">
        <v>152</v>
      </c>
      <c r="G46" s="43">
        <v>1</v>
      </c>
      <c r="H46" s="43">
        <f t="shared" si="1"/>
        <v>152</v>
      </c>
      <c r="I46" s="43" t="s">
        <v>322</v>
      </c>
      <c r="J46" s="43" t="s">
        <v>16</v>
      </c>
      <c r="K46" s="43"/>
    </row>
    <row r="47" spans="1:11">
      <c r="A47" s="41">
        <v>45716</v>
      </c>
      <c r="B47" s="43" t="s">
        <v>11</v>
      </c>
      <c r="C47" s="43" t="s">
        <v>323</v>
      </c>
      <c r="D47" s="43" t="s">
        <v>328</v>
      </c>
      <c r="E47" s="43" t="s">
        <v>14</v>
      </c>
      <c r="F47" s="43">
        <v>10</v>
      </c>
      <c r="G47" s="43">
        <v>1.2</v>
      </c>
      <c r="H47" s="43">
        <f t="shared" si="1"/>
        <v>12</v>
      </c>
      <c r="I47" s="43" t="s">
        <v>322</v>
      </c>
      <c r="J47" s="43" t="s">
        <v>16</v>
      </c>
      <c r="K47" s="43"/>
    </row>
    <row r="48" spans="1:11">
      <c r="A48" s="41">
        <v>45699</v>
      </c>
      <c r="B48" s="43" t="s">
        <v>221</v>
      </c>
      <c r="C48" s="43">
        <v>20250211001</v>
      </c>
      <c r="D48" s="43" t="s">
        <v>329</v>
      </c>
      <c r="E48" s="43" t="s">
        <v>14</v>
      </c>
      <c r="F48" s="43">
        <v>10010</v>
      </c>
      <c r="G48" s="43">
        <v>0.92</v>
      </c>
      <c r="H48" s="43">
        <f t="shared" ref="H48:H80" si="2">F48*G48</f>
        <v>9209.2</v>
      </c>
      <c r="I48" s="43" t="s">
        <v>330</v>
      </c>
      <c r="J48" s="43" t="s">
        <v>16</v>
      </c>
      <c r="K48" s="43"/>
    </row>
    <row r="49" spans="1:11">
      <c r="A49" s="41">
        <v>45696</v>
      </c>
      <c r="B49" s="43" t="s">
        <v>113</v>
      </c>
      <c r="C49" s="43" t="s">
        <v>331</v>
      </c>
      <c r="D49" s="43" t="s">
        <v>332</v>
      </c>
      <c r="E49" s="43" t="s">
        <v>60</v>
      </c>
      <c r="F49" s="45">
        <v>102</v>
      </c>
      <c r="G49" s="45">
        <v>0.55</v>
      </c>
      <c r="H49" s="43">
        <f t="shared" si="2"/>
        <v>56.1</v>
      </c>
      <c r="I49" s="43" t="s">
        <v>278</v>
      </c>
      <c r="J49" s="43"/>
      <c r="K49" s="43"/>
    </row>
    <row r="50" spans="1:11">
      <c r="A50" s="41">
        <v>45700</v>
      </c>
      <c r="B50" s="43" t="s">
        <v>113</v>
      </c>
      <c r="C50" s="43" t="s">
        <v>333</v>
      </c>
      <c r="D50" s="43" t="s">
        <v>128</v>
      </c>
      <c r="E50" s="43" t="s">
        <v>62</v>
      </c>
      <c r="F50" s="45">
        <v>4010</v>
      </c>
      <c r="G50" s="45">
        <v>0.55</v>
      </c>
      <c r="H50" s="43">
        <f t="shared" si="2"/>
        <v>2205.5</v>
      </c>
      <c r="I50" s="43" t="s">
        <v>65</v>
      </c>
      <c r="J50" s="43"/>
      <c r="K50" s="43"/>
    </row>
    <row r="51" spans="1:11">
      <c r="A51" s="41">
        <v>45701</v>
      </c>
      <c r="B51" s="43" t="s">
        <v>113</v>
      </c>
      <c r="C51" s="43" t="s">
        <v>334</v>
      </c>
      <c r="D51" s="43" t="s">
        <v>76</v>
      </c>
      <c r="E51" s="43" t="s">
        <v>116</v>
      </c>
      <c r="F51" s="45">
        <v>2135</v>
      </c>
      <c r="G51" s="45">
        <v>0.48</v>
      </c>
      <c r="H51" s="43">
        <f t="shared" si="2"/>
        <v>1024.8</v>
      </c>
      <c r="I51" s="43" t="s">
        <v>126</v>
      </c>
      <c r="J51" s="43"/>
      <c r="K51" s="43"/>
    </row>
    <row r="52" spans="1:11">
      <c r="A52" s="41">
        <v>45701</v>
      </c>
      <c r="B52" s="43" t="s">
        <v>113</v>
      </c>
      <c r="C52" s="43" t="s">
        <v>335</v>
      </c>
      <c r="D52" s="43" t="s">
        <v>76</v>
      </c>
      <c r="E52" s="43" t="s">
        <v>62</v>
      </c>
      <c r="F52" s="45">
        <v>30</v>
      </c>
      <c r="G52" s="45">
        <v>0</v>
      </c>
      <c r="H52" s="43">
        <f t="shared" si="2"/>
        <v>0</v>
      </c>
      <c r="I52" s="43" t="s">
        <v>32</v>
      </c>
      <c r="J52" s="43"/>
      <c r="K52" s="43"/>
    </row>
    <row r="53" spans="1:11">
      <c r="A53" s="41">
        <v>45701</v>
      </c>
      <c r="B53" s="43" t="s">
        <v>113</v>
      </c>
      <c r="C53" s="43" t="s">
        <v>335</v>
      </c>
      <c r="D53" s="43" t="s">
        <v>332</v>
      </c>
      <c r="E53" s="43" t="s">
        <v>60</v>
      </c>
      <c r="F53" s="45">
        <v>50</v>
      </c>
      <c r="G53" s="45">
        <v>0</v>
      </c>
      <c r="H53" s="43">
        <f t="shared" si="2"/>
        <v>0</v>
      </c>
      <c r="I53" s="43" t="s">
        <v>32</v>
      </c>
      <c r="J53" s="43"/>
      <c r="K53" s="43"/>
    </row>
    <row r="54" spans="1:11">
      <c r="A54" s="41">
        <v>45701</v>
      </c>
      <c r="B54" s="43" t="s">
        <v>113</v>
      </c>
      <c r="C54" s="43" t="s">
        <v>335</v>
      </c>
      <c r="D54" s="43" t="s">
        <v>70</v>
      </c>
      <c r="E54" s="43" t="s">
        <v>60</v>
      </c>
      <c r="F54" s="45">
        <v>50</v>
      </c>
      <c r="G54" s="45">
        <v>0</v>
      </c>
      <c r="H54" s="43">
        <f t="shared" si="2"/>
        <v>0</v>
      </c>
      <c r="I54" s="43" t="s">
        <v>32</v>
      </c>
      <c r="J54" s="43"/>
      <c r="K54" s="43"/>
    </row>
    <row r="55" spans="1:11">
      <c r="A55" s="41">
        <v>45701</v>
      </c>
      <c r="B55" s="43" t="s">
        <v>113</v>
      </c>
      <c r="C55" s="43" t="s">
        <v>335</v>
      </c>
      <c r="D55" s="43" t="s">
        <v>196</v>
      </c>
      <c r="E55" s="43" t="s">
        <v>60</v>
      </c>
      <c r="F55" s="45">
        <v>50</v>
      </c>
      <c r="G55" s="45">
        <v>0</v>
      </c>
      <c r="H55" s="43">
        <f t="shared" si="2"/>
        <v>0</v>
      </c>
      <c r="I55" s="43" t="s">
        <v>32</v>
      </c>
      <c r="J55" s="43"/>
      <c r="K55" s="43"/>
    </row>
    <row r="56" spans="1:11">
      <c r="A56" s="41">
        <v>45706</v>
      </c>
      <c r="B56" s="43" t="s">
        <v>113</v>
      </c>
      <c r="C56" s="43" t="s">
        <v>336</v>
      </c>
      <c r="D56" s="43" t="s">
        <v>76</v>
      </c>
      <c r="E56" s="43" t="s">
        <v>123</v>
      </c>
      <c r="F56" s="45">
        <v>4020</v>
      </c>
      <c r="G56" s="45">
        <v>0.5</v>
      </c>
      <c r="H56" s="43">
        <f t="shared" si="2"/>
        <v>2010</v>
      </c>
      <c r="I56" s="43" t="s">
        <v>126</v>
      </c>
      <c r="J56" s="43"/>
      <c r="K56" s="43"/>
    </row>
    <row r="57" spans="1:11">
      <c r="A57" s="41">
        <v>45706</v>
      </c>
      <c r="B57" s="43" t="s">
        <v>113</v>
      </c>
      <c r="C57" s="43" t="s">
        <v>336</v>
      </c>
      <c r="D57" s="43" t="s">
        <v>128</v>
      </c>
      <c r="E57" s="43" t="s">
        <v>60</v>
      </c>
      <c r="F57" s="45">
        <v>6110</v>
      </c>
      <c r="G57" s="45">
        <v>0.53</v>
      </c>
      <c r="H57" s="43">
        <f t="shared" si="2"/>
        <v>3238.3</v>
      </c>
      <c r="I57" s="43" t="s">
        <v>278</v>
      </c>
      <c r="J57" s="43"/>
      <c r="K57" s="43"/>
    </row>
    <row r="58" spans="1:11">
      <c r="A58" s="41">
        <v>45705</v>
      </c>
      <c r="B58" s="43" t="s">
        <v>113</v>
      </c>
      <c r="C58" s="43" t="s">
        <v>337</v>
      </c>
      <c r="D58" s="43" t="s">
        <v>59</v>
      </c>
      <c r="E58" s="43" t="s">
        <v>62</v>
      </c>
      <c r="F58" s="43">
        <v>20</v>
      </c>
      <c r="G58" s="43">
        <v>0</v>
      </c>
      <c r="H58" s="43">
        <f t="shared" si="2"/>
        <v>0</v>
      </c>
      <c r="I58" s="43" t="s">
        <v>32</v>
      </c>
      <c r="J58" s="43"/>
      <c r="K58" s="43"/>
    </row>
    <row r="59" spans="1:11">
      <c r="A59" s="41">
        <v>45707</v>
      </c>
      <c r="B59" s="43" t="s">
        <v>113</v>
      </c>
      <c r="C59" s="43" t="s">
        <v>338</v>
      </c>
      <c r="D59" s="43" t="s">
        <v>76</v>
      </c>
      <c r="E59" s="43" t="s">
        <v>339</v>
      </c>
      <c r="F59" s="45">
        <v>58350</v>
      </c>
      <c r="G59" s="45">
        <v>0.5</v>
      </c>
      <c r="H59" s="43">
        <f t="shared" si="2"/>
        <v>29175</v>
      </c>
      <c r="I59" s="43" t="s">
        <v>126</v>
      </c>
      <c r="J59" s="43"/>
      <c r="K59" s="43"/>
    </row>
    <row r="60" spans="1:11">
      <c r="A60" s="41">
        <v>45707</v>
      </c>
      <c r="B60" s="43" t="s">
        <v>113</v>
      </c>
      <c r="C60" s="43" t="s">
        <v>338</v>
      </c>
      <c r="D60" s="43" t="s">
        <v>122</v>
      </c>
      <c r="E60" s="43" t="s">
        <v>339</v>
      </c>
      <c r="F60" s="45">
        <v>5010</v>
      </c>
      <c r="G60" s="45">
        <v>0.53</v>
      </c>
      <c r="H60" s="43">
        <f t="shared" si="2"/>
        <v>2655.3</v>
      </c>
      <c r="I60" s="43" t="s">
        <v>340</v>
      </c>
      <c r="J60" s="43"/>
      <c r="K60" s="43"/>
    </row>
    <row r="61" spans="1:11">
      <c r="A61" s="41">
        <v>45708</v>
      </c>
      <c r="B61" s="43" t="s">
        <v>113</v>
      </c>
      <c r="C61" s="43" t="s">
        <v>341</v>
      </c>
      <c r="D61" s="43" t="s">
        <v>76</v>
      </c>
      <c r="E61" s="43" t="s">
        <v>342</v>
      </c>
      <c r="F61" s="45">
        <v>14920</v>
      </c>
      <c r="G61" s="45">
        <v>0.44</v>
      </c>
      <c r="H61" s="43">
        <f t="shared" si="2"/>
        <v>6564.8</v>
      </c>
      <c r="I61" s="43" t="s">
        <v>340</v>
      </c>
      <c r="J61" s="43"/>
      <c r="K61" s="43"/>
    </row>
    <row r="62" spans="1:11">
      <c r="A62" s="41">
        <v>45708</v>
      </c>
      <c r="B62" s="43" t="s">
        <v>113</v>
      </c>
      <c r="C62" s="43" t="s">
        <v>341</v>
      </c>
      <c r="D62" s="43" t="s">
        <v>122</v>
      </c>
      <c r="E62" s="43" t="s">
        <v>123</v>
      </c>
      <c r="F62" s="45">
        <v>12220</v>
      </c>
      <c r="G62" s="45">
        <v>0.55</v>
      </c>
      <c r="H62" s="43">
        <f t="shared" si="2"/>
        <v>6721</v>
      </c>
      <c r="I62" s="43" t="s">
        <v>278</v>
      </c>
      <c r="J62" s="43"/>
      <c r="K62" s="43"/>
    </row>
    <row r="63" spans="1:11">
      <c r="A63" s="41">
        <v>45708</v>
      </c>
      <c r="B63" s="43" t="s">
        <v>113</v>
      </c>
      <c r="C63" s="43" t="s">
        <v>341</v>
      </c>
      <c r="D63" s="43" t="s">
        <v>130</v>
      </c>
      <c r="E63" s="43" t="s">
        <v>60</v>
      </c>
      <c r="F63" s="45">
        <v>8100</v>
      </c>
      <c r="G63" s="45">
        <v>0.45</v>
      </c>
      <c r="H63" s="43">
        <f t="shared" si="2"/>
        <v>3645</v>
      </c>
      <c r="I63" s="43" t="s">
        <v>149</v>
      </c>
      <c r="J63" s="43"/>
      <c r="K63" s="43"/>
    </row>
    <row r="64" spans="1:11">
      <c r="A64" s="41">
        <v>45709</v>
      </c>
      <c r="B64" s="43" t="s">
        <v>113</v>
      </c>
      <c r="C64" s="43" t="s">
        <v>343</v>
      </c>
      <c r="D64" s="43" t="s">
        <v>76</v>
      </c>
      <c r="E64" s="43" t="s">
        <v>62</v>
      </c>
      <c r="F64" s="45">
        <v>8250</v>
      </c>
      <c r="G64" s="45">
        <v>0.5</v>
      </c>
      <c r="H64" s="43">
        <f t="shared" si="2"/>
        <v>4125</v>
      </c>
      <c r="I64" s="43" t="s">
        <v>71</v>
      </c>
      <c r="J64" s="43"/>
      <c r="K64" s="43"/>
    </row>
    <row r="65" spans="1:11">
      <c r="A65" s="41">
        <v>45710</v>
      </c>
      <c r="B65" s="43" t="s">
        <v>113</v>
      </c>
      <c r="C65" s="43" t="s">
        <v>344</v>
      </c>
      <c r="D65" s="43" t="s">
        <v>122</v>
      </c>
      <c r="E65" s="43" t="s">
        <v>60</v>
      </c>
      <c r="F65" s="43">
        <v>10000</v>
      </c>
      <c r="G65" s="43">
        <v>0.5</v>
      </c>
      <c r="H65" s="43">
        <f t="shared" si="2"/>
        <v>5000</v>
      </c>
      <c r="I65" s="43" t="s">
        <v>61</v>
      </c>
      <c r="J65" s="43"/>
      <c r="K65" s="43"/>
    </row>
    <row r="66" spans="1:11">
      <c r="A66" s="41">
        <v>45710</v>
      </c>
      <c r="B66" s="43" t="s">
        <v>113</v>
      </c>
      <c r="C66" s="43" t="s">
        <v>344</v>
      </c>
      <c r="D66" s="43" t="s">
        <v>128</v>
      </c>
      <c r="E66" s="43" t="s">
        <v>60</v>
      </c>
      <c r="F66" s="43">
        <v>2110</v>
      </c>
      <c r="G66" s="43">
        <v>0.5</v>
      </c>
      <c r="H66" s="43">
        <f t="shared" si="2"/>
        <v>1055</v>
      </c>
      <c r="I66" s="43" t="s">
        <v>278</v>
      </c>
      <c r="J66" s="43"/>
      <c r="K66" s="43"/>
    </row>
    <row r="67" spans="1:11">
      <c r="A67" s="41">
        <v>45711</v>
      </c>
      <c r="B67" s="43" t="s">
        <v>113</v>
      </c>
      <c r="C67" s="43" t="s">
        <v>345</v>
      </c>
      <c r="D67" s="43" t="s">
        <v>76</v>
      </c>
      <c r="E67" s="43" t="s">
        <v>346</v>
      </c>
      <c r="F67" s="43">
        <v>2620</v>
      </c>
      <c r="G67" s="43">
        <v>0.5</v>
      </c>
      <c r="H67" s="43">
        <f t="shared" si="2"/>
        <v>1310</v>
      </c>
      <c r="I67" s="43" t="s">
        <v>126</v>
      </c>
      <c r="J67" s="43"/>
      <c r="K67" s="43"/>
    </row>
    <row r="68" spans="1:11">
      <c r="A68" s="41">
        <v>45712</v>
      </c>
      <c r="B68" s="43" t="s">
        <v>113</v>
      </c>
      <c r="C68" s="43" t="s">
        <v>347</v>
      </c>
      <c r="D68" s="43" t="s">
        <v>59</v>
      </c>
      <c r="E68" s="43" t="s">
        <v>348</v>
      </c>
      <c r="F68" s="43">
        <v>10220</v>
      </c>
      <c r="G68" s="43">
        <v>0.55</v>
      </c>
      <c r="H68" s="43">
        <f t="shared" si="2"/>
        <v>5621</v>
      </c>
      <c r="I68" s="43" t="s">
        <v>278</v>
      </c>
      <c r="J68" s="43"/>
      <c r="K68" s="43"/>
    </row>
    <row r="69" spans="1:11">
      <c r="A69" s="41">
        <v>45712</v>
      </c>
      <c r="B69" s="43" t="s">
        <v>113</v>
      </c>
      <c r="C69" s="43" t="s">
        <v>347</v>
      </c>
      <c r="D69" s="43" t="s">
        <v>130</v>
      </c>
      <c r="E69" s="43" t="s">
        <v>62</v>
      </c>
      <c r="F69" s="43">
        <v>210</v>
      </c>
      <c r="G69" s="43">
        <v>0.47</v>
      </c>
      <c r="H69" s="43">
        <f t="shared" si="2"/>
        <v>98.7</v>
      </c>
      <c r="I69" s="43" t="s">
        <v>65</v>
      </c>
      <c r="J69" s="43"/>
      <c r="K69" s="43"/>
    </row>
    <row r="70" spans="1:11">
      <c r="A70" s="41">
        <v>45712</v>
      </c>
      <c r="B70" s="43" t="s">
        <v>113</v>
      </c>
      <c r="C70" s="43" t="s">
        <v>349</v>
      </c>
      <c r="D70" s="43" t="s">
        <v>128</v>
      </c>
      <c r="E70" s="43" t="s">
        <v>62</v>
      </c>
      <c r="F70" s="43">
        <v>10</v>
      </c>
      <c r="G70" s="43">
        <v>0</v>
      </c>
      <c r="H70" s="43">
        <f t="shared" si="2"/>
        <v>0</v>
      </c>
      <c r="I70" s="43" t="s">
        <v>32</v>
      </c>
      <c r="J70" s="43"/>
      <c r="K70" s="43"/>
    </row>
    <row r="71" spans="1:11">
      <c r="A71" s="41">
        <v>45713</v>
      </c>
      <c r="B71" s="43" t="s">
        <v>113</v>
      </c>
      <c r="C71" s="43" t="s">
        <v>350</v>
      </c>
      <c r="D71" s="43" t="s">
        <v>332</v>
      </c>
      <c r="E71" s="43" t="s">
        <v>60</v>
      </c>
      <c r="F71" s="43">
        <v>610</v>
      </c>
      <c r="G71" s="43">
        <v>0.5</v>
      </c>
      <c r="H71" s="43">
        <f t="shared" si="2"/>
        <v>305</v>
      </c>
      <c r="I71" s="43" t="s">
        <v>278</v>
      </c>
      <c r="J71" s="43"/>
      <c r="K71" s="43"/>
    </row>
    <row r="72" spans="1:11">
      <c r="A72" s="41">
        <v>45713</v>
      </c>
      <c r="B72" s="43" t="s">
        <v>113</v>
      </c>
      <c r="C72" s="43" t="s">
        <v>350</v>
      </c>
      <c r="D72" s="43" t="s">
        <v>128</v>
      </c>
      <c r="E72" s="43" t="s">
        <v>60</v>
      </c>
      <c r="F72" s="43">
        <v>4120</v>
      </c>
      <c r="G72" s="43">
        <v>0.5</v>
      </c>
      <c r="H72" s="43">
        <f t="shared" si="2"/>
        <v>2060</v>
      </c>
      <c r="I72" s="43" t="s">
        <v>149</v>
      </c>
      <c r="J72" s="43"/>
      <c r="K72" s="43"/>
    </row>
    <row r="73" spans="1:11">
      <c r="A73" s="41">
        <v>45713</v>
      </c>
      <c r="B73" s="43" t="s">
        <v>113</v>
      </c>
      <c r="C73" s="43" t="s">
        <v>351</v>
      </c>
      <c r="D73" s="43" t="s">
        <v>122</v>
      </c>
      <c r="E73" s="43" t="s">
        <v>62</v>
      </c>
      <c r="F73" s="43">
        <v>20</v>
      </c>
      <c r="G73" s="43">
        <v>0.5</v>
      </c>
      <c r="H73" s="43">
        <f t="shared" si="2"/>
        <v>10</v>
      </c>
      <c r="I73" s="43" t="s">
        <v>149</v>
      </c>
      <c r="J73" s="43"/>
      <c r="K73" s="43"/>
    </row>
    <row r="74" spans="1:11">
      <c r="A74" s="41">
        <v>45714</v>
      </c>
      <c r="B74" s="43" t="s">
        <v>113</v>
      </c>
      <c r="C74" s="43" t="s">
        <v>352</v>
      </c>
      <c r="D74" s="43" t="s">
        <v>122</v>
      </c>
      <c r="E74" s="43" t="s">
        <v>353</v>
      </c>
      <c r="F74" s="43">
        <v>4080</v>
      </c>
      <c r="G74" s="43">
        <v>0.55</v>
      </c>
      <c r="H74" s="43">
        <f t="shared" si="2"/>
        <v>2244</v>
      </c>
      <c r="I74" s="43" t="s">
        <v>126</v>
      </c>
      <c r="J74" s="43"/>
      <c r="K74" s="43"/>
    </row>
    <row r="75" s="35" customFormat="1" spans="1:11">
      <c r="A75" s="44">
        <v>45715</v>
      </c>
      <c r="B75" s="45" t="s">
        <v>113</v>
      </c>
      <c r="C75" s="45" t="s">
        <v>354</v>
      </c>
      <c r="D75" s="45" t="s">
        <v>76</v>
      </c>
      <c r="E75" s="45" t="s">
        <v>62</v>
      </c>
      <c r="F75" s="45">
        <v>20</v>
      </c>
      <c r="G75" s="45">
        <v>0.5</v>
      </c>
      <c r="H75" s="45">
        <f t="shared" si="2"/>
        <v>10</v>
      </c>
      <c r="I75" s="45" t="s">
        <v>278</v>
      </c>
      <c r="J75" s="45"/>
      <c r="K75" s="45"/>
    </row>
    <row r="76" s="35" customFormat="1" spans="1:11">
      <c r="A76" s="44">
        <v>45716</v>
      </c>
      <c r="B76" s="45" t="s">
        <v>113</v>
      </c>
      <c r="C76" s="45" t="s">
        <v>355</v>
      </c>
      <c r="D76" s="45" t="s">
        <v>76</v>
      </c>
      <c r="E76" s="45" t="s">
        <v>60</v>
      </c>
      <c r="F76" s="45">
        <v>6210</v>
      </c>
      <c r="G76" s="45">
        <v>0.47</v>
      </c>
      <c r="H76" s="45">
        <f t="shared" si="2"/>
        <v>2918.7</v>
      </c>
      <c r="I76" s="45" t="s">
        <v>340</v>
      </c>
      <c r="J76" s="45"/>
      <c r="K76" s="45"/>
    </row>
    <row r="77" s="35" customFormat="1" spans="1:11">
      <c r="A77" s="44">
        <v>45716</v>
      </c>
      <c r="B77" s="45" t="s">
        <v>113</v>
      </c>
      <c r="C77" s="45" t="s">
        <v>355</v>
      </c>
      <c r="D77" s="45" t="s">
        <v>128</v>
      </c>
      <c r="E77" s="45" t="s">
        <v>60</v>
      </c>
      <c r="F77" s="45">
        <v>6220</v>
      </c>
      <c r="G77" s="45">
        <v>0.5</v>
      </c>
      <c r="H77" s="45">
        <f t="shared" si="2"/>
        <v>3110</v>
      </c>
      <c r="I77" s="45" t="s">
        <v>278</v>
      </c>
      <c r="J77" s="45"/>
      <c r="K77" s="45"/>
    </row>
    <row r="78" spans="1:11">
      <c r="A78" s="41">
        <v>45698</v>
      </c>
      <c r="B78" s="43" t="s">
        <v>257</v>
      </c>
      <c r="C78" s="43"/>
      <c r="D78" s="43" t="s">
        <v>130</v>
      </c>
      <c r="E78" s="43" t="s">
        <v>60</v>
      </c>
      <c r="F78" s="43">
        <v>100</v>
      </c>
      <c r="G78" s="43">
        <v>0.47</v>
      </c>
      <c r="H78" s="43">
        <f t="shared" si="2"/>
        <v>47</v>
      </c>
      <c r="I78" s="43" t="s">
        <v>137</v>
      </c>
      <c r="J78" s="43"/>
      <c r="K78" s="43"/>
    </row>
    <row r="79" spans="1:11">
      <c r="A79" s="41">
        <v>45702</v>
      </c>
      <c r="B79" s="43" t="s">
        <v>257</v>
      </c>
      <c r="C79" s="43"/>
      <c r="D79" s="43" t="s">
        <v>18</v>
      </c>
      <c r="E79" s="43" t="s">
        <v>14</v>
      </c>
      <c r="F79" s="43">
        <v>30000</v>
      </c>
      <c r="G79" s="43">
        <v>0.7</v>
      </c>
      <c r="H79" s="43">
        <f t="shared" si="2"/>
        <v>21000</v>
      </c>
      <c r="I79" s="43" t="s">
        <v>149</v>
      </c>
      <c r="J79" s="43" t="s">
        <v>46</v>
      </c>
      <c r="K79" s="43"/>
    </row>
    <row r="80" spans="1:11">
      <c r="A80" s="41">
        <v>45707</v>
      </c>
      <c r="B80" s="43" t="s">
        <v>257</v>
      </c>
      <c r="C80" s="43"/>
      <c r="D80" s="43" t="s">
        <v>227</v>
      </c>
      <c r="E80" s="43" t="s">
        <v>62</v>
      </c>
      <c r="F80" s="43">
        <v>10000</v>
      </c>
      <c r="G80" s="43">
        <v>0.55</v>
      </c>
      <c r="H80" s="43">
        <f t="shared" si="2"/>
        <v>5500</v>
      </c>
      <c r="I80" s="43" t="s">
        <v>356</v>
      </c>
      <c r="J80" s="43"/>
      <c r="K80" s="43"/>
    </row>
    <row r="81" spans="1:11">
      <c r="A81" s="41">
        <v>45706</v>
      </c>
      <c r="B81" s="43" t="s">
        <v>257</v>
      </c>
      <c r="C81" s="43"/>
      <c r="D81" s="43" t="s">
        <v>357</v>
      </c>
      <c r="E81" s="43" t="s">
        <v>14</v>
      </c>
      <c r="F81" s="43">
        <v>10</v>
      </c>
      <c r="G81" s="43"/>
      <c r="H81" s="43"/>
      <c r="I81" s="43" t="s">
        <v>32</v>
      </c>
      <c r="J81" s="43"/>
      <c r="K81" s="43"/>
    </row>
    <row r="82" spans="1:11">
      <c r="A82" s="41">
        <v>45709</v>
      </c>
      <c r="B82" s="43" t="s">
        <v>257</v>
      </c>
      <c r="C82" s="43"/>
      <c r="D82" s="43" t="s">
        <v>227</v>
      </c>
      <c r="E82" s="43" t="s">
        <v>60</v>
      </c>
      <c r="F82" s="43">
        <v>1810</v>
      </c>
      <c r="G82" s="43">
        <v>0.53</v>
      </c>
      <c r="H82" s="43">
        <f t="shared" ref="H82:H145" si="3">F82*G82</f>
        <v>959.3</v>
      </c>
      <c r="I82" s="43" t="s">
        <v>358</v>
      </c>
      <c r="J82" s="43"/>
      <c r="K82" s="43"/>
    </row>
    <row r="83" spans="1:11">
      <c r="A83" s="41">
        <v>45711</v>
      </c>
      <c r="B83" s="43" t="s">
        <v>257</v>
      </c>
      <c r="C83" s="43"/>
      <c r="D83" s="43" t="s">
        <v>227</v>
      </c>
      <c r="E83" s="43" t="s">
        <v>60</v>
      </c>
      <c r="F83" s="43">
        <v>12050</v>
      </c>
      <c r="G83" s="43">
        <v>0.53</v>
      </c>
      <c r="H83" s="43">
        <f t="shared" si="3"/>
        <v>6386.5</v>
      </c>
      <c r="I83" s="43" t="s">
        <v>356</v>
      </c>
      <c r="J83" s="43"/>
      <c r="K83" s="43"/>
    </row>
    <row r="84" spans="1:11">
      <c r="A84" s="41">
        <v>45716</v>
      </c>
      <c r="B84" s="43" t="s">
        <v>257</v>
      </c>
      <c r="C84" s="43"/>
      <c r="D84" s="43" t="s">
        <v>110</v>
      </c>
      <c r="E84" s="43" t="s">
        <v>99</v>
      </c>
      <c r="F84" s="43">
        <v>3090</v>
      </c>
      <c r="G84" s="43">
        <v>0.73</v>
      </c>
      <c r="H84" s="43">
        <f t="shared" si="3"/>
        <v>2255.7</v>
      </c>
      <c r="I84" s="43" t="s">
        <v>359</v>
      </c>
      <c r="J84" s="43"/>
      <c r="K84" s="43"/>
    </row>
    <row r="85" spans="1:11">
      <c r="A85" s="41">
        <v>45694</v>
      </c>
      <c r="B85" s="43" t="s">
        <v>101</v>
      </c>
      <c r="C85" s="43"/>
      <c r="D85" s="43" t="s">
        <v>107</v>
      </c>
      <c r="E85" s="43" t="s">
        <v>60</v>
      </c>
      <c r="F85" s="45">
        <v>-20000</v>
      </c>
      <c r="G85" s="45">
        <v>0.82</v>
      </c>
      <c r="H85" s="43">
        <f t="shared" si="3"/>
        <v>-16400</v>
      </c>
      <c r="I85" s="43" t="s">
        <v>45</v>
      </c>
      <c r="J85" s="43" t="s">
        <v>360</v>
      </c>
      <c r="K85" s="43"/>
    </row>
    <row r="86" spans="1:11">
      <c r="A86" s="41">
        <v>45694</v>
      </c>
      <c r="B86" s="43" t="s">
        <v>101</v>
      </c>
      <c r="C86" s="43"/>
      <c r="D86" s="43" t="s">
        <v>104</v>
      </c>
      <c r="E86" s="43" t="s">
        <v>361</v>
      </c>
      <c r="F86" s="45">
        <v>16013</v>
      </c>
      <c r="G86" s="45">
        <v>0.98</v>
      </c>
      <c r="H86" s="43">
        <f t="shared" si="3"/>
        <v>15692.74</v>
      </c>
      <c r="I86" s="43" t="s">
        <v>105</v>
      </c>
      <c r="J86" s="43"/>
      <c r="K86" s="43"/>
    </row>
    <row r="87" spans="1:11">
      <c r="A87" s="41">
        <v>45694</v>
      </c>
      <c r="B87" s="43" t="s">
        <v>101</v>
      </c>
      <c r="C87" s="43"/>
      <c r="D87" s="43" t="s">
        <v>107</v>
      </c>
      <c r="E87" s="43" t="s">
        <v>60</v>
      </c>
      <c r="F87" s="45">
        <v>10030</v>
      </c>
      <c r="G87" s="45">
        <v>0.8</v>
      </c>
      <c r="H87" s="43">
        <f t="shared" si="3"/>
        <v>8024</v>
      </c>
      <c r="I87" s="43" t="s">
        <v>51</v>
      </c>
      <c r="J87" s="43"/>
      <c r="K87" s="43"/>
    </row>
    <row r="88" spans="1:11">
      <c r="A88" s="41">
        <v>45699</v>
      </c>
      <c r="B88" s="43" t="s">
        <v>101</v>
      </c>
      <c r="C88" s="43">
        <v>20250202</v>
      </c>
      <c r="D88" s="43" t="s">
        <v>362</v>
      </c>
      <c r="E88" s="43" t="s">
        <v>85</v>
      </c>
      <c r="F88" s="45">
        <v>22520</v>
      </c>
      <c r="G88" s="45">
        <v>0.95</v>
      </c>
      <c r="H88" s="43">
        <f t="shared" si="3"/>
        <v>21394</v>
      </c>
      <c r="I88" s="43" t="s">
        <v>363</v>
      </c>
      <c r="J88" s="43"/>
      <c r="K88" s="43"/>
    </row>
    <row r="89" spans="1:11">
      <c r="A89" s="41">
        <v>45699</v>
      </c>
      <c r="B89" s="43" t="s">
        <v>101</v>
      </c>
      <c r="C89" s="43">
        <v>20250202</v>
      </c>
      <c r="D89" s="43" t="s">
        <v>362</v>
      </c>
      <c r="E89" s="43" t="s">
        <v>111</v>
      </c>
      <c r="F89" s="45">
        <v>68</v>
      </c>
      <c r="G89" s="45">
        <v>0.67</v>
      </c>
      <c r="H89" s="43">
        <f t="shared" si="3"/>
        <v>45.56</v>
      </c>
      <c r="I89" s="43" t="s">
        <v>189</v>
      </c>
      <c r="J89" s="43"/>
      <c r="K89" s="43"/>
    </row>
    <row r="90" spans="1:11">
      <c r="A90" s="41">
        <v>45702</v>
      </c>
      <c r="B90" s="43" t="s">
        <v>101</v>
      </c>
      <c r="C90" s="43">
        <v>20250203</v>
      </c>
      <c r="D90" s="43" t="s">
        <v>107</v>
      </c>
      <c r="E90" s="43" t="s">
        <v>60</v>
      </c>
      <c r="F90" s="45">
        <v>50</v>
      </c>
      <c r="G90" s="45">
        <v>0.8</v>
      </c>
      <c r="H90" s="43">
        <f t="shared" si="3"/>
        <v>40</v>
      </c>
      <c r="I90" s="43" t="s">
        <v>32</v>
      </c>
      <c r="J90" s="43"/>
      <c r="K90" s="43"/>
    </row>
    <row r="91" spans="1:11">
      <c r="A91" s="41">
        <v>45702</v>
      </c>
      <c r="B91" s="43" t="s">
        <v>101</v>
      </c>
      <c r="C91" s="43">
        <v>20250203</v>
      </c>
      <c r="D91" s="43" t="s">
        <v>84</v>
      </c>
      <c r="E91" s="43" t="s">
        <v>85</v>
      </c>
      <c r="F91" s="45">
        <v>3000</v>
      </c>
      <c r="G91" s="45">
        <v>1.2</v>
      </c>
      <c r="H91" s="43">
        <f t="shared" si="3"/>
        <v>3600</v>
      </c>
      <c r="I91" s="43" t="s">
        <v>106</v>
      </c>
      <c r="J91" s="43"/>
      <c r="K91" s="43"/>
    </row>
    <row r="92" spans="1:11">
      <c r="A92" s="41">
        <v>45702</v>
      </c>
      <c r="B92" s="43" t="s">
        <v>101</v>
      </c>
      <c r="C92" s="43">
        <v>20250203</v>
      </c>
      <c r="D92" s="43" t="s">
        <v>364</v>
      </c>
      <c r="E92" s="43" t="s">
        <v>85</v>
      </c>
      <c r="F92" s="45">
        <v>500</v>
      </c>
      <c r="G92" s="45">
        <v>1.1</v>
      </c>
      <c r="H92" s="43">
        <f t="shared" si="3"/>
        <v>550</v>
      </c>
      <c r="I92" s="43" t="s">
        <v>106</v>
      </c>
      <c r="J92" s="43"/>
      <c r="K92" s="43"/>
    </row>
    <row r="93" spans="1:11">
      <c r="A93" s="41">
        <v>45703</v>
      </c>
      <c r="B93" s="43" t="s">
        <v>101</v>
      </c>
      <c r="C93" s="43">
        <v>20250204</v>
      </c>
      <c r="D93" s="43" t="s">
        <v>107</v>
      </c>
      <c r="E93" s="43" t="s">
        <v>60</v>
      </c>
      <c r="F93" s="45">
        <v>-13000</v>
      </c>
      <c r="G93" s="45">
        <v>0.82</v>
      </c>
      <c r="H93" s="43">
        <f t="shared" si="3"/>
        <v>-10660</v>
      </c>
      <c r="I93" s="43" t="s">
        <v>45</v>
      </c>
      <c r="J93" s="43" t="s">
        <v>360</v>
      </c>
      <c r="K93" s="43"/>
    </row>
    <row r="94" spans="1:11">
      <c r="A94" s="41">
        <v>45707</v>
      </c>
      <c r="B94" s="43" t="s">
        <v>101</v>
      </c>
      <c r="C94" s="43">
        <v>20250204</v>
      </c>
      <c r="D94" s="43" t="s">
        <v>84</v>
      </c>
      <c r="E94" s="43" t="s">
        <v>85</v>
      </c>
      <c r="F94" s="45">
        <v>3000</v>
      </c>
      <c r="G94" s="45">
        <v>1.2</v>
      </c>
      <c r="H94" s="43">
        <f t="shared" si="3"/>
        <v>3600</v>
      </c>
      <c r="I94" s="43" t="s">
        <v>106</v>
      </c>
      <c r="J94" s="43"/>
      <c r="K94" s="43"/>
    </row>
    <row r="95" spans="1:11">
      <c r="A95" s="41">
        <v>45707</v>
      </c>
      <c r="B95" s="43" t="s">
        <v>101</v>
      </c>
      <c r="C95" s="43">
        <v>20250204</v>
      </c>
      <c r="D95" s="43" t="s">
        <v>364</v>
      </c>
      <c r="E95" s="43" t="s">
        <v>85</v>
      </c>
      <c r="F95" s="45">
        <v>1500</v>
      </c>
      <c r="G95" s="45">
        <v>1.1</v>
      </c>
      <c r="H95" s="43">
        <f t="shared" si="3"/>
        <v>1650</v>
      </c>
      <c r="I95" s="43" t="s">
        <v>106</v>
      </c>
      <c r="J95" s="43"/>
      <c r="K95" s="43"/>
    </row>
    <row r="96" spans="1:11">
      <c r="A96" s="41">
        <v>45707</v>
      </c>
      <c r="B96" s="43" t="s">
        <v>101</v>
      </c>
      <c r="C96" s="43">
        <v>20250204</v>
      </c>
      <c r="D96" s="43" t="s">
        <v>130</v>
      </c>
      <c r="E96" s="43" t="s">
        <v>365</v>
      </c>
      <c r="F96" s="45">
        <v>100</v>
      </c>
      <c r="G96" s="45">
        <v>0.68</v>
      </c>
      <c r="H96" s="43">
        <f t="shared" si="3"/>
        <v>68</v>
      </c>
      <c r="I96" s="43" t="s">
        <v>366</v>
      </c>
      <c r="J96" s="43" t="s">
        <v>367</v>
      </c>
      <c r="K96" s="43"/>
    </row>
    <row r="97" spans="1:11">
      <c r="A97" s="41">
        <v>45707</v>
      </c>
      <c r="B97" s="43" t="s">
        <v>101</v>
      </c>
      <c r="C97" s="43">
        <v>20250204</v>
      </c>
      <c r="D97" s="43" t="s">
        <v>107</v>
      </c>
      <c r="E97" s="43" t="s">
        <v>60</v>
      </c>
      <c r="F97" s="45">
        <v>50</v>
      </c>
      <c r="G97" s="45">
        <v>0.8</v>
      </c>
      <c r="H97" s="43">
        <f t="shared" si="3"/>
        <v>40</v>
      </c>
      <c r="I97" s="43" t="s">
        <v>51</v>
      </c>
      <c r="J97" s="43"/>
      <c r="K97" s="43"/>
    </row>
    <row r="98" spans="1:11">
      <c r="A98" s="41">
        <v>45707</v>
      </c>
      <c r="B98" s="43" t="s">
        <v>101</v>
      </c>
      <c r="C98" s="43">
        <v>20250204</v>
      </c>
      <c r="D98" s="43" t="s">
        <v>102</v>
      </c>
      <c r="E98" s="43" t="s">
        <v>60</v>
      </c>
      <c r="F98" s="45">
        <v>2030</v>
      </c>
      <c r="G98" s="45">
        <v>0.83</v>
      </c>
      <c r="H98" s="43">
        <f t="shared" si="3"/>
        <v>1684.9</v>
      </c>
      <c r="I98" s="43" t="s">
        <v>103</v>
      </c>
      <c r="J98" s="43"/>
      <c r="K98" s="43"/>
    </row>
    <row r="99" spans="1:11">
      <c r="A99" s="41">
        <v>45707</v>
      </c>
      <c r="B99" s="43" t="s">
        <v>101</v>
      </c>
      <c r="C99" s="43">
        <v>20250204</v>
      </c>
      <c r="D99" s="43" t="s">
        <v>362</v>
      </c>
      <c r="E99" s="43" t="s">
        <v>85</v>
      </c>
      <c r="F99" s="45">
        <v>2035</v>
      </c>
      <c r="G99" s="45">
        <v>0.95</v>
      </c>
      <c r="H99" s="43">
        <f t="shared" si="3"/>
        <v>1933.25</v>
      </c>
      <c r="I99" s="43" t="s">
        <v>363</v>
      </c>
      <c r="J99" s="43"/>
      <c r="K99" s="43"/>
    </row>
    <row r="100" spans="1:11">
      <c r="A100" s="41">
        <v>45707</v>
      </c>
      <c r="B100" s="43" t="s">
        <v>101</v>
      </c>
      <c r="C100" s="43">
        <v>20250204</v>
      </c>
      <c r="D100" s="43" t="s">
        <v>115</v>
      </c>
      <c r="E100" s="43" t="s">
        <v>60</v>
      </c>
      <c r="F100" s="45">
        <v>5810</v>
      </c>
      <c r="G100" s="45">
        <v>0.51</v>
      </c>
      <c r="H100" s="43">
        <f t="shared" si="3"/>
        <v>2963.1</v>
      </c>
      <c r="I100" s="43" t="s">
        <v>65</v>
      </c>
      <c r="J100" s="43"/>
      <c r="K100" s="43"/>
    </row>
    <row r="101" spans="1:11">
      <c r="A101" s="41">
        <v>45708</v>
      </c>
      <c r="B101" s="43" t="s">
        <v>101</v>
      </c>
      <c r="C101" s="43">
        <v>20250205</v>
      </c>
      <c r="D101" s="43" t="s">
        <v>362</v>
      </c>
      <c r="E101" s="43" t="s">
        <v>111</v>
      </c>
      <c r="F101" s="45">
        <v>710</v>
      </c>
      <c r="G101" s="45">
        <v>0.65</v>
      </c>
      <c r="H101" s="43">
        <f t="shared" si="3"/>
        <v>461.5</v>
      </c>
      <c r="I101" s="43" t="s">
        <v>278</v>
      </c>
      <c r="J101" s="43"/>
      <c r="K101" s="43"/>
    </row>
    <row r="102" spans="1:11">
      <c r="A102" s="41">
        <v>45709</v>
      </c>
      <c r="B102" s="43" t="s">
        <v>101</v>
      </c>
      <c r="C102" s="43">
        <v>20250221</v>
      </c>
      <c r="D102" s="43" t="s">
        <v>368</v>
      </c>
      <c r="E102" s="43" t="s">
        <v>14</v>
      </c>
      <c r="F102" s="45">
        <v>63000</v>
      </c>
      <c r="G102" s="45">
        <v>0.78</v>
      </c>
      <c r="H102" s="43">
        <f t="shared" si="3"/>
        <v>49140</v>
      </c>
      <c r="I102" s="43" t="s">
        <v>61</v>
      </c>
      <c r="J102" s="43" t="s">
        <v>46</v>
      </c>
      <c r="K102" s="43"/>
    </row>
    <row r="103" spans="1:11">
      <c r="A103" s="41">
        <v>45710</v>
      </c>
      <c r="B103" s="43" t="s">
        <v>101</v>
      </c>
      <c r="C103" s="43">
        <v>20250222</v>
      </c>
      <c r="D103" s="43" t="s">
        <v>107</v>
      </c>
      <c r="E103" s="43" t="s">
        <v>60</v>
      </c>
      <c r="F103" s="45">
        <v>14293</v>
      </c>
      <c r="G103" s="45">
        <v>0.82</v>
      </c>
      <c r="H103" s="43">
        <f t="shared" si="3"/>
        <v>11720.26</v>
      </c>
      <c r="I103" s="43" t="s">
        <v>45</v>
      </c>
      <c r="J103" s="43"/>
      <c r="K103" s="43"/>
    </row>
    <row r="104" spans="1:11">
      <c r="A104" s="41">
        <v>45711</v>
      </c>
      <c r="B104" s="43" t="s">
        <v>101</v>
      </c>
      <c r="C104" s="43">
        <v>20250208</v>
      </c>
      <c r="D104" s="43" t="s">
        <v>362</v>
      </c>
      <c r="E104" s="43" t="s">
        <v>85</v>
      </c>
      <c r="F104" s="45">
        <v>160</v>
      </c>
      <c r="G104" s="45">
        <v>0.95</v>
      </c>
      <c r="H104" s="43">
        <f t="shared" si="3"/>
        <v>152</v>
      </c>
      <c r="I104" s="43" t="s">
        <v>363</v>
      </c>
      <c r="J104" s="43" t="s">
        <v>369</v>
      </c>
      <c r="K104" s="43"/>
    </row>
    <row r="105" spans="1:11">
      <c r="A105" s="41">
        <v>45711</v>
      </c>
      <c r="B105" s="43" t="s">
        <v>101</v>
      </c>
      <c r="C105" s="43">
        <v>20250208</v>
      </c>
      <c r="D105" s="43" t="s">
        <v>130</v>
      </c>
      <c r="E105" s="43" t="s">
        <v>370</v>
      </c>
      <c r="F105" s="45">
        <v>318</v>
      </c>
      <c r="G105" s="45">
        <v>0.68</v>
      </c>
      <c r="H105" s="43">
        <f t="shared" si="3"/>
        <v>216.24</v>
      </c>
      <c r="I105" s="43" t="s">
        <v>366</v>
      </c>
      <c r="J105" s="43" t="s">
        <v>371</v>
      </c>
      <c r="K105" s="43">
        <v>0.84</v>
      </c>
    </row>
    <row r="106" spans="1:11">
      <c r="A106" s="41">
        <v>45711</v>
      </c>
      <c r="B106" s="43" t="s">
        <v>101</v>
      </c>
      <c r="C106" s="43">
        <v>202500223</v>
      </c>
      <c r="D106" s="43" t="s">
        <v>115</v>
      </c>
      <c r="E106" s="43" t="s">
        <v>60</v>
      </c>
      <c r="F106" s="45">
        <v>930</v>
      </c>
      <c r="G106" s="45">
        <v>0.51</v>
      </c>
      <c r="H106" s="43">
        <f t="shared" si="3"/>
        <v>474.3</v>
      </c>
      <c r="I106" s="43" t="s">
        <v>65</v>
      </c>
      <c r="J106" s="43"/>
      <c r="K106" s="43"/>
    </row>
    <row r="107" spans="1:11">
      <c r="A107" s="41">
        <v>45712</v>
      </c>
      <c r="B107" s="43" t="s">
        <v>101</v>
      </c>
      <c r="C107" s="43">
        <v>20250224</v>
      </c>
      <c r="D107" s="43" t="s">
        <v>368</v>
      </c>
      <c r="E107" s="43" t="s">
        <v>14</v>
      </c>
      <c r="F107" s="43">
        <v>42000</v>
      </c>
      <c r="G107" s="43">
        <v>0.78</v>
      </c>
      <c r="H107" s="43">
        <f t="shared" si="3"/>
        <v>32760</v>
      </c>
      <c r="I107" s="43" t="s">
        <v>61</v>
      </c>
      <c r="J107" s="43" t="s">
        <v>46</v>
      </c>
      <c r="K107" s="43"/>
    </row>
    <row r="108" spans="1:11">
      <c r="A108" s="41">
        <v>45715</v>
      </c>
      <c r="B108" s="43" t="s">
        <v>101</v>
      </c>
      <c r="C108" s="43">
        <v>20250210</v>
      </c>
      <c r="D108" s="43" t="s">
        <v>107</v>
      </c>
      <c r="E108" s="43" t="s">
        <v>60</v>
      </c>
      <c r="F108" s="43">
        <v>3020</v>
      </c>
      <c r="G108" s="43">
        <v>0.8</v>
      </c>
      <c r="H108" s="43">
        <f t="shared" si="3"/>
        <v>2416</v>
      </c>
      <c r="I108" s="43" t="s">
        <v>372</v>
      </c>
      <c r="J108" s="43"/>
      <c r="K108" s="43"/>
    </row>
    <row r="109" spans="1:11">
      <c r="A109" s="41">
        <v>45715</v>
      </c>
      <c r="B109" s="43" t="s">
        <v>101</v>
      </c>
      <c r="C109" s="43">
        <v>20250210</v>
      </c>
      <c r="D109" s="43" t="s">
        <v>148</v>
      </c>
      <c r="E109" s="43" t="s">
        <v>60</v>
      </c>
      <c r="F109" s="43">
        <v>42290</v>
      </c>
      <c r="G109" s="43">
        <v>0.5</v>
      </c>
      <c r="H109" s="43">
        <f t="shared" si="3"/>
        <v>21145</v>
      </c>
      <c r="I109" s="43" t="s">
        <v>149</v>
      </c>
      <c r="J109" s="43"/>
      <c r="K109" s="43"/>
    </row>
    <row r="110" spans="1:11">
      <c r="A110" s="41">
        <v>45697</v>
      </c>
      <c r="B110" s="43" t="s">
        <v>121</v>
      </c>
      <c r="C110" s="43"/>
      <c r="D110" s="45" t="s">
        <v>59</v>
      </c>
      <c r="E110" s="45" t="s">
        <v>62</v>
      </c>
      <c r="F110" s="45">
        <v>20028</v>
      </c>
      <c r="G110" s="45">
        <v>0.55</v>
      </c>
      <c r="H110" s="43">
        <f t="shared" si="3"/>
        <v>11015.4</v>
      </c>
      <c r="I110" s="43" t="s">
        <v>79</v>
      </c>
      <c r="J110" s="43"/>
      <c r="K110" s="43"/>
    </row>
    <row r="111" spans="1:11">
      <c r="A111" s="41">
        <v>45697</v>
      </c>
      <c r="B111" s="43" t="s">
        <v>121</v>
      </c>
      <c r="C111" s="43"/>
      <c r="D111" s="45" t="s">
        <v>130</v>
      </c>
      <c r="E111" s="45" t="s">
        <v>60</v>
      </c>
      <c r="F111" s="45">
        <v>20039</v>
      </c>
      <c r="G111" s="45">
        <v>0.5</v>
      </c>
      <c r="H111" s="43">
        <f t="shared" si="3"/>
        <v>10019.5</v>
      </c>
      <c r="I111" s="43" t="s">
        <v>61</v>
      </c>
      <c r="J111" s="43"/>
      <c r="K111" s="43"/>
    </row>
    <row r="112" spans="1:11">
      <c r="A112" s="41">
        <v>45697</v>
      </c>
      <c r="B112" s="43" t="s">
        <v>121</v>
      </c>
      <c r="C112" s="43"/>
      <c r="D112" s="45" t="s">
        <v>76</v>
      </c>
      <c r="E112" s="45" t="s">
        <v>60</v>
      </c>
      <c r="F112" s="45">
        <v>30008</v>
      </c>
      <c r="G112" s="45">
        <v>0.5</v>
      </c>
      <c r="H112" s="43">
        <f t="shared" si="3"/>
        <v>15004</v>
      </c>
      <c r="I112" s="43" t="s">
        <v>61</v>
      </c>
      <c r="J112" s="43"/>
      <c r="K112" s="43"/>
    </row>
    <row r="113" spans="1:11">
      <c r="A113" s="41">
        <v>45699</v>
      </c>
      <c r="B113" s="43" t="s">
        <v>121</v>
      </c>
      <c r="C113" s="43"/>
      <c r="D113" s="45" t="s">
        <v>70</v>
      </c>
      <c r="E113" s="45" t="s">
        <v>124</v>
      </c>
      <c r="F113" s="45">
        <v>1028</v>
      </c>
      <c r="G113" s="45">
        <v>0.6</v>
      </c>
      <c r="H113" s="43">
        <f t="shared" si="3"/>
        <v>616.8</v>
      </c>
      <c r="I113" s="43" t="s">
        <v>373</v>
      </c>
      <c r="J113" s="43"/>
      <c r="K113" s="43"/>
    </row>
    <row r="114" spans="1:11">
      <c r="A114" s="41">
        <v>45701</v>
      </c>
      <c r="B114" s="43" t="s">
        <v>121</v>
      </c>
      <c r="C114" s="43"/>
      <c r="D114" s="45" t="s">
        <v>131</v>
      </c>
      <c r="E114" s="45" t="s">
        <v>132</v>
      </c>
      <c r="F114" s="45">
        <v>1110</v>
      </c>
      <c r="G114" s="45">
        <v>1.03</v>
      </c>
      <c r="H114" s="43">
        <f t="shared" si="3"/>
        <v>1143.3</v>
      </c>
      <c r="I114" s="43" t="s">
        <v>133</v>
      </c>
      <c r="J114" s="43"/>
      <c r="K114" s="43"/>
    </row>
    <row r="115" spans="1:11">
      <c r="A115" s="41">
        <v>45702</v>
      </c>
      <c r="B115" s="43" t="s">
        <v>121</v>
      </c>
      <c r="C115" s="43"/>
      <c r="D115" s="45" t="s">
        <v>59</v>
      </c>
      <c r="E115" s="45" t="s">
        <v>60</v>
      </c>
      <c r="F115" s="45">
        <v>20000</v>
      </c>
      <c r="G115" s="45">
        <v>0.49</v>
      </c>
      <c r="H115" s="43">
        <f t="shared" si="3"/>
        <v>9800</v>
      </c>
      <c r="I115" s="43" t="s">
        <v>61</v>
      </c>
      <c r="J115" s="43"/>
      <c r="K115" s="43"/>
    </row>
    <row r="116" spans="1:11">
      <c r="A116" s="41">
        <v>45702</v>
      </c>
      <c r="B116" s="43" t="s">
        <v>121</v>
      </c>
      <c r="C116" s="43"/>
      <c r="D116" s="45" t="s">
        <v>122</v>
      </c>
      <c r="E116" s="45" t="s">
        <v>60</v>
      </c>
      <c r="F116" s="45">
        <v>154</v>
      </c>
      <c r="G116" s="43"/>
      <c r="H116" s="43">
        <f t="shared" si="3"/>
        <v>0</v>
      </c>
      <c r="I116" s="43" t="s">
        <v>32</v>
      </c>
      <c r="J116" s="43"/>
      <c r="K116" s="43"/>
    </row>
    <row r="117" spans="1:11">
      <c r="A117" s="41">
        <v>45703</v>
      </c>
      <c r="B117" s="43" t="s">
        <v>121</v>
      </c>
      <c r="C117" s="43"/>
      <c r="D117" s="45" t="s">
        <v>122</v>
      </c>
      <c r="E117" s="45" t="s">
        <v>123</v>
      </c>
      <c r="F117" s="45">
        <v>12194</v>
      </c>
      <c r="G117" s="45">
        <v>0.56</v>
      </c>
      <c r="H117" s="43">
        <f t="shared" si="3"/>
        <v>6828.64</v>
      </c>
      <c r="I117" s="43" t="s">
        <v>117</v>
      </c>
      <c r="J117" s="43"/>
      <c r="K117" s="43"/>
    </row>
    <row r="118" spans="1:11">
      <c r="A118" s="41">
        <v>45705</v>
      </c>
      <c r="B118" s="43" t="s">
        <v>121</v>
      </c>
      <c r="C118" s="43"/>
      <c r="D118" s="45" t="s">
        <v>374</v>
      </c>
      <c r="E118" s="45" t="s">
        <v>14</v>
      </c>
      <c r="F118" s="45">
        <v>4300</v>
      </c>
      <c r="G118" s="45">
        <v>1.15</v>
      </c>
      <c r="H118" s="43">
        <f t="shared" si="3"/>
        <v>4945</v>
      </c>
      <c r="I118" s="43" t="s">
        <v>278</v>
      </c>
      <c r="J118" s="43" t="s">
        <v>46</v>
      </c>
      <c r="K118" s="43"/>
    </row>
    <row r="119" spans="1:11">
      <c r="A119" s="41">
        <v>45706</v>
      </c>
      <c r="B119" s="43" t="s">
        <v>121</v>
      </c>
      <c r="C119" s="43"/>
      <c r="D119" s="45" t="s">
        <v>59</v>
      </c>
      <c r="E119" s="45" t="s">
        <v>60</v>
      </c>
      <c r="F119" s="45">
        <v>30000</v>
      </c>
      <c r="G119" s="45">
        <v>0.49</v>
      </c>
      <c r="H119" s="43">
        <f t="shared" si="3"/>
        <v>14700</v>
      </c>
      <c r="I119" s="43" t="s">
        <v>61</v>
      </c>
      <c r="J119" s="43"/>
      <c r="K119" s="43"/>
    </row>
    <row r="120" spans="1:11">
      <c r="A120" s="41">
        <v>45706</v>
      </c>
      <c r="B120" s="43" t="s">
        <v>121</v>
      </c>
      <c r="C120" s="43"/>
      <c r="D120" s="45" t="s">
        <v>130</v>
      </c>
      <c r="E120" s="45" t="s">
        <v>127</v>
      </c>
      <c r="F120" s="45">
        <v>20134</v>
      </c>
      <c r="G120" s="45">
        <v>0.53</v>
      </c>
      <c r="H120" s="43">
        <f t="shared" si="3"/>
        <v>10671.02</v>
      </c>
      <c r="I120" s="43" t="s">
        <v>232</v>
      </c>
      <c r="J120" s="43"/>
      <c r="K120" s="43"/>
    </row>
    <row r="121" spans="1:11">
      <c r="A121" s="41">
        <v>45706</v>
      </c>
      <c r="B121" s="43" t="s">
        <v>121</v>
      </c>
      <c r="C121" s="43"/>
      <c r="D121" s="45" t="s">
        <v>76</v>
      </c>
      <c r="E121" s="45" t="s">
        <v>123</v>
      </c>
      <c r="F121" s="45">
        <v>179</v>
      </c>
      <c r="G121" s="45">
        <v>0.53</v>
      </c>
      <c r="H121" s="43">
        <f t="shared" si="3"/>
        <v>94.87</v>
      </c>
      <c r="I121" s="43" t="s">
        <v>63</v>
      </c>
      <c r="J121" s="43"/>
      <c r="K121" s="43"/>
    </row>
    <row r="122" spans="1:11">
      <c r="A122" s="41">
        <v>45708</v>
      </c>
      <c r="B122" s="43" t="s">
        <v>121</v>
      </c>
      <c r="C122" s="43"/>
      <c r="D122" s="45" t="s">
        <v>122</v>
      </c>
      <c r="E122" s="45" t="s">
        <v>62</v>
      </c>
      <c r="F122" s="45">
        <v>3026</v>
      </c>
      <c r="G122" s="45">
        <v>0.53</v>
      </c>
      <c r="H122" s="43">
        <f t="shared" si="3"/>
        <v>1603.78</v>
      </c>
      <c r="I122" s="43" t="s">
        <v>35</v>
      </c>
      <c r="J122" s="43"/>
      <c r="K122" s="43"/>
    </row>
    <row r="123" spans="1:11">
      <c r="A123" s="41">
        <v>45708</v>
      </c>
      <c r="B123" s="43" t="s">
        <v>121</v>
      </c>
      <c r="C123" s="43"/>
      <c r="D123" s="45" t="s">
        <v>122</v>
      </c>
      <c r="E123" s="45" t="s">
        <v>60</v>
      </c>
      <c r="F123" s="45">
        <v>130</v>
      </c>
      <c r="G123" s="45">
        <v>0.51</v>
      </c>
      <c r="H123" s="43">
        <f t="shared" si="3"/>
        <v>66.3</v>
      </c>
      <c r="I123" s="43" t="s">
        <v>125</v>
      </c>
      <c r="J123" s="43"/>
      <c r="K123" s="43"/>
    </row>
    <row r="124" spans="1:11">
      <c r="A124" s="41">
        <v>45708</v>
      </c>
      <c r="B124" s="43" t="s">
        <v>121</v>
      </c>
      <c r="C124" s="43"/>
      <c r="D124" s="45" t="s">
        <v>59</v>
      </c>
      <c r="E124" s="45" t="s">
        <v>60</v>
      </c>
      <c r="F124" s="45">
        <v>47500</v>
      </c>
      <c r="G124" s="45">
        <v>0.49</v>
      </c>
      <c r="H124" s="43">
        <f t="shared" si="3"/>
        <v>23275</v>
      </c>
      <c r="I124" s="43" t="s">
        <v>61</v>
      </c>
      <c r="J124" s="43"/>
      <c r="K124" s="43"/>
    </row>
    <row r="125" spans="1:11">
      <c r="A125" s="41">
        <v>45708</v>
      </c>
      <c r="B125" s="43" t="s">
        <v>121</v>
      </c>
      <c r="C125" s="43"/>
      <c r="D125" s="45" t="s">
        <v>134</v>
      </c>
      <c r="E125" s="45" t="s">
        <v>14</v>
      </c>
      <c r="F125" s="45">
        <v>200</v>
      </c>
      <c r="G125" s="45">
        <v>0.65</v>
      </c>
      <c r="H125" s="43">
        <f t="shared" si="3"/>
        <v>130</v>
      </c>
      <c r="I125" s="43" t="s">
        <v>375</v>
      </c>
      <c r="J125" s="43"/>
      <c r="K125" s="43"/>
    </row>
    <row r="126" spans="1:11">
      <c r="A126" s="41">
        <v>45708</v>
      </c>
      <c r="B126" s="43" t="s">
        <v>121</v>
      </c>
      <c r="C126" s="43"/>
      <c r="D126" s="45" t="s">
        <v>242</v>
      </c>
      <c r="E126" s="45" t="s">
        <v>14</v>
      </c>
      <c r="F126" s="45">
        <v>30000</v>
      </c>
      <c r="G126" s="45">
        <v>0.58</v>
      </c>
      <c r="H126" s="43">
        <f t="shared" si="3"/>
        <v>17400</v>
      </c>
      <c r="I126" s="43" t="s">
        <v>243</v>
      </c>
      <c r="J126" s="43" t="s">
        <v>46</v>
      </c>
      <c r="K126" s="43"/>
    </row>
    <row r="127" spans="1:11">
      <c r="A127" s="41">
        <v>45709</v>
      </c>
      <c r="B127" s="43" t="s">
        <v>121</v>
      </c>
      <c r="C127" s="43"/>
      <c r="D127" s="45" t="s">
        <v>242</v>
      </c>
      <c r="E127" s="45" t="s">
        <v>14</v>
      </c>
      <c r="F127" s="45">
        <v>30000</v>
      </c>
      <c r="G127" s="45">
        <v>0.58</v>
      </c>
      <c r="H127" s="43">
        <f t="shared" si="3"/>
        <v>17400</v>
      </c>
      <c r="I127" s="43" t="s">
        <v>243</v>
      </c>
      <c r="J127" s="43" t="s">
        <v>46</v>
      </c>
      <c r="K127" s="43"/>
    </row>
    <row r="128" spans="1:11">
      <c r="A128" s="41">
        <v>45712</v>
      </c>
      <c r="B128" s="43" t="s">
        <v>121</v>
      </c>
      <c r="C128" s="43"/>
      <c r="D128" s="45" t="s">
        <v>242</v>
      </c>
      <c r="E128" s="45" t="s">
        <v>14</v>
      </c>
      <c r="F128" s="45">
        <v>90000</v>
      </c>
      <c r="G128" s="45">
        <v>0.58</v>
      </c>
      <c r="H128" s="43">
        <f t="shared" si="3"/>
        <v>52200</v>
      </c>
      <c r="I128" s="43" t="s">
        <v>243</v>
      </c>
      <c r="J128" s="43" t="s">
        <v>46</v>
      </c>
      <c r="K128" s="43"/>
    </row>
    <row r="129" spans="1:11">
      <c r="A129" s="41">
        <v>45712</v>
      </c>
      <c r="B129" s="43" t="s">
        <v>121</v>
      </c>
      <c r="C129" s="43"/>
      <c r="D129" s="45" t="s">
        <v>76</v>
      </c>
      <c r="E129" s="45" t="s">
        <v>60</v>
      </c>
      <c r="F129" s="45">
        <v>30007</v>
      </c>
      <c r="G129" s="45">
        <v>0.48</v>
      </c>
      <c r="H129" s="43">
        <f t="shared" si="3"/>
        <v>14403.36</v>
      </c>
      <c r="I129" s="43" t="s">
        <v>376</v>
      </c>
      <c r="J129" s="43"/>
      <c r="K129" s="43"/>
    </row>
    <row r="130" spans="1:11">
      <c r="A130" s="41">
        <v>45712</v>
      </c>
      <c r="B130" s="43" t="s">
        <v>121</v>
      </c>
      <c r="C130" s="43"/>
      <c r="D130" s="45" t="s">
        <v>70</v>
      </c>
      <c r="E130" s="45" t="s">
        <v>136</v>
      </c>
      <c r="F130" s="45">
        <v>2139</v>
      </c>
      <c r="G130" s="45">
        <v>0.57</v>
      </c>
      <c r="H130" s="43">
        <f t="shared" si="3"/>
        <v>1219.23</v>
      </c>
      <c r="I130" s="43" t="s">
        <v>45</v>
      </c>
      <c r="J130" s="43"/>
      <c r="K130" s="43"/>
    </row>
    <row r="131" spans="1:11">
      <c r="A131" s="41">
        <v>45712</v>
      </c>
      <c r="B131" s="43" t="s">
        <v>121</v>
      </c>
      <c r="C131" s="43"/>
      <c r="D131" s="45" t="s">
        <v>122</v>
      </c>
      <c r="E131" s="45" t="s">
        <v>123</v>
      </c>
      <c r="F131" s="45">
        <v>25000</v>
      </c>
      <c r="G131" s="45">
        <v>0.56</v>
      </c>
      <c r="H131" s="43">
        <f t="shared" si="3"/>
        <v>14000</v>
      </c>
      <c r="I131" s="43" t="s">
        <v>117</v>
      </c>
      <c r="J131" s="43"/>
      <c r="K131" s="43"/>
    </row>
    <row r="132" spans="1:11">
      <c r="A132" s="41">
        <v>45712</v>
      </c>
      <c r="B132" s="43" t="s">
        <v>121</v>
      </c>
      <c r="C132" s="43"/>
      <c r="D132" s="45" t="s">
        <v>59</v>
      </c>
      <c r="E132" s="45" t="s">
        <v>60</v>
      </c>
      <c r="F132" s="45">
        <v>2500</v>
      </c>
      <c r="G132" s="45">
        <v>0.49</v>
      </c>
      <c r="H132" s="43">
        <f t="shared" si="3"/>
        <v>1225</v>
      </c>
      <c r="I132" s="43" t="s">
        <v>61</v>
      </c>
      <c r="J132" s="43"/>
      <c r="K132" s="43"/>
    </row>
    <row r="133" spans="1:11">
      <c r="A133" s="41">
        <v>45713</v>
      </c>
      <c r="B133" s="43" t="s">
        <v>121</v>
      </c>
      <c r="C133" s="43"/>
      <c r="D133" s="45" t="s">
        <v>122</v>
      </c>
      <c r="E133" s="45" t="s">
        <v>377</v>
      </c>
      <c r="F133" s="45">
        <v>23200</v>
      </c>
      <c r="G133" s="45">
        <v>0.55</v>
      </c>
      <c r="H133" s="43">
        <f t="shared" si="3"/>
        <v>12760</v>
      </c>
      <c r="I133" s="43" t="s">
        <v>117</v>
      </c>
      <c r="J133" s="43"/>
      <c r="K133" s="43"/>
    </row>
    <row r="134" spans="1:11">
      <c r="A134" s="41">
        <v>45713</v>
      </c>
      <c r="B134" s="43" t="s">
        <v>121</v>
      </c>
      <c r="C134" s="43"/>
      <c r="D134" s="45" t="s">
        <v>122</v>
      </c>
      <c r="E134" s="45" t="s">
        <v>123</v>
      </c>
      <c r="F134" s="45">
        <v>23550</v>
      </c>
      <c r="G134" s="45">
        <v>0.56</v>
      </c>
      <c r="H134" s="43">
        <f t="shared" si="3"/>
        <v>13188</v>
      </c>
      <c r="I134" s="43" t="s">
        <v>117</v>
      </c>
      <c r="J134" s="43"/>
      <c r="K134" s="43"/>
    </row>
    <row r="135" spans="1:11">
      <c r="A135" s="41">
        <v>45713</v>
      </c>
      <c r="B135" s="43" t="s">
        <v>121</v>
      </c>
      <c r="C135" s="43"/>
      <c r="D135" s="45" t="s">
        <v>59</v>
      </c>
      <c r="E135" s="45" t="s">
        <v>62</v>
      </c>
      <c r="F135" s="45">
        <v>10000</v>
      </c>
      <c r="G135" s="45">
        <v>0.51</v>
      </c>
      <c r="H135" s="43">
        <f t="shared" si="3"/>
        <v>5100</v>
      </c>
      <c r="I135" s="43" t="s">
        <v>79</v>
      </c>
      <c r="J135" s="43"/>
      <c r="K135" s="43"/>
    </row>
    <row r="136" spans="1:11">
      <c r="A136" s="41">
        <v>45713</v>
      </c>
      <c r="B136" s="43" t="s">
        <v>121</v>
      </c>
      <c r="C136" s="43"/>
      <c r="D136" s="45" t="s">
        <v>59</v>
      </c>
      <c r="E136" s="45" t="s">
        <v>62</v>
      </c>
      <c r="F136" s="45">
        <v>20000</v>
      </c>
      <c r="G136" s="45">
        <v>0.51</v>
      </c>
      <c r="H136" s="43">
        <f t="shared" si="3"/>
        <v>10200</v>
      </c>
      <c r="I136" s="43" t="s">
        <v>79</v>
      </c>
      <c r="J136" s="43"/>
      <c r="K136" s="43"/>
    </row>
    <row r="137" s="35" customFormat="1" spans="1:11">
      <c r="A137" s="44">
        <v>45716</v>
      </c>
      <c r="B137" s="45" t="s">
        <v>121</v>
      </c>
      <c r="C137" s="45"/>
      <c r="D137" s="45" t="s">
        <v>122</v>
      </c>
      <c r="E137" s="45" t="s">
        <v>365</v>
      </c>
      <c r="F137" s="45">
        <v>2194</v>
      </c>
      <c r="G137" s="45">
        <v>0.6</v>
      </c>
      <c r="H137" s="45">
        <f t="shared" si="3"/>
        <v>1316.4</v>
      </c>
      <c r="I137" s="45" t="s">
        <v>166</v>
      </c>
      <c r="J137" s="45"/>
      <c r="K137" s="45"/>
    </row>
    <row r="138" s="35" customFormat="1" spans="1:11">
      <c r="A138" s="44">
        <v>45716</v>
      </c>
      <c r="B138" s="45" t="s">
        <v>121</v>
      </c>
      <c r="C138" s="45"/>
      <c r="D138" s="45" t="s">
        <v>59</v>
      </c>
      <c r="E138" s="45" t="s">
        <v>62</v>
      </c>
      <c r="F138" s="45">
        <v>50000</v>
      </c>
      <c r="G138" s="45">
        <v>0.51</v>
      </c>
      <c r="H138" s="45">
        <f t="shared" si="3"/>
        <v>25500</v>
      </c>
      <c r="I138" s="45" t="s">
        <v>79</v>
      </c>
      <c r="J138" s="45"/>
      <c r="K138" s="45"/>
    </row>
    <row r="139" spans="1:11">
      <c r="A139" s="41">
        <v>45694</v>
      </c>
      <c r="B139" s="43" t="s">
        <v>190</v>
      </c>
      <c r="C139" s="43" t="s">
        <v>378</v>
      </c>
      <c r="D139" s="43" t="s">
        <v>192</v>
      </c>
      <c r="E139" s="43" t="s">
        <v>14</v>
      </c>
      <c r="F139" s="43">
        <v>23240</v>
      </c>
      <c r="G139" s="43">
        <v>1.05</v>
      </c>
      <c r="H139" s="43">
        <f t="shared" si="3"/>
        <v>24402</v>
      </c>
      <c r="I139" s="43" t="s">
        <v>193</v>
      </c>
      <c r="J139" s="43" t="s">
        <v>46</v>
      </c>
      <c r="K139" s="43"/>
    </row>
    <row r="140" spans="1:11">
      <c r="A140" s="41">
        <v>45702</v>
      </c>
      <c r="B140" s="43" t="s">
        <v>190</v>
      </c>
      <c r="C140" s="43" t="s">
        <v>379</v>
      </c>
      <c r="D140" s="43" t="s">
        <v>380</v>
      </c>
      <c r="E140" s="43" t="s">
        <v>14</v>
      </c>
      <c r="F140" s="43">
        <v>34000</v>
      </c>
      <c r="G140" s="43">
        <v>0.65</v>
      </c>
      <c r="H140" s="43">
        <f t="shared" si="3"/>
        <v>22100</v>
      </c>
      <c r="I140" s="43" t="s">
        <v>61</v>
      </c>
      <c r="J140" s="43" t="s">
        <v>46</v>
      </c>
      <c r="K140" s="43" t="s">
        <v>381</v>
      </c>
    </row>
    <row r="141" spans="1:11">
      <c r="A141" s="41">
        <v>45702</v>
      </c>
      <c r="B141" s="43" t="s">
        <v>190</v>
      </c>
      <c r="C141" s="43" t="s">
        <v>379</v>
      </c>
      <c r="D141" s="43" t="s">
        <v>382</v>
      </c>
      <c r="E141" s="43" t="s">
        <v>14</v>
      </c>
      <c r="F141" s="43">
        <v>16600</v>
      </c>
      <c r="G141" s="43">
        <v>0.5</v>
      </c>
      <c r="H141" s="43">
        <f t="shared" si="3"/>
        <v>8300</v>
      </c>
      <c r="I141" s="43" t="s">
        <v>243</v>
      </c>
      <c r="J141" s="43" t="s">
        <v>46</v>
      </c>
      <c r="K141" s="43" t="s">
        <v>381</v>
      </c>
    </row>
    <row r="142" spans="1:11">
      <c r="A142" s="41">
        <v>45703</v>
      </c>
      <c r="B142" s="43" t="s">
        <v>190</v>
      </c>
      <c r="C142" s="43" t="s">
        <v>383</v>
      </c>
      <c r="D142" s="43" t="s">
        <v>384</v>
      </c>
      <c r="E142" s="43" t="s">
        <v>14</v>
      </c>
      <c r="F142" s="43">
        <v>78000</v>
      </c>
      <c r="G142" s="43">
        <v>0.5</v>
      </c>
      <c r="H142" s="43">
        <f t="shared" si="3"/>
        <v>39000</v>
      </c>
      <c r="I142" s="43" t="s">
        <v>243</v>
      </c>
      <c r="J142" s="43" t="s">
        <v>46</v>
      </c>
      <c r="K142" s="43" t="s">
        <v>381</v>
      </c>
    </row>
    <row r="143" spans="1:11">
      <c r="A143" s="41">
        <v>45705</v>
      </c>
      <c r="B143" s="43" t="s">
        <v>190</v>
      </c>
      <c r="C143" s="43" t="s">
        <v>385</v>
      </c>
      <c r="D143" s="43" t="s">
        <v>179</v>
      </c>
      <c r="E143" s="43" t="s">
        <v>14</v>
      </c>
      <c r="F143" s="43">
        <v>50000</v>
      </c>
      <c r="G143" s="43">
        <v>0.75</v>
      </c>
      <c r="H143" s="43">
        <f t="shared" si="3"/>
        <v>37500</v>
      </c>
      <c r="I143" s="43" t="s">
        <v>61</v>
      </c>
      <c r="J143" s="43" t="s">
        <v>46</v>
      </c>
      <c r="K143" s="43" t="s">
        <v>381</v>
      </c>
    </row>
    <row r="144" spans="1:11">
      <c r="A144" s="41">
        <v>45714</v>
      </c>
      <c r="B144" s="43" t="s">
        <v>190</v>
      </c>
      <c r="C144" s="43" t="s">
        <v>386</v>
      </c>
      <c r="D144" s="43" t="s">
        <v>387</v>
      </c>
      <c r="E144" s="43" t="s">
        <v>85</v>
      </c>
      <c r="F144" s="43">
        <v>6010</v>
      </c>
      <c r="G144" s="43">
        <v>1.4</v>
      </c>
      <c r="H144" s="43">
        <f t="shared" si="3"/>
        <v>8414</v>
      </c>
      <c r="I144" s="43" t="s">
        <v>235</v>
      </c>
      <c r="J144" s="43" t="s">
        <v>90</v>
      </c>
      <c r="K144" s="43"/>
    </row>
    <row r="145" spans="1:11">
      <c r="A145" s="41">
        <v>45701</v>
      </c>
      <c r="B145" s="43" t="s">
        <v>184</v>
      </c>
      <c r="C145" s="43" t="s">
        <v>388</v>
      </c>
      <c r="D145" s="43" t="s">
        <v>389</v>
      </c>
      <c r="E145" s="43" t="s">
        <v>14</v>
      </c>
      <c r="F145" s="43">
        <v>10</v>
      </c>
      <c r="G145" s="43">
        <v>1.4</v>
      </c>
      <c r="H145" s="43">
        <f t="shared" si="3"/>
        <v>14</v>
      </c>
      <c r="I145" s="43" t="s">
        <v>32</v>
      </c>
      <c r="J145" s="43"/>
      <c r="K145" s="43"/>
    </row>
    <row r="146" spans="1:11">
      <c r="A146" s="41">
        <v>45701</v>
      </c>
      <c r="B146" s="43" t="s">
        <v>184</v>
      </c>
      <c r="C146" s="43" t="s">
        <v>388</v>
      </c>
      <c r="D146" s="43" t="s">
        <v>390</v>
      </c>
      <c r="E146" s="43" t="s">
        <v>14</v>
      </c>
      <c r="F146" s="43">
        <v>10</v>
      </c>
      <c r="G146" s="43">
        <v>1.25</v>
      </c>
      <c r="H146" s="43">
        <f t="shared" ref="H146:H153" si="4">F146*G146</f>
        <v>12.5</v>
      </c>
      <c r="I146" s="43" t="s">
        <v>32</v>
      </c>
      <c r="J146" s="43"/>
      <c r="K146" s="43"/>
    </row>
    <row r="147" spans="1:11">
      <c r="A147" s="41">
        <v>45702</v>
      </c>
      <c r="B147" s="43" t="s">
        <v>184</v>
      </c>
      <c r="C147" s="43" t="s">
        <v>391</v>
      </c>
      <c r="D147" s="43" t="s">
        <v>392</v>
      </c>
      <c r="E147" s="43" t="s">
        <v>14</v>
      </c>
      <c r="F147" s="43">
        <v>20150</v>
      </c>
      <c r="G147" s="43">
        <v>1.15</v>
      </c>
      <c r="H147" s="43">
        <f t="shared" si="4"/>
        <v>23172.5</v>
      </c>
      <c r="I147" s="43" t="s">
        <v>126</v>
      </c>
      <c r="J147" s="43" t="s">
        <v>393</v>
      </c>
      <c r="K147" s="43"/>
    </row>
    <row r="148" spans="1:11">
      <c r="A148" s="41">
        <v>45708</v>
      </c>
      <c r="B148" s="43" t="s">
        <v>184</v>
      </c>
      <c r="C148" s="43" t="s">
        <v>394</v>
      </c>
      <c r="D148" s="43" t="s">
        <v>395</v>
      </c>
      <c r="E148" s="43" t="s">
        <v>14</v>
      </c>
      <c r="F148" s="43">
        <v>20</v>
      </c>
      <c r="G148" s="43">
        <v>1.05</v>
      </c>
      <c r="H148" s="43">
        <f t="shared" si="4"/>
        <v>21</v>
      </c>
      <c r="I148" s="43" t="s">
        <v>396</v>
      </c>
      <c r="J148" s="43" t="s">
        <v>393</v>
      </c>
      <c r="K148" s="43"/>
    </row>
    <row r="149" spans="1:11">
      <c r="A149" s="41">
        <v>45701</v>
      </c>
      <c r="B149" s="43" t="s">
        <v>260</v>
      </c>
      <c r="C149" s="43" t="s">
        <v>397</v>
      </c>
      <c r="D149" s="43" t="s">
        <v>188</v>
      </c>
      <c r="E149" s="43" t="s">
        <v>14</v>
      </c>
      <c r="F149" s="43">
        <v>23000</v>
      </c>
      <c r="G149" s="43">
        <v>1</v>
      </c>
      <c r="H149" s="43">
        <f t="shared" si="4"/>
        <v>23000</v>
      </c>
      <c r="I149" s="43" t="s">
        <v>189</v>
      </c>
      <c r="J149" s="43" t="s">
        <v>46</v>
      </c>
      <c r="K149" s="43"/>
    </row>
    <row r="150" spans="1:11">
      <c r="A150" s="41">
        <v>45701</v>
      </c>
      <c r="B150" s="43" t="s">
        <v>260</v>
      </c>
      <c r="C150" s="43" t="s">
        <v>397</v>
      </c>
      <c r="D150" s="43" t="s">
        <v>36</v>
      </c>
      <c r="E150" s="43" t="s">
        <v>14</v>
      </c>
      <c r="F150" s="43">
        <v>10050</v>
      </c>
      <c r="G150" s="43">
        <v>0.8</v>
      </c>
      <c r="H150" s="43">
        <f t="shared" si="4"/>
        <v>8040</v>
      </c>
      <c r="I150" s="43" t="s">
        <v>330</v>
      </c>
      <c r="J150" s="43" t="s">
        <v>46</v>
      </c>
      <c r="K150" s="43"/>
    </row>
    <row r="151" spans="1:11">
      <c r="A151" s="41">
        <v>45701</v>
      </c>
      <c r="B151" s="43" t="s">
        <v>260</v>
      </c>
      <c r="C151" s="43" t="s">
        <v>397</v>
      </c>
      <c r="D151" s="43" t="s">
        <v>398</v>
      </c>
      <c r="E151" s="43" t="s">
        <v>14</v>
      </c>
      <c r="F151" s="43">
        <v>1030</v>
      </c>
      <c r="G151" s="43">
        <v>1</v>
      </c>
      <c r="H151" s="43">
        <f t="shared" si="4"/>
        <v>1030</v>
      </c>
      <c r="I151" s="43" t="s">
        <v>330</v>
      </c>
      <c r="J151" s="43" t="s">
        <v>46</v>
      </c>
      <c r="K151" s="43"/>
    </row>
    <row r="152" spans="1:11">
      <c r="A152" s="41">
        <v>45702</v>
      </c>
      <c r="B152" s="43" t="s">
        <v>260</v>
      </c>
      <c r="C152" s="43"/>
      <c r="D152" s="43" t="s">
        <v>399</v>
      </c>
      <c r="E152" s="43" t="s">
        <v>14</v>
      </c>
      <c r="F152" s="43">
        <v>20</v>
      </c>
      <c r="G152" s="43">
        <v>1</v>
      </c>
      <c r="H152" s="43">
        <f t="shared" si="4"/>
        <v>20</v>
      </c>
      <c r="I152" s="43" t="s">
        <v>32</v>
      </c>
      <c r="J152" s="43"/>
      <c r="K152" s="43" t="s">
        <v>400</v>
      </c>
    </row>
    <row r="153" spans="1:11">
      <c r="A153" s="41">
        <v>45706</v>
      </c>
      <c r="B153" s="43" t="s">
        <v>260</v>
      </c>
      <c r="C153" s="43" t="s">
        <v>401</v>
      </c>
      <c r="D153" s="43" t="s">
        <v>402</v>
      </c>
      <c r="E153" s="43" t="s">
        <v>14</v>
      </c>
      <c r="F153" s="43">
        <v>1010</v>
      </c>
      <c r="G153" s="43">
        <v>0.95</v>
      </c>
      <c r="H153" s="43">
        <f t="shared" si="4"/>
        <v>959.5</v>
      </c>
      <c r="I153" s="43" t="s">
        <v>403</v>
      </c>
      <c r="J153" s="43"/>
      <c r="K153" s="43" t="s">
        <v>400</v>
      </c>
    </row>
    <row r="154" spans="1:11">
      <c r="A154" s="41">
        <v>45706</v>
      </c>
      <c r="B154" s="43" t="s">
        <v>260</v>
      </c>
      <c r="C154" s="43" t="s">
        <v>404</v>
      </c>
      <c r="D154" s="43" t="s">
        <v>405</v>
      </c>
      <c r="E154" s="43" t="s">
        <v>14</v>
      </c>
      <c r="F154" s="43">
        <v>10000</v>
      </c>
      <c r="G154" s="43">
        <v>1.25</v>
      </c>
      <c r="H154" s="43"/>
      <c r="I154" s="43" t="s">
        <v>406</v>
      </c>
      <c r="J154" s="43" t="s">
        <v>46</v>
      </c>
      <c r="K154" s="43"/>
    </row>
    <row r="155" spans="1:11">
      <c r="A155" s="41">
        <v>45712</v>
      </c>
      <c r="B155" s="43" t="s">
        <v>260</v>
      </c>
      <c r="C155" s="43" t="s">
        <v>407</v>
      </c>
      <c r="D155" s="43" t="s">
        <v>408</v>
      </c>
      <c r="E155" s="43" t="s">
        <v>14</v>
      </c>
      <c r="F155" s="43">
        <v>125</v>
      </c>
      <c r="G155" s="43">
        <v>1.15</v>
      </c>
      <c r="H155" s="43">
        <f t="shared" ref="H155:H161" si="5">F155*G155</f>
        <v>143.75</v>
      </c>
      <c r="I155" s="43" t="s">
        <v>63</v>
      </c>
      <c r="J155" s="43"/>
      <c r="K155" s="43" t="s">
        <v>400</v>
      </c>
    </row>
    <row r="156" spans="1:11">
      <c r="A156" s="41">
        <v>45716</v>
      </c>
      <c r="B156" s="43" t="s">
        <v>260</v>
      </c>
      <c r="C156" s="43" t="s">
        <v>409</v>
      </c>
      <c r="D156" s="43" t="s">
        <v>410</v>
      </c>
      <c r="E156" s="43" t="s">
        <v>14</v>
      </c>
      <c r="F156" s="43">
        <v>1015</v>
      </c>
      <c r="G156" s="43">
        <v>1.1</v>
      </c>
      <c r="H156" s="43">
        <f t="shared" si="5"/>
        <v>1116.5</v>
      </c>
      <c r="I156" s="43" t="s">
        <v>406</v>
      </c>
      <c r="J156" s="43"/>
      <c r="K156" s="43" t="s">
        <v>400</v>
      </c>
    </row>
    <row r="157" spans="1:11">
      <c r="A157" s="41">
        <v>45702</v>
      </c>
      <c r="B157" s="43" t="s">
        <v>97</v>
      </c>
      <c r="C157" s="43"/>
      <c r="D157" s="43" t="s">
        <v>98</v>
      </c>
      <c r="E157" s="43" t="s">
        <v>361</v>
      </c>
      <c r="F157" s="43">
        <v>3005</v>
      </c>
      <c r="G157" s="43">
        <v>0.83</v>
      </c>
      <c r="H157" s="43">
        <f t="shared" si="5"/>
        <v>2494.15</v>
      </c>
      <c r="I157" s="43" t="s">
        <v>100</v>
      </c>
      <c r="J157" s="43"/>
      <c r="K157" s="43"/>
    </row>
    <row r="158" spans="1:11">
      <c r="A158" s="41">
        <v>45702</v>
      </c>
      <c r="B158" s="43" t="s">
        <v>97</v>
      </c>
      <c r="C158" s="43"/>
      <c r="D158" s="43" t="s">
        <v>224</v>
      </c>
      <c r="E158" s="43" t="s">
        <v>361</v>
      </c>
      <c r="F158" s="43">
        <v>2005</v>
      </c>
      <c r="G158" s="43">
        <v>0.95</v>
      </c>
      <c r="H158" s="43">
        <f t="shared" si="5"/>
        <v>1904.75</v>
      </c>
      <c r="I158" s="43" t="s">
        <v>208</v>
      </c>
      <c r="J158" s="43"/>
      <c r="K158" s="43"/>
    </row>
    <row r="159" spans="1:11">
      <c r="A159" s="41">
        <v>45714</v>
      </c>
      <c r="B159" s="43" t="s">
        <v>97</v>
      </c>
      <c r="C159" s="43"/>
      <c r="D159" s="43" t="s">
        <v>224</v>
      </c>
      <c r="E159" s="43" t="s">
        <v>116</v>
      </c>
      <c r="F159" s="43">
        <v>3010</v>
      </c>
      <c r="G159" s="43">
        <v>0.95</v>
      </c>
      <c r="H159" s="43">
        <f t="shared" si="5"/>
        <v>2859.5</v>
      </c>
      <c r="I159" s="43" t="s">
        <v>208</v>
      </c>
      <c r="J159" s="43"/>
      <c r="K159" s="43"/>
    </row>
    <row r="160" spans="1:11">
      <c r="A160" s="41">
        <v>45716</v>
      </c>
      <c r="B160" s="43" t="s">
        <v>97</v>
      </c>
      <c r="C160" s="43"/>
      <c r="D160" s="43" t="s">
        <v>98</v>
      </c>
      <c r="E160" s="43" t="s">
        <v>99</v>
      </c>
      <c r="F160" s="43">
        <v>5210</v>
      </c>
      <c r="G160" s="43">
        <v>0.83</v>
      </c>
      <c r="H160" s="43">
        <f t="shared" si="5"/>
        <v>4324.3</v>
      </c>
      <c r="I160" s="43" t="s">
        <v>213</v>
      </c>
      <c r="J160" s="43"/>
      <c r="K160" s="43"/>
    </row>
    <row r="161" spans="1:11">
      <c r="A161" s="41">
        <v>45696</v>
      </c>
      <c r="B161" s="43" t="s">
        <v>194</v>
      </c>
      <c r="C161" s="43"/>
      <c r="D161" s="43" t="s">
        <v>411</v>
      </c>
      <c r="E161" s="43" t="s">
        <v>14</v>
      </c>
      <c r="F161" s="45">
        <v>11135</v>
      </c>
      <c r="G161" s="45">
        <v>0.88</v>
      </c>
      <c r="H161" s="43">
        <f t="shared" si="5"/>
        <v>9798.8</v>
      </c>
      <c r="I161" s="43" t="s">
        <v>412</v>
      </c>
      <c r="J161" s="43" t="s">
        <v>46</v>
      </c>
      <c r="K161" s="43"/>
    </row>
    <row r="162" spans="1:11">
      <c r="A162" s="41">
        <v>45701</v>
      </c>
      <c r="B162" s="43" t="s">
        <v>194</v>
      </c>
      <c r="C162" s="43"/>
      <c r="D162" s="43" t="s">
        <v>413</v>
      </c>
      <c r="E162" s="43" t="s">
        <v>414</v>
      </c>
      <c r="F162" s="45">
        <v>3000</v>
      </c>
      <c r="G162" s="45">
        <v>0.75</v>
      </c>
      <c r="H162" s="43">
        <f t="shared" ref="H162:H185" si="6">F162*G162</f>
        <v>2250</v>
      </c>
      <c r="I162" s="43" t="s">
        <v>415</v>
      </c>
      <c r="J162" s="43" t="s">
        <v>416</v>
      </c>
      <c r="K162" s="43">
        <v>0.98</v>
      </c>
    </row>
    <row r="163" spans="1:11">
      <c r="A163" s="41">
        <v>45705</v>
      </c>
      <c r="B163" s="43" t="s">
        <v>194</v>
      </c>
      <c r="C163" s="43"/>
      <c r="D163" s="43" t="s">
        <v>417</v>
      </c>
      <c r="E163" s="43" t="s">
        <v>418</v>
      </c>
      <c r="F163" s="45">
        <v>2005</v>
      </c>
      <c r="G163" s="45">
        <v>2.2</v>
      </c>
      <c r="H163" s="43">
        <f t="shared" si="6"/>
        <v>4411</v>
      </c>
      <c r="I163" s="43" t="s">
        <v>77</v>
      </c>
      <c r="J163" s="43" t="s">
        <v>90</v>
      </c>
      <c r="K163" s="43">
        <v>2.37</v>
      </c>
    </row>
    <row r="164" spans="1:11">
      <c r="A164" s="41">
        <v>45705</v>
      </c>
      <c r="B164" s="43" t="s">
        <v>194</v>
      </c>
      <c r="C164" s="43"/>
      <c r="D164" s="43" t="s">
        <v>198</v>
      </c>
      <c r="E164" s="43" t="s">
        <v>207</v>
      </c>
      <c r="F164" s="45">
        <v>1509</v>
      </c>
      <c r="G164" s="45">
        <v>1.1</v>
      </c>
      <c r="H164" s="43">
        <f t="shared" si="6"/>
        <v>1659.9</v>
      </c>
      <c r="I164" s="43" t="s">
        <v>208</v>
      </c>
      <c r="J164" s="43"/>
      <c r="K164" s="43"/>
    </row>
    <row r="165" spans="1:11">
      <c r="A165" s="41">
        <v>45705</v>
      </c>
      <c r="B165" s="43" t="s">
        <v>194</v>
      </c>
      <c r="C165" s="43"/>
      <c r="D165" s="43" t="s">
        <v>195</v>
      </c>
      <c r="E165" s="43" t="s">
        <v>60</v>
      </c>
      <c r="F165" s="45">
        <v>4022</v>
      </c>
      <c r="G165" s="45">
        <v>0.73</v>
      </c>
      <c r="H165" s="43">
        <f t="shared" si="6"/>
        <v>2936.06</v>
      </c>
      <c r="I165" s="43" t="s">
        <v>126</v>
      </c>
      <c r="J165" s="43"/>
      <c r="K165" s="43"/>
    </row>
    <row r="166" spans="1:11">
      <c r="A166" s="41">
        <v>45705</v>
      </c>
      <c r="B166" s="43" t="s">
        <v>194</v>
      </c>
      <c r="C166" s="43"/>
      <c r="D166" s="43" t="s">
        <v>307</v>
      </c>
      <c r="E166" s="43" t="s">
        <v>99</v>
      </c>
      <c r="F166" s="45">
        <v>504</v>
      </c>
      <c r="G166" s="45">
        <v>1.33</v>
      </c>
      <c r="H166" s="43">
        <f t="shared" si="6"/>
        <v>670.32</v>
      </c>
      <c r="I166" s="43" t="s">
        <v>330</v>
      </c>
      <c r="J166" s="43"/>
      <c r="K166" s="43"/>
    </row>
    <row r="167" spans="1:11">
      <c r="A167" s="41">
        <v>45706</v>
      </c>
      <c r="B167" s="43" t="s">
        <v>194</v>
      </c>
      <c r="C167" s="43"/>
      <c r="D167" s="43" t="s">
        <v>196</v>
      </c>
      <c r="E167" s="43" t="s">
        <v>60</v>
      </c>
      <c r="F167" s="45">
        <v>5014</v>
      </c>
      <c r="G167" s="45">
        <v>0.78</v>
      </c>
      <c r="H167" s="43">
        <f t="shared" si="6"/>
        <v>3910.92</v>
      </c>
      <c r="I167" s="43" t="s">
        <v>419</v>
      </c>
      <c r="J167" s="43"/>
      <c r="K167" s="43"/>
    </row>
    <row r="168" spans="1:11">
      <c r="A168" s="41">
        <v>45709</v>
      </c>
      <c r="B168" s="43" t="s">
        <v>194</v>
      </c>
      <c r="C168" s="43"/>
      <c r="D168" s="43" t="s">
        <v>198</v>
      </c>
      <c r="E168" s="43" t="s">
        <v>124</v>
      </c>
      <c r="F168" s="45">
        <v>20113</v>
      </c>
      <c r="G168" s="45">
        <v>1.1</v>
      </c>
      <c r="H168" s="43">
        <f t="shared" si="6"/>
        <v>22124.3</v>
      </c>
      <c r="I168" s="43" t="s">
        <v>193</v>
      </c>
      <c r="J168" s="43"/>
      <c r="K168" s="43"/>
    </row>
    <row r="169" spans="1:11">
      <c r="A169" s="41">
        <v>45712</v>
      </c>
      <c r="B169" s="43" t="s">
        <v>194</v>
      </c>
      <c r="C169" s="43"/>
      <c r="D169" s="43" t="s">
        <v>195</v>
      </c>
      <c r="E169" s="43" t="s">
        <v>60</v>
      </c>
      <c r="F169" s="45">
        <v>2010</v>
      </c>
      <c r="G169" s="45">
        <v>0.73</v>
      </c>
      <c r="H169" s="43">
        <f t="shared" si="6"/>
        <v>1467.3</v>
      </c>
      <c r="I169" s="43" t="s">
        <v>126</v>
      </c>
      <c r="J169" s="43"/>
      <c r="K169" s="43"/>
    </row>
    <row r="170" spans="1:11">
      <c r="A170" s="41">
        <v>45712</v>
      </c>
      <c r="B170" s="43" t="s">
        <v>194</v>
      </c>
      <c r="C170" s="43"/>
      <c r="D170" s="43" t="s">
        <v>417</v>
      </c>
      <c r="E170" s="43" t="s">
        <v>99</v>
      </c>
      <c r="F170" s="45">
        <v>107</v>
      </c>
      <c r="G170" s="45">
        <v>1.08</v>
      </c>
      <c r="H170" s="43">
        <f t="shared" si="6"/>
        <v>115.56</v>
      </c>
      <c r="I170" s="43" t="s">
        <v>283</v>
      </c>
      <c r="J170" s="43" t="s">
        <v>90</v>
      </c>
      <c r="K170" s="43"/>
    </row>
    <row r="171" spans="1:11">
      <c r="A171" s="41">
        <v>45712</v>
      </c>
      <c r="B171" s="43" t="s">
        <v>194</v>
      </c>
      <c r="C171" s="43"/>
      <c r="D171" s="43" t="s">
        <v>417</v>
      </c>
      <c r="E171" s="43" t="s">
        <v>420</v>
      </c>
      <c r="F171" s="45">
        <v>5001</v>
      </c>
      <c r="G171" s="45">
        <v>2.23</v>
      </c>
      <c r="H171" s="43">
        <f t="shared" si="6"/>
        <v>11152.23</v>
      </c>
      <c r="I171" s="43" t="s">
        <v>77</v>
      </c>
      <c r="J171" s="43" t="s">
        <v>90</v>
      </c>
      <c r="K171" s="43"/>
    </row>
    <row r="172" s="35" customFormat="1" spans="1:11">
      <c r="A172" s="44">
        <v>45716</v>
      </c>
      <c r="B172" s="45" t="s">
        <v>194</v>
      </c>
      <c r="C172" s="45"/>
      <c r="D172" s="45" t="s">
        <v>198</v>
      </c>
      <c r="E172" s="45" t="s">
        <v>124</v>
      </c>
      <c r="F172" s="45">
        <v>2019</v>
      </c>
      <c r="G172" s="45">
        <v>1.1</v>
      </c>
      <c r="H172" s="45">
        <f t="shared" si="6"/>
        <v>2220.9</v>
      </c>
      <c r="I172" s="45" t="s">
        <v>208</v>
      </c>
      <c r="J172" s="45"/>
      <c r="K172" s="45"/>
    </row>
    <row r="173" s="35" customFormat="1" spans="1:11">
      <c r="A173" s="44">
        <v>45716</v>
      </c>
      <c r="B173" s="45" t="s">
        <v>194</v>
      </c>
      <c r="C173" s="45"/>
      <c r="D173" s="45" t="s">
        <v>195</v>
      </c>
      <c r="E173" s="45" t="s">
        <v>123</v>
      </c>
      <c r="F173" s="45">
        <v>10000</v>
      </c>
      <c r="G173" s="45">
        <v>0.73</v>
      </c>
      <c r="H173" s="45">
        <f t="shared" si="6"/>
        <v>7300</v>
      </c>
      <c r="I173" s="45" t="s">
        <v>126</v>
      </c>
      <c r="J173" s="45"/>
      <c r="K173" s="45"/>
    </row>
    <row r="174" s="35" customFormat="1" spans="1:11">
      <c r="A174" s="44">
        <v>45716</v>
      </c>
      <c r="B174" s="45" t="s">
        <v>194</v>
      </c>
      <c r="C174" s="45"/>
      <c r="D174" s="45" t="s">
        <v>417</v>
      </c>
      <c r="E174" s="45" t="s">
        <v>420</v>
      </c>
      <c r="F174" s="45">
        <v>5191</v>
      </c>
      <c r="G174" s="45">
        <v>2.2</v>
      </c>
      <c r="H174" s="45">
        <f t="shared" si="6"/>
        <v>11420.2</v>
      </c>
      <c r="I174" s="45" t="s">
        <v>77</v>
      </c>
      <c r="J174" s="43" t="s">
        <v>90</v>
      </c>
      <c r="K174" s="45">
        <v>2.37</v>
      </c>
    </row>
    <row r="175" spans="1:11">
      <c r="A175" s="41">
        <v>45708</v>
      </c>
      <c r="B175" s="43" t="s">
        <v>174</v>
      </c>
      <c r="C175" s="87" t="s">
        <v>421</v>
      </c>
      <c r="D175" s="43" t="s">
        <v>130</v>
      </c>
      <c r="E175" s="43" t="s">
        <v>60</v>
      </c>
      <c r="F175" s="43">
        <v>20000</v>
      </c>
      <c r="G175" s="43">
        <v>0.34</v>
      </c>
      <c r="H175" s="43">
        <f t="shared" si="6"/>
        <v>6800</v>
      </c>
      <c r="I175" s="43" t="s">
        <v>422</v>
      </c>
      <c r="J175" s="43"/>
      <c r="K175" s="43"/>
    </row>
    <row r="176" spans="1:11">
      <c r="A176" s="41">
        <v>45708</v>
      </c>
      <c r="B176" s="43" t="s">
        <v>174</v>
      </c>
      <c r="C176" s="87" t="s">
        <v>421</v>
      </c>
      <c r="D176" s="43" t="s">
        <v>130</v>
      </c>
      <c r="E176" s="43" t="s">
        <v>60</v>
      </c>
      <c r="F176" s="43">
        <v>30000</v>
      </c>
      <c r="G176" s="43">
        <v>0.455</v>
      </c>
      <c r="H176" s="43">
        <f t="shared" si="6"/>
        <v>13650</v>
      </c>
      <c r="I176" s="43" t="s">
        <v>149</v>
      </c>
      <c r="J176" s="43"/>
      <c r="K176" s="43"/>
    </row>
    <row r="177" spans="1:11">
      <c r="A177" s="41">
        <v>45714</v>
      </c>
      <c r="B177" s="43" t="s">
        <v>174</v>
      </c>
      <c r="C177" s="87" t="s">
        <v>423</v>
      </c>
      <c r="D177" s="43" t="s">
        <v>130</v>
      </c>
      <c r="E177" s="43" t="s">
        <v>60</v>
      </c>
      <c r="F177" s="43">
        <v>57500</v>
      </c>
      <c r="G177" s="43">
        <v>0.34</v>
      </c>
      <c r="H177" s="43">
        <f t="shared" si="6"/>
        <v>19550</v>
      </c>
      <c r="I177" s="43" t="s">
        <v>422</v>
      </c>
      <c r="J177" s="43"/>
      <c r="K177" s="43"/>
    </row>
    <row r="178" spans="1:11">
      <c r="A178" s="41">
        <v>45714</v>
      </c>
      <c r="B178" s="43" t="s">
        <v>174</v>
      </c>
      <c r="C178" s="87" t="s">
        <v>423</v>
      </c>
      <c r="D178" s="43" t="s">
        <v>130</v>
      </c>
      <c r="E178" s="43" t="s">
        <v>60</v>
      </c>
      <c r="F178" s="43">
        <v>27500</v>
      </c>
      <c r="G178" s="43">
        <v>0.455</v>
      </c>
      <c r="H178" s="43">
        <f t="shared" si="6"/>
        <v>12512.5</v>
      </c>
      <c r="I178" s="43" t="s">
        <v>149</v>
      </c>
      <c r="J178" s="43"/>
      <c r="K178" s="43"/>
    </row>
    <row r="179" spans="1:11">
      <c r="A179" s="41">
        <v>45700</v>
      </c>
      <c r="B179" s="43" t="s">
        <v>424</v>
      </c>
      <c r="C179" s="87" t="s">
        <v>425</v>
      </c>
      <c r="D179" s="43" t="s">
        <v>130</v>
      </c>
      <c r="E179" s="43" t="s">
        <v>60</v>
      </c>
      <c r="F179" s="43">
        <v>10000</v>
      </c>
      <c r="G179" s="43">
        <v>0.5</v>
      </c>
      <c r="H179" s="43">
        <f t="shared" si="6"/>
        <v>5000</v>
      </c>
      <c r="I179" s="43" t="s">
        <v>61</v>
      </c>
      <c r="J179" s="43"/>
      <c r="K179" s="43"/>
    </row>
    <row r="180" spans="1:11">
      <c r="A180" s="41">
        <v>45700</v>
      </c>
      <c r="B180" s="43" t="s">
        <v>424</v>
      </c>
      <c r="C180" s="87" t="s">
        <v>425</v>
      </c>
      <c r="D180" s="43" t="s">
        <v>59</v>
      </c>
      <c r="E180" s="43" t="s">
        <v>60</v>
      </c>
      <c r="F180" s="43">
        <v>10000</v>
      </c>
      <c r="G180" s="43">
        <v>0.53</v>
      </c>
      <c r="H180" s="43">
        <f t="shared" si="6"/>
        <v>5300</v>
      </c>
      <c r="I180" s="43" t="s">
        <v>63</v>
      </c>
      <c r="J180" s="43"/>
      <c r="K180" s="43"/>
    </row>
    <row r="181" spans="1:11">
      <c r="A181" s="41">
        <v>45702</v>
      </c>
      <c r="B181" s="43" t="s">
        <v>424</v>
      </c>
      <c r="C181" s="87" t="s">
        <v>426</v>
      </c>
      <c r="D181" s="43" t="s">
        <v>59</v>
      </c>
      <c r="E181" s="43" t="s">
        <v>60</v>
      </c>
      <c r="F181" s="43">
        <v>600</v>
      </c>
      <c r="G181" s="43">
        <v>0.53</v>
      </c>
      <c r="H181" s="43">
        <f t="shared" si="6"/>
        <v>318</v>
      </c>
      <c r="I181" s="43" t="s">
        <v>63</v>
      </c>
      <c r="J181" s="43"/>
      <c r="K181" s="43"/>
    </row>
    <row r="182" spans="1:11">
      <c r="A182" s="41">
        <v>45702</v>
      </c>
      <c r="B182" s="43" t="s">
        <v>424</v>
      </c>
      <c r="C182" s="87" t="s">
        <v>426</v>
      </c>
      <c r="D182" s="43" t="s">
        <v>130</v>
      </c>
      <c r="E182" s="43" t="s">
        <v>60</v>
      </c>
      <c r="F182" s="43">
        <v>40000</v>
      </c>
      <c r="G182" s="43">
        <v>0.5</v>
      </c>
      <c r="H182" s="43">
        <f t="shared" si="6"/>
        <v>20000</v>
      </c>
      <c r="I182" s="43" t="s">
        <v>61</v>
      </c>
      <c r="J182" s="43"/>
      <c r="K182" s="43"/>
    </row>
    <row r="183" spans="1:11">
      <c r="A183" s="41">
        <v>45702</v>
      </c>
      <c r="B183" s="43" t="s">
        <v>424</v>
      </c>
      <c r="C183" s="87" t="s">
        <v>426</v>
      </c>
      <c r="D183" s="43" t="s">
        <v>59</v>
      </c>
      <c r="E183" s="43" t="s">
        <v>60</v>
      </c>
      <c r="F183" s="43">
        <v>10200</v>
      </c>
      <c r="G183" s="43">
        <v>0.53</v>
      </c>
      <c r="H183" s="43">
        <f t="shared" si="6"/>
        <v>5406</v>
      </c>
      <c r="I183" s="43" t="s">
        <v>63</v>
      </c>
      <c r="J183" s="43"/>
      <c r="K183" s="43"/>
    </row>
    <row r="184" spans="1:11">
      <c r="A184" s="41">
        <v>45703</v>
      </c>
      <c r="B184" s="43" t="s">
        <v>424</v>
      </c>
      <c r="C184" s="87" t="s">
        <v>427</v>
      </c>
      <c r="D184" s="43" t="s">
        <v>59</v>
      </c>
      <c r="E184" s="43" t="s">
        <v>428</v>
      </c>
      <c r="F184" s="43">
        <v>10000</v>
      </c>
      <c r="G184" s="43">
        <v>0.65</v>
      </c>
      <c r="H184" s="43">
        <f t="shared" si="6"/>
        <v>6500</v>
      </c>
      <c r="I184" s="43" t="s">
        <v>35</v>
      </c>
      <c r="J184" s="43"/>
      <c r="K184" s="43"/>
    </row>
    <row r="185" spans="1:11">
      <c r="A185" s="41">
        <v>45704</v>
      </c>
      <c r="B185" s="43" t="s">
        <v>424</v>
      </c>
      <c r="C185" s="87" t="s">
        <v>429</v>
      </c>
      <c r="D185" s="43" t="s">
        <v>59</v>
      </c>
      <c r="E185" s="43" t="s">
        <v>428</v>
      </c>
      <c r="F185" s="43">
        <v>8435</v>
      </c>
      <c r="G185" s="43">
        <v>0.65</v>
      </c>
      <c r="H185" s="43">
        <f t="shared" si="6"/>
        <v>5482.75</v>
      </c>
      <c r="I185" s="43" t="s">
        <v>35</v>
      </c>
      <c r="J185" s="43"/>
      <c r="K185" s="43"/>
    </row>
    <row r="186" spans="1:11">
      <c r="A186" s="41">
        <v>45708</v>
      </c>
      <c r="B186" s="43" t="s">
        <v>424</v>
      </c>
      <c r="C186" s="87" t="s">
        <v>430</v>
      </c>
      <c r="D186" s="43" t="s">
        <v>59</v>
      </c>
      <c r="E186" s="43" t="s">
        <v>62</v>
      </c>
      <c r="F186" s="43">
        <v>21000</v>
      </c>
      <c r="G186" s="43">
        <v>0.53</v>
      </c>
      <c r="H186" s="43">
        <f t="shared" ref="H186:H248" si="7">F186*G186</f>
        <v>11130</v>
      </c>
      <c r="I186" s="43" t="s">
        <v>69</v>
      </c>
      <c r="J186" s="43"/>
      <c r="K186" s="43"/>
    </row>
    <row r="187" spans="1:11">
      <c r="A187" s="41">
        <v>45711</v>
      </c>
      <c r="B187" s="43" t="s">
        <v>424</v>
      </c>
      <c r="C187" s="87" t="s">
        <v>431</v>
      </c>
      <c r="D187" s="43" t="s">
        <v>130</v>
      </c>
      <c r="E187" s="43" t="s">
        <v>60</v>
      </c>
      <c r="F187" s="43">
        <v>4500</v>
      </c>
      <c r="G187" s="43">
        <v>0.48</v>
      </c>
      <c r="H187" s="43">
        <f t="shared" si="7"/>
        <v>2160</v>
      </c>
      <c r="I187" s="43" t="s">
        <v>432</v>
      </c>
      <c r="J187" s="43"/>
      <c r="K187" s="43"/>
    </row>
    <row r="188" spans="1:11">
      <c r="A188" s="41">
        <v>45711</v>
      </c>
      <c r="B188" s="43" t="s">
        <v>424</v>
      </c>
      <c r="C188" s="87" t="s">
        <v>431</v>
      </c>
      <c r="D188" s="43" t="s">
        <v>130</v>
      </c>
      <c r="E188" s="43" t="s">
        <v>123</v>
      </c>
      <c r="F188" s="43">
        <v>6410</v>
      </c>
      <c r="G188" s="43">
        <v>0.52</v>
      </c>
      <c r="H188" s="43">
        <f t="shared" si="7"/>
        <v>3333.2</v>
      </c>
      <c r="I188" s="43" t="s">
        <v>433</v>
      </c>
      <c r="J188" s="43"/>
      <c r="K188" s="43"/>
    </row>
    <row r="189" spans="1:11">
      <c r="A189" s="41">
        <v>45714</v>
      </c>
      <c r="B189" s="43" t="s">
        <v>424</v>
      </c>
      <c r="C189" s="87" t="s">
        <v>434</v>
      </c>
      <c r="D189" s="43" t="s">
        <v>115</v>
      </c>
      <c r="E189" s="43" t="s">
        <v>135</v>
      </c>
      <c r="F189" s="43">
        <v>4050</v>
      </c>
      <c r="G189" s="43">
        <v>0.54</v>
      </c>
      <c r="H189" s="43">
        <f t="shared" si="7"/>
        <v>2187</v>
      </c>
      <c r="I189" s="43" t="s">
        <v>126</v>
      </c>
      <c r="J189" s="43"/>
      <c r="K189" s="43"/>
    </row>
    <row r="190" spans="1:11">
      <c r="A190" s="41">
        <v>45716</v>
      </c>
      <c r="B190" s="43" t="s">
        <v>424</v>
      </c>
      <c r="C190" s="87" t="s">
        <v>435</v>
      </c>
      <c r="D190" s="43" t="s">
        <v>59</v>
      </c>
      <c r="E190" s="43" t="s">
        <v>60</v>
      </c>
      <c r="F190" s="43">
        <v>30400</v>
      </c>
      <c r="G190" s="43">
        <v>0.5</v>
      </c>
      <c r="H190" s="43">
        <f t="shared" si="7"/>
        <v>15200</v>
      </c>
      <c r="I190" s="43" t="s">
        <v>63</v>
      </c>
      <c r="J190" s="43"/>
      <c r="K190" s="43"/>
    </row>
    <row r="191" spans="1:11">
      <c r="A191" s="41">
        <v>45702</v>
      </c>
      <c r="B191" s="43" t="s">
        <v>225</v>
      </c>
      <c r="C191" s="87" t="s">
        <v>436</v>
      </c>
      <c r="D191" s="43" t="s">
        <v>227</v>
      </c>
      <c r="E191" s="43" t="s">
        <v>123</v>
      </c>
      <c r="F191" s="43">
        <v>6032</v>
      </c>
      <c r="G191" s="43">
        <v>0.68</v>
      </c>
      <c r="H191" s="43">
        <f t="shared" si="7"/>
        <v>4101.76</v>
      </c>
      <c r="I191" s="43" t="s">
        <v>437</v>
      </c>
      <c r="J191" s="43"/>
      <c r="K191" s="43"/>
    </row>
    <row r="192" spans="1:11">
      <c r="A192" s="41">
        <v>45699</v>
      </c>
      <c r="B192" s="43" t="s">
        <v>225</v>
      </c>
      <c r="C192" s="87" t="s">
        <v>438</v>
      </c>
      <c r="D192" s="43" t="s">
        <v>227</v>
      </c>
      <c r="E192" s="43" t="s">
        <v>62</v>
      </c>
      <c r="F192" s="43">
        <v>22</v>
      </c>
      <c r="G192" s="43">
        <v>0.64</v>
      </c>
      <c r="H192" s="43">
        <f t="shared" si="7"/>
        <v>14.08</v>
      </c>
      <c r="I192" s="43" t="s">
        <v>32</v>
      </c>
      <c r="J192" s="43"/>
      <c r="K192" s="43"/>
    </row>
    <row r="193" spans="1:11">
      <c r="A193" s="41">
        <v>45701</v>
      </c>
      <c r="B193" s="43" t="s">
        <v>439</v>
      </c>
      <c r="C193" s="43" t="s">
        <v>440</v>
      </c>
      <c r="D193" s="43" t="s">
        <v>441</v>
      </c>
      <c r="E193" s="43" t="s">
        <v>158</v>
      </c>
      <c r="F193" s="43">
        <v>100000</v>
      </c>
      <c r="G193" s="43">
        <v>0.12</v>
      </c>
      <c r="H193" s="43">
        <f t="shared" si="7"/>
        <v>12000</v>
      </c>
      <c r="I193" s="43" t="s">
        <v>61</v>
      </c>
      <c r="J193" s="43" t="s">
        <v>46</v>
      </c>
      <c r="K193" s="43"/>
    </row>
    <row r="194" spans="1:11">
      <c r="A194" s="41">
        <v>45699</v>
      </c>
      <c r="B194" s="43" t="s">
        <v>263</v>
      </c>
      <c r="C194" s="43" t="s">
        <v>442</v>
      </c>
      <c r="D194" s="43" t="s">
        <v>443</v>
      </c>
      <c r="E194" s="43" t="s">
        <v>158</v>
      </c>
      <c r="F194" s="43">
        <v>200000</v>
      </c>
      <c r="G194" s="43">
        <v>0.13</v>
      </c>
      <c r="H194" s="43">
        <f t="shared" si="7"/>
        <v>26000</v>
      </c>
      <c r="I194" s="43" t="s">
        <v>61</v>
      </c>
      <c r="J194" s="43" t="s">
        <v>46</v>
      </c>
      <c r="K194" s="43"/>
    </row>
    <row r="195" spans="1:11">
      <c r="A195" s="41">
        <v>45705</v>
      </c>
      <c r="B195" s="43" t="s">
        <v>444</v>
      </c>
      <c r="C195" s="43" t="s">
        <v>445</v>
      </c>
      <c r="D195" s="43" t="s">
        <v>446</v>
      </c>
      <c r="E195" s="43" t="s">
        <v>447</v>
      </c>
      <c r="F195" s="43">
        <v>5005</v>
      </c>
      <c r="G195" s="43">
        <v>1.6</v>
      </c>
      <c r="H195" s="43">
        <f t="shared" si="7"/>
        <v>8008</v>
      </c>
      <c r="I195" s="43" t="s">
        <v>202</v>
      </c>
      <c r="J195" s="43"/>
      <c r="K195" s="43"/>
    </row>
    <row r="196" spans="1:11">
      <c r="A196" s="41">
        <v>45703</v>
      </c>
      <c r="B196" s="43" t="s">
        <v>448</v>
      </c>
      <c r="C196" s="43"/>
      <c r="D196" s="43" t="s">
        <v>195</v>
      </c>
      <c r="E196" s="43" t="s">
        <v>60</v>
      </c>
      <c r="F196" s="43">
        <v>-5917</v>
      </c>
      <c r="G196" s="43">
        <v>0.8</v>
      </c>
      <c r="H196" s="43">
        <f t="shared" si="7"/>
        <v>-4733.6</v>
      </c>
      <c r="I196" s="43" t="s">
        <v>125</v>
      </c>
      <c r="J196" s="43" t="s">
        <v>449</v>
      </c>
      <c r="K196" s="43"/>
    </row>
    <row r="197" spans="1:11">
      <c r="A197" s="41">
        <v>45715</v>
      </c>
      <c r="B197" s="43" t="s">
        <v>448</v>
      </c>
      <c r="C197" s="43"/>
      <c r="D197" s="43" t="s">
        <v>59</v>
      </c>
      <c r="E197" s="43" t="s">
        <v>450</v>
      </c>
      <c r="F197" s="43">
        <v>10400</v>
      </c>
      <c r="G197" s="43">
        <v>0.6</v>
      </c>
      <c r="H197" s="43">
        <f t="shared" si="7"/>
        <v>6240</v>
      </c>
      <c r="I197" s="43" t="s">
        <v>77</v>
      </c>
      <c r="J197" s="43"/>
      <c r="K197" s="43"/>
    </row>
    <row r="198" spans="1:11">
      <c r="A198" s="41">
        <v>45715</v>
      </c>
      <c r="B198" s="43" t="s">
        <v>448</v>
      </c>
      <c r="C198" s="43"/>
      <c r="D198" s="43" t="s">
        <v>128</v>
      </c>
      <c r="E198" s="43" t="s">
        <v>450</v>
      </c>
      <c r="F198" s="43">
        <v>13500</v>
      </c>
      <c r="G198" s="43">
        <v>0.6</v>
      </c>
      <c r="H198" s="43">
        <f t="shared" si="7"/>
        <v>8100</v>
      </c>
      <c r="I198" s="43" t="s">
        <v>77</v>
      </c>
      <c r="J198" s="43"/>
      <c r="K198" s="43"/>
    </row>
    <row r="199" spans="1:11">
      <c r="A199" s="41">
        <v>45702</v>
      </c>
      <c r="B199" s="43" t="s">
        <v>190</v>
      </c>
      <c r="C199" s="43" t="s">
        <v>451</v>
      </c>
      <c r="D199" s="43" t="s">
        <v>387</v>
      </c>
      <c r="E199" s="43" t="s">
        <v>85</v>
      </c>
      <c r="F199" s="43">
        <v>102</v>
      </c>
      <c r="G199" s="43">
        <v>1.4</v>
      </c>
      <c r="H199" s="43">
        <f t="shared" si="7"/>
        <v>142.8</v>
      </c>
      <c r="I199" s="43" t="s">
        <v>235</v>
      </c>
      <c r="J199" s="43"/>
      <c r="K199" s="43"/>
    </row>
    <row r="200" spans="1:11">
      <c r="A200" s="41">
        <v>45705</v>
      </c>
      <c r="B200" s="43" t="s">
        <v>74</v>
      </c>
      <c r="C200" s="43" t="s">
        <v>452</v>
      </c>
      <c r="D200" s="43" t="s">
        <v>59</v>
      </c>
      <c r="E200" s="43" t="s">
        <v>60</v>
      </c>
      <c r="F200" s="43">
        <v>3925</v>
      </c>
      <c r="G200" s="43">
        <v>0.58</v>
      </c>
      <c r="H200" s="43">
        <f t="shared" si="7"/>
        <v>2276.5</v>
      </c>
      <c r="I200" s="43" t="s">
        <v>78</v>
      </c>
      <c r="J200" s="43"/>
      <c r="K200" s="43"/>
    </row>
    <row r="201" spans="1:11">
      <c r="A201" s="41">
        <v>45705</v>
      </c>
      <c r="B201" s="43" t="s">
        <v>74</v>
      </c>
      <c r="C201" s="43" t="s">
        <v>453</v>
      </c>
      <c r="D201" s="43" t="s">
        <v>211</v>
      </c>
      <c r="E201" s="43" t="s">
        <v>454</v>
      </c>
      <c r="F201" s="43">
        <v>20000</v>
      </c>
      <c r="G201" s="43">
        <v>0.8</v>
      </c>
      <c r="H201" s="43">
        <f t="shared" si="7"/>
        <v>16000</v>
      </c>
      <c r="I201" s="43" t="s">
        <v>213</v>
      </c>
      <c r="J201" s="43" t="s">
        <v>455</v>
      </c>
      <c r="K201" s="43">
        <v>0.95</v>
      </c>
    </row>
    <row r="202" spans="1:11">
      <c r="A202" s="41">
        <v>45708</v>
      </c>
      <c r="B202" s="43" t="s">
        <v>74</v>
      </c>
      <c r="C202" s="43" t="s">
        <v>456</v>
      </c>
      <c r="D202" s="43" t="s">
        <v>211</v>
      </c>
      <c r="E202" s="43" t="s">
        <v>454</v>
      </c>
      <c r="F202" s="43">
        <v>8013</v>
      </c>
      <c r="G202" s="43">
        <v>0.8</v>
      </c>
      <c r="H202" s="43">
        <f t="shared" si="7"/>
        <v>6410.4</v>
      </c>
      <c r="I202" s="43" t="s">
        <v>213</v>
      </c>
      <c r="J202" s="43" t="s">
        <v>455</v>
      </c>
      <c r="K202" s="43">
        <v>0.95</v>
      </c>
    </row>
    <row r="203" spans="1:11">
      <c r="A203" s="41">
        <v>45709</v>
      </c>
      <c r="B203" s="43" t="s">
        <v>74</v>
      </c>
      <c r="C203" s="43" t="s">
        <v>457</v>
      </c>
      <c r="D203" s="43" t="s">
        <v>59</v>
      </c>
      <c r="E203" s="43" t="s">
        <v>60</v>
      </c>
      <c r="F203" s="43">
        <v>6031</v>
      </c>
      <c r="G203" s="43">
        <v>0.58</v>
      </c>
      <c r="H203" s="43">
        <f t="shared" si="7"/>
        <v>3497.98</v>
      </c>
      <c r="I203" s="43" t="s">
        <v>78</v>
      </c>
      <c r="J203" s="43"/>
      <c r="K203" s="43"/>
    </row>
    <row r="204" spans="1:11">
      <c r="A204" s="41">
        <v>45709</v>
      </c>
      <c r="B204" s="43" t="s">
        <v>74</v>
      </c>
      <c r="C204" s="43" t="s">
        <v>457</v>
      </c>
      <c r="D204" s="43" t="s">
        <v>59</v>
      </c>
      <c r="E204" s="43" t="s">
        <v>60</v>
      </c>
      <c r="F204" s="43">
        <v>4044</v>
      </c>
      <c r="G204" s="43">
        <v>0.6</v>
      </c>
      <c r="H204" s="43">
        <f t="shared" si="7"/>
        <v>2426.4</v>
      </c>
      <c r="I204" s="43" t="s">
        <v>77</v>
      </c>
      <c r="J204" s="43"/>
      <c r="K204" s="43"/>
    </row>
    <row r="205" spans="1:11">
      <c r="A205" s="41">
        <v>45712</v>
      </c>
      <c r="B205" s="43" t="s">
        <v>74</v>
      </c>
      <c r="C205" s="43" t="s">
        <v>458</v>
      </c>
      <c r="D205" s="43" t="s">
        <v>130</v>
      </c>
      <c r="E205" s="43" t="s">
        <v>62</v>
      </c>
      <c r="F205" s="43">
        <v>30278</v>
      </c>
      <c r="G205" s="43">
        <v>0.6</v>
      </c>
      <c r="H205" s="43">
        <f t="shared" si="7"/>
        <v>18166.8</v>
      </c>
      <c r="I205" s="43" t="s">
        <v>61</v>
      </c>
      <c r="J205" s="43"/>
      <c r="K205" s="43"/>
    </row>
    <row r="206" spans="1:11">
      <c r="A206" s="41">
        <v>45712</v>
      </c>
      <c r="B206" s="43" t="s">
        <v>74</v>
      </c>
      <c r="C206" s="43" t="s">
        <v>458</v>
      </c>
      <c r="D206" s="43" t="s">
        <v>59</v>
      </c>
      <c r="E206" s="43" t="s">
        <v>62</v>
      </c>
      <c r="F206" s="43">
        <v>14174</v>
      </c>
      <c r="G206" s="43">
        <v>0.6</v>
      </c>
      <c r="H206" s="43">
        <f t="shared" si="7"/>
        <v>8504.4</v>
      </c>
      <c r="I206" s="43" t="s">
        <v>77</v>
      </c>
      <c r="J206" s="43"/>
      <c r="K206" s="43"/>
    </row>
    <row r="207" s="35" customFormat="1" spans="1:11">
      <c r="A207" s="44">
        <v>45699</v>
      </c>
      <c r="B207" s="45" t="s">
        <v>162</v>
      </c>
      <c r="C207" s="45" t="s">
        <v>459</v>
      </c>
      <c r="D207" s="45" t="s">
        <v>460</v>
      </c>
      <c r="E207" s="45" t="s">
        <v>461</v>
      </c>
      <c r="F207" s="45">
        <v>30000</v>
      </c>
      <c r="G207" s="45">
        <v>0.16</v>
      </c>
      <c r="H207" s="45">
        <f t="shared" si="7"/>
        <v>4800</v>
      </c>
      <c r="I207" s="45" t="s">
        <v>61</v>
      </c>
      <c r="J207" s="45" t="s">
        <v>46</v>
      </c>
      <c r="K207" s="45"/>
    </row>
    <row r="208" s="35" customFormat="1" spans="1:11">
      <c r="A208" s="44">
        <v>45699</v>
      </c>
      <c r="B208" s="45" t="s">
        <v>162</v>
      </c>
      <c r="C208" s="45" t="s">
        <v>459</v>
      </c>
      <c r="D208" s="45" t="s">
        <v>462</v>
      </c>
      <c r="E208" s="45" t="s">
        <v>463</v>
      </c>
      <c r="F208" s="45">
        <v>10000</v>
      </c>
      <c r="G208" s="45">
        <v>0.28</v>
      </c>
      <c r="H208" s="45">
        <f t="shared" si="7"/>
        <v>2800</v>
      </c>
      <c r="I208" s="45" t="s">
        <v>143</v>
      </c>
      <c r="J208" s="45" t="s">
        <v>46</v>
      </c>
      <c r="K208" s="45"/>
    </row>
    <row r="209" s="35" customFormat="1" spans="1:11">
      <c r="A209" s="44">
        <v>45703</v>
      </c>
      <c r="B209" s="45" t="s">
        <v>162</v>
      </c>
      <c r="C209" s="45" t="s">
        <v>464</v>
      </c>
      <c r="D209" s="45" t="s">
        <v>465</v>
      </c>
      <c r="E209" s="45" t="s">
        <v>461</v>
      </c>
      <c r="F209" s="45">
        <v>20000</v>
      </c>
      <c r="G209" s="45">
        <v>0.16</v>
      </c>
      <c r="H209" s="45">
        <f t="shared" si="7"/>
        <v>3200</v>
      </c>
      <c r="I209" s="45" t="s">
        <v>466</v>
      </c>
      <c r="J209" s="45" t="s">
        <v>46</v>
      </c>
      <c r="K209" s="45"/>
    </row>
    <row r="210" s="35" customFormat="1" spans="1:11">
      <c r="A210" s="44">
        <v>45702</v>
      </c>
      <c r="B210" s="45" t="s">
        <v>162</v>
      </c>
      <c r="C210" s="45" t="s">
        <v>467</v>
      </c>
      <c r="D210" s="45" t="s">
        <v>168</v>
      </c>
      <c r="E210" s="45" t="s">
        <v>158</v>
      </c>
      <c r="F210" s="45">
        <v>10000</v>
      </c>
      <c r="G210" s="45">
        <v>0.24</v>
      </c>
      <c r="H210" s="45">
        <f t="shared" si="7"/>
        <v>2400</v>
      </c>
      <c r="I210" s="45" t="s">
        <v>61</v>
      </c>
      <c r="J210" s="45"/>
      <c r="K210" s="45"/>
    </row>
    <row r="211" s="35" customFormat="1" spans="1:11">
      <c r="A211" s="44">
        <v>45702</v>
      </c>
      <c r="B211" s="45" t="s">
        <v>162</v>
      </c>
      <c r="C211" s="45" t="s">
        <v>467</v>
      </c>
      <c r="D211" s="45" t="s">
        <v>468</v>
      </c>
      <c r="E211" s="45" t="s">
        <v>158</v>
      </c>
      <c r="F211" s="45">
        <v>50000</v>
      </c>
      <c r="G211" s="45">
        <v>0.24</v>
      </c>
      <c r="H211" s="45">
        <f t="shared" si="7"/>
        <v>12000</v>
      </c>
      <c r="I211" s="45" t="s">
        <v>61</v>
      </c>
      <c r="J211" s="45"/>
      <c r="K211" s="45"/>
    </row>
    <row r="212" spans="1:11">
      <c r="A212" s="44">
        <v>45709</v>
      </c>
      <c r="B212" s="45" t="s">
        <v>162</v>
      </c>
      <c r="C212" s="45" t="s">
        <v>469</v>
      </c>
      <c r="D212" s="45" t="s">
        <v>170</v>
      </c>
      <c r="E212" s="45" t="s">
        <v>158</v>
      </c>
      <c r="F212" s="45">
        <v>50000</v>
      </c>
      <c r="G212" s="45">
        <v>0.17</v>
      </c>
      <c r="H212" s="45">
        <f t="shared" si="7"/>
        <v>8500</v>
      </c>
      <c r="I212" s="45" t="s">
        <v>61</v>
      </c>
      <c r="J212" s="43" t="s">
        <v>46</v>
      </c>
      <c r="K212" s="43"/>
    </row>
    <row r="213" s="35" customFormat="1" spans="1:11">
      <c r="A213" s="44">
        <v>45712</v>
      </c>
      <c r="B213" s="45" t="s">
        <v>162</v>
      </c>
      <c r="C213" s="45" t="s">
        <v>470</v>
      </c>
      <c r="D213" s="45" t="s">
        <v>170</v>
      </c>
      <c r="E213" s="45" t="s">
        <v>158</v>
      </c>
      <c r="F213" s="45">
        <v>150000</v>
      </c>
      <c r="G213" s="45">
        <v>0.17</v>
      </c>
      <c r="H213" s="45">
        <f t="shared" si="7"/>
        <v>25500</v>
      </c>
      <c r="I213" s="45" t="s">
        <v>61</v>
      </c>
      <c r="J213" s="45" t="s">
        <v>159</v>
      </c>
      <c r="K213" s="45"/>
    </row>
    <row r="214" s="35" customFormat="1" spans="1:11">
      <c r="A214" s="44">
        <v>45715</v>
      </c>
      <c r="B214" s="45" t="s">
        <v>162</v>
      </c>
      <c r="C214" s="45" t="s">
        <v>471</v>
      </c>
      <c r="D214" s="45" t="s">
        <v>462</v>
      </c>
      <c r="E214" s="45" t="s">
        <v>472</v>
      </c>
      <c r="F214" s="45">
        <v>40000</v>
      </c>
      <c r="G214" s="45">
        <v>0.24</v>
      </c>
      <c r="H214" s="45">
        <f t="shared" si="7"/>
        <v>9600</v>
      </c>
      <c r="I214" s="45" t="s">
        <v>61</v>
      </c>
      <c r="J214" s="45" t="s">
        <v>46</v>
      </c>
      <c r="K214" s="45"/>
    </row>
    <row r="215" spans="1:11">
      <c r="A215" s="41">
        <v>45702</v>
      </c>
      <c r="B215" s="43" t="s">
        <v>91</v>
      </c>
      <c r="C215" s="43" t="s">
        <v>473</v>
      </c>
      <c r="D215" s="43" t="s">
        <v>474</v>
      </c>
      <c r="E215" s="43" t="s">
        <v>14</v>
      </c>
      <c r="F215" s="43">
        <v>20</v>
      </c>
      <c r="G215" s="43"/>
      <c r="H215" s="43">
        <f t="shared" si="7"/>
        <v>0</v>
      </c>
      <c r="I215" s="43" t="s">
        <v>475</v>
      </c>
      <c r="J215" s="43"/>
      <c r="K215" s="43"/>
    </row>
    <row r="216" spans="1:11">
      <c r="A216" s="41">
        <v>45703</v>
      </c>
      <c r="B216" s="43" t="s">
        <v>91</v>
      </c>
      <c r="C216" s="43" t="s">
        <v>476</v>
      </c>
      <c r="D216" s="43" t="s">
        <v>93</v>
      </c>
      <c r="E216" s="43" t="s">
        <v>14</v>
      </c>
      <c r="F216" s="43">
        <v>1172</v>
      </c>
      <c r="G216" s="43">
        <v>3.85</v>
      </c>
      <c r="H216" s="43">
        <f t="shared" si="7"/>
        <v>4512.2</v>
      </c>
      <c r="I216" s="43" t="s">
        <v>94</v>
      </c>
      <c r="J216" s="43"/>
      <c r="K216" s="43"/>
    </row>
    <row r="217" spans="1:11">
      <c r="A217" s="41">
        <v>45698</v>
      </c>
      <c r="B217" s="43" t="s">
        <v>477</v>
      </c>
      <c r="C217" s="43"/>
      <c r="D217" s="43" t="s">
        <v>478</v>
      </c>
      <c r="E217" s="43" t="s">
        <v>14</v>
      </c>
      <c r="F217" s="43">
        <v>31</v>
      </c>
      <c r="G217" s="43">
        <v>5.2</v>
      </c>
      <c r="H217" s="43">
        <f t="shared" si="7"/>
        <v>161.2</v>
      </c>
      <c r="I217" s="43" t="s">
        <v>28</v>
      </c>
      <c r="J217" s="43"/>
      <c r="K217" s="43"/>
    </row>
    <row r="218" spans="1:11">
      <c r="A218" s="41">
        <v>45701</v>
      </c>
      <c r="B218" s="43" t="s">
        <v>477</v>
      </c>
      <c r="C218" s="43" t="s">
        <v>479</v>
      </c>
      <c r="D218" s="43" t="s">
        <v>93</v>
      </c>
      <c r="E218" s="43" t="s">
        <v>14</v>
      </c>
      <c r="F218" s="43">
        <v>290</v>
      </c>
      <c r="G218" s="43">
        <v>3.8</v>
      </c>
      <c r="H218" s="43">
        <f t="shared" si="7"/>
        <v>1102</v>
      </c>
      <c r="I218" s="43" t="s">
        <v>94</v>
      </c>
      <c r="J218" s="43"/>
      <c r="K218" s="43"/>
    </row>
    <row r="219" spans="1:11">
      <c r="A219" s="41">
        <v>45703</v>
      </c>
      <c r="B219" s="43" t="s">
        <v>477</v>
      </c>
      <c r="C219" s="43" t="s">
        <v>480</v>
      </c>
      <c r="D219" s="43" t="s">
        <v>474</v>
      </c>
      <c r="E219" s="43" t="s">
        <v>14</v>
      </c>
      <c r="F219" s="43">
        <v>11500</v>
      </c>
      <c r="G219" s="43">
        <v>2.3</v>
      </c>
      <c r="H219" s="43">
        <f t="shared" si="7"/>
        <v>26450</v>
      </c>
      <c r="I219" s="43" t="s">
        <v>94</v>
      </c>
      <c r="J219" s="43"/>
      <c r="K219" s="43"/>
    </row>
    <row r="220" spans="1:11">
      <c r="A220" s="41">
        <v>45703</v>
      </c>
      <c r="B220" s="43" t="s">
        <v>477</v>
      </c>
      <c r="C220" s="43" t="s">
        <v>481</v>
      </c>
      <c r="D220" s="43" t="s">
        <v>474</v>
      </c>
      <c r="E220" s="43" t="s">
        <v>14</v>
      </c>
      <c r="F220" s="43">
        <v>4010</v>
      </c>
      <c r="G220" s="43">
        <v>4.2</v>
      </c>
      <c r="H220" s="43">
        <f t="shared" si="7"/>
        <v>16842</v>
      </c>
      <c r="I220" s="43" t="s">
        <v>94</v>
      </c>
      <c r="J220" s="43"/>
      <c r="K220" s="43"/>
    </row>
    <row r="221" spans="1:11">
      <c r="A221" s="41">
        <v>45712</v>
      </c>
      <c r="B221" s="43" t="s">
        <v>477</v>
      </c>
      <c r="C221" s="43" t="s">
        <v>482</v>
      </c>
      <c r="D221" s="43" t="s">
        <v>93</v>
      </c>
      <c r="E221" s="43" t="s">
        <v>14</v>
      </c>
      <c r="F221" s="43">
        <v>12000</v>
      </c>
      <c r="G221" s="43">
        <v>3.75</v>
      </c>
      <c r="H221" s="43">
        <f t="shared" si="7"/>
        <v>45000</v>
      </c>
      <c r="I221" s="43" t="s">
        <v>94</v>
      </c>
      <c r="J221" s="43"/>
      <c r="K221" s="43"/>
    </row>
    <row r="222" s="35" customFormat="1" spans="1:11">
      <c r="A222" s="44">
        <v>45716</v>
      </c>
      <c r="B222" s="45" t="s">
        <v>477</v>
      </c>
      <c r="C222" s="45" t="s">
        <v>483</v>
      </c>
      <c r="D222" s="45" t="s">
        <v>474</v>
      </c>
      <c r="E222" s="45" t="s">
        <v>14</v>
      </c>
      <c r="F222" s="45">
        <v>9560</v>
      </c>
      <c r="G222" s="45">
        <v>2.25</v>
      </c>
      <c r="H222" s="45">
        <f t="shared" si="7"/>
        <v>21510</v>
      </c>
      <c r="I222" s="45" t="s">
        <v>94</v>
      </c>
      <c r="J222" s="45"/>
      <c r="K222" s="45"/>
    </row>
    <row r="223" spans="1:11">
      <c r="A223" s="41">
        <v>45700</v>
      </c>
      <c r="B223" s="43" t="s">
        <v>237</v>
      </c>
      <c r="C223" s="43" t="s">
        <v>484</v>
      </c>
      <c r="D223" s="43" t="s">
        <v>485</v>
      </c>
      <c r="E223" s="43" t="s">
        <v>14</v>
      </c>
      <c r="F223" s="43">
        <v>1260</v>
      </c>
      <c r="G223" s="43">
        <v>1.05</v>
      </c>
      <c r="H223" s="43">
        <f t="shared" si="7"/>
        <v>1323</v>
      </c>
      <c r="I223" s="43" t="s">
        <v>486</v>
      </c>
      <c r="J223" s="43" t="s">
        <v>46</v>
      </c>
      <c r="K223" s="43"/>
    </row>
    <row r="224" spans="1:11">
      <c r="A224" s="41">
        <v>45702</v>
      </c>
      <c r="B224" s="43" t="s">
        <v>237</v>
      </c>
      <c r="C224" s="43" t="s">
        <v>487</v>
      </c>
      <c r="D224" s="43" t="s">
        <v>485</v>
      </c>
      <c r="E224" s="43" t="s">
        <v>14</v>
      </c>
      <c r="F224" s="43">
        <v>10040</v>
      </c>
      <c r="G224" s="43">
        <v>1.05</v>
      </c>
      <c r="H224" s="43">
        <f t="shared" si="7"/>
        <v>10542</v>
      </c>
      <c r="I224" s="43" t="s">
        <v>486</v>
      </c>
      <c r="J224" s="43"/>
      <c r="K224" s="43"/>
    </row>
    <row r="225" spans="1:11">
      <c r="A225" s="41">
        <v>45703</v>
      </c>
      <c r="B225" s="43" t="s">
        <v>237</v>
      </c>
      <c r="C225" s="43" t="s">
        <v>488</v>
      </c>
      <c r="D225" s="43" t="s">
        <v>59</v>
      </c>
      <c r="E225" s="43" t="s">
        <v>60</v>
      </c>
      <c r="F225" s="43">
        <v>4050</v>
      </c>
      <c r="G225" s="43">
        <v>0.43</v>
      </c>
      <c r="H225" s="43">
        <f t="shared" si="7"/>
        <v>1741.5</v>
      </c>
      <c r="I225" s="43" t="s">
        <v>137</v>
      </c>
      <c r="J225" s="43"/>
      <c r="K225" s="43"/>
    </row>
    <row r="226" spans="1:11">
      <c r="A226" s="41">
        <v>45703</v>
      </c>
      <c r="B226" s="43" t="s">
        <v>237</v>
      </c>
      <c r="C226" s="43" t="s">
        <v>488</v>
      </c>
      <c r="D226" s="43" t="s">
        <v>59</v>
      </c>
      <c r="E226" s="43" t="s">
        <v>60</v>
      </c>
      <c r="F226" s="43">
        <v>20000</v>
      </c>
      <c r="G226" s="43">
        <v>0.43</v>
      </c>
      <c r="H226" s="43">
        <f t="shared" si="7"/>
        <v>8600</v>
      </c>
      <c r="I226" s="43" t="s">
        <v>489</v>
      </c>
      <c r="J226" s="43"/>
      <c r="K226" s="43"/>
    </row>
    <row r="227" spans="1:11">
      <c r="A227" s="41">
        <v>45707</v>
      </c>
      <c r="B227" s="43" t="s">
        <v>237</v>
      </c>
      <c r="C227" s="43" t="s">
        <v>490</v>
      </c>
      <c r="D227" s="43" t="s">
        <v>59</v>
      </c>
      <c r="E227" s="43" t="s">
        <v>60</v>
      </c>
      <c r="F227" s="43">
        <v>20000</v>
      </c>
      <c r="G227" s="43">
        <v>0.43</v>
      </c>
      <c r="H227" s="43">
        <f t="shared" si="7"/>
        <v>8600</v>
      </c>
      <c r="I227" s="43" t="s">
        <v>489</v>
      </c>
      <c r="J227" s="43"/>
      <c r="K227" s="43"/>
    </row>
    <row r="228" spans="1:11">
      <c r="A228" s="41">
        <v>45712</v>
      </c>
      <c r="B228" s="43" t="s">
        <v>237</v>
      </c>
      <c r="C228" s="43" t="s">
        <v>491</v>
      </c>
      <c r="D228" s="43" t="s">
        <v>59</v>
      </c>
      <c r="E228" s="43" t="s">
        <v>60</v>
      </c>
      <c r="F228" s="43">
        <v>60000</v>
      </c>
      <c r="G228" s="43">
        <v>0.43</v>
      </c>
      <c r="H228" s="43">
        <f t="shared" si="7"/>
        <v>25800</v>
      </c>
      <c r="I228" s="43" t="s">
        <v>489</v>
      </c>
      <c r="J228" s="43"/>
      <c r="K228" s="43"/>
    </row>
    <row r="229" spans="1:11">
      <c r="A229" s="41">
        <v>45712</v>
      </c>
      <c r="B229" s="43" t="s">
        <v>237</v>
      </c>
      <c r="C229" s="43" t="s">
        <v>492</v>
      </c>
      <c r="D229" s="43" t="s">
        <v>493</v>
      </c>
      <c r="E229" s="43" t="s">
        <v>14</v>
      </c>
      <c r="F229" s="43">
        <v>277200</v>
      </c>
      <c r="G229" s="43">
        <v>0.72</v>
      </c>
      <c r="H229" s="43">
        <f t="shared" si="7"/>
        <v>199584</v>
      </c>
      <c r="I229" s="43" t="s">
        <v>61</v>
      </c>
      <c r="J229" s="43" t="s">
        <v>46</v>
      </c>
      <c r="K229" s="43" t="s">
        <v>494</v>
      </c>
    </row>
    <row r="230" spans="1:11">
      <c r="A230" s="41">
        <v>45713</v>
      </c>
      <c r="B230" s="43" t="s">
        <v>237</v>
      </c>
      <c r="C230" s="43" t="s">
        <v>495</v>
      </c>
      <c r="D230" s="43" t="s">
        <v>59</v>
      </c>
      <c r="E230" s="43" t="s">
        <v>60</v>
      </c>
      <c r="F230" s="43">
        <v>13900</v>
      </c>
      <c r="G230" s="43">
        <v>0.43</v>
      </c>
      <c r="H230" s="43">
        <f t="shared" si="7"/>
        <v>5977</v>
      </c>
      <c r="I230" s="43" t="s">
        <v>489</v>
      </c>
      <c r="J230" s="43"/>
      <c r="K230" s="43"/>
    </row>
    <row r="231" spans="1:11">
      <c r="A231" s="41">
        <v>45714</v>
      </c>
      <c r="B231" s="43" t="s">
        <v>237</v>
      </c>
      <c r="C231" s="43" t="s">
        <v>496</v>
      </c>
      <c r="D231" s="43" t="s">
        <v>239</v>
      </c>
      <c r="E231" s="43" t="s">
        <v>14</v>
      </c>
      <c r="F231" s="43">
        <v>68250</v>
      </c>
      <c r="G231" s="43">
        <v>0.6</v>
      </c>
      <c r="H231" s="43">
        <f t="shared" si="7"/>
        <v>40950</v>
      </c>
      <c r="I231" s="43" t="s">
        <v>61</v>
      </c>
      <c r="J231" s="43" t="s">
        <v>46</v>
      </c>
      <c r="K231" s="43"/>
    </row>
    <row r="232" spans="1:11">
      <c r="A232" s="41">
        <v>45715</v>
      </c>
      <c r="B232" s="43" t="s">
        <v>237</v>
      </c>
      <c r="C232" s="43" t="s">
        <v>497</v>
      </c>
      <c r="D232" s="43" t="s">
        <v>59</v>
      </c>
      <c r="E232" s="43" t="s">
        <v>60</v>
      </c>
      <c r="F232" s="43">
        <v>20000</v>
      </c>
      <c r="G232" s="43">
        <v>0.43</v>
      </c>
      <c r="H232" s="43">
        <f t="shared" si="7"/>
        <v>8600</v>
      </c>
      <c r="I232" s="43" t="s">
        <v>489</v>
      </c>
      <c r="J232" s="43"/>
      <c r="K232" s="43"/>
    </row>
    <row r="233" spans="1:11">
      <c r="A233" s="41">
        <v>45715</v>
      </c>
      <c r="B233" s="43" t="s">
        <v>237</v>
      </c>
      <c r="C233" s="43" t="s">
        <v>497</v>
      </c>
      <c r="D233" s="43" t="s">
        <v>239</v>
      </c>
      <c r="E233" s="43" t="s">
        <v>116</v>
      </c>
      <c r="F233" s="43">
        <v>5850</v>
      </c>
      <c r="G233" s="43">
        <v>0.72</v>
      </c>
      <c r="H233" s="43">
        <f t="shared" si="7"/>
        <v>4212</v>
      </c>
      <c r="I233" s="43" t="s">
        <v>245</v>
      </c>
      <c r="J233" s="43"/>
      <c r="K233" s="43"/>
    </row>
    <row r="234" spans="1:11">
      <c r="A234" s="41">
        <v>45715</v>
      </c>
      <c r="B234" s="43" t="s">
        <v>237</v>
      </c>
      <c r="C234" s="43" t="s">
        <v>498</v>
      </c>
      <c r="D234" s="43" t="s">
        <v>290</v>
      </c>
      <c r="E234" s="43" t="s">
        <v>14</v>
      </c>
      <c r="F234" s="43">
        <v>50100</v>
      </c>
      <c r="G234" s="43">
        <v>0.9</v>
      </c>
      <c r="H234" s="43">
        <f t="shared" si="7"/>
        <v>45090</v>
      </c>
      <c r="I234" s="43" t="s">
        <v>45</v>
      </c>
      <c r="J234" s="43" t="s">
        <v>46</v>
      </c>
      <c r="K234" s="43" t="s">
        <v>499</v>
      </c>
    </row>
    <row r="235" spans="1:11">
      <c r="A235" s="41">
        <v>45715</v>
      </c>
      <c r="B235" s="43" t="s">
        <v>237</v>
      </c>
      <c r="C235" s="43" t="s">
        <v>500</v>
      </c>
      <c r="D235" s="43" t="s">
        <v>242</v>
      </c>
      <c r="E235" s="43" t="s">
        <v>14</v>
      </c>
      <c r="F235" s="43">
        <v>100000</v>
      </c>
      <c r="G235" s="43">
        <v>0.55</v>
      </c>
      <c r="H235" s="43">
        <f t="shared" si="7"/>
        <v>55000</v>
      </c>
      <c r="I235" s="43" t="s">
        <v>61</v>
      </c>
      <c r="J235" s="43" t="s">
        <v>46</v>
      </c>
      <c r="K235" s="43"/>
    </row>
    <row r="236" spans="1:11">
      <c r="A236" s="41">
        <v>45716</v>
      </c>
      <c r="B236" s="43" t="s">
        <v>237</v>
      </c>
      <c r="C236" s="43" t="s">
        <v>501</v>
      </c>
      <c r="D236" s="43" t="s">
        <v>239</v>
      </c>
      <c r="E236" s="43" t="s">
        <v>14</v>
      </c>
      <c r="F236" s="43">
        <v>191750</v>
      </c>
      <c r="G236" s="43">
        <v>0.6</v>
      </c>
      <c r="H236" s="43">
        <f t="shared" si="7"/>
        <v>115050</v>
      </c>
      <c r="I236" s="43" t="s">
        <v>61</v>
      </c>
      <c r="J236" s="43" t="s">
        <v>46</v>
      </c>
      <c r="K236" s="43"/>
    </row>
    <row r="237" spans="1:11">
      <c r="A237" s="41">
        <v>45716</v>
      </c>
      <c r="B237" s="43" t="s">
        <v>237</v>
      </c>
      <c r="C237" s="43" t="s">
        <v>502</v>
      </c>
      <c r="D237" s="43" t="s">
        <v>239</v>
      </c>
      <c r="E237" s="43" t="s">
        <v>116</v>
      </c>
      <c r="F237" s="43">
        <v>29250</v>
      </c>
      <c r="G237" s="43">
        <v>0.72</v>
      </c>
      <c r="H237" s="43">
        <f t="shared" si="7"/>
        <v>21060</v>
      </c>
      <c r="I237" s="43" t="s">
        <v>245</v>
      </c>
      <c r="J237" s="43"/>
      <c r="K237" s="43"/>
    </row>
    <row r="238" spans="1:11">
      <c r="A238" s="41">
        <v>45703</v>
      </c>
      <c r="B238" s="43" t="s">
        <v>150</v>
      </c>
      <c r="C238" s="43"/>
      <c r="D238" s="43" t="s">
        <v>233</v>
      </c>
      <c r="E238" s="43" t="s">
        <v>14</v>
      </c>
      <c r="F238" s="43">
        <v>5210</v>
      </c>
      <c r="G238" s="43">
        <v>0.87</v>
      </c>
      <c r="H238" s="43">
        <f t="shared" si="7"/>
        <v>4532.7</v>
      </c>
      <c r="I238" s="43" t="s">
        <v>45</v>
      </c>
      <c r="J238" s="43"/>
      <c r="K238" s="43"/>
    </row>
    <row r="239" spans="1:11">
      <c r="A239" s="41">
        <v>45708</v>
      </c>
      <c r="B239" s="43" t="s">
        <v>150</v>
      </c>
      <c r="C239" s="43"/>
      <c r="D239" s="43" t="s">
        <v>152</v>
      </c>
      <c r="E239" s="43" t="s">
        <v>14</v>
      </c>
      <c r="F239" s="43">
        <v>120</v>
      </c>
      <c r="G239" s="43">
        <v>0.9</v>
      </c>
      <c r="H239" s="43">
        <f t="shared" si="7"/>
        <v>108</v>
      </c>
      <c r="I239" s="43" t="s">
        <v>63</v>
      </c>
      <c r="J239" s="43"/>
      <c r="K239" s="43"/>
    </row>
    <row r="240" spans="1:11">
      <c r="A240" s="41">
        <v>45708</v>
      </c>
      <c r="B240" s="43" t="s">
        <v>150</v>
      </c>
      <c r="C240" s="43"/>
      <c r="D240" s="43" t="s">
        <v>233</v>
      </c>
      <c r="E240" s="43" t="s">
        <v>14</v>
      </c>
      <c r="F240" s="43">
        <v>105</v>
      </c>
      <c r="G240" s="43">
        <v>0.85</v>
      </c>
      <c r="H240" s="43">
        <f t="shared" si="7"/>
        <v>89.25</v>
      </c>
      <c r="I240" s="43" t="s">
        <v>61</v>
      </c>
      <c r="J240" s="43"/>
      <c r="K240" s="43"/>
    </row>
    <row r="241" spans="1:11">
      <c r="A241" s="41">
        <v>45712</v>
      </c>
      <c r="B241" s="43" t="s">
        <v>150</v>
      </c>
      <c r="C241" s="43"/>
      <c r="D241" s="43" t="s">
        <v>152</v>
      </c>
      <c r="E241" s="43" t="s">
        <v>14</v>
      </c>
      <c r="F241" s="43">
        <v>10200</v>
      </c>
      <c r="G241" s="43">
        <v>0.9</v>
      </c>
      <c r="H241" s="43">
        <f t="shared" si="7"/>
        <v>9180</v>
      </c>
      <c r="I241" s="43" t="s">
        <v>63</v>
      </c>
      <c r="J241" s="43"/>
      <c r="K241" s="43"/>
    </row>
    <row r="242" spans="1:11">
      <c r="A242" s="41">
        <v>45712</v>
      </c>
      <c r="B242" s="43" t="s">
        <v>150</v>
      </c>
      <c r="C242" s="43"/>
      <c r="D242" s="43" t="s">
        <v>374</v>
      </c>
      <c r="E242" s="43" t="s">
        <v>14</v>
      </c>
      <c r="F242" s="43">
        <v>3297</v>
      </c>
      <c r="G242" s="43">
        <v>0.9</v>
      </c>
      <c r="H242" s="43">
        <f t="shared" si="7"/>
        <v>2967.3</v>
      </c>
      <c r="I242" s="43" t="s">
        <v>503</v>
      </c>
      <c r="J242" s="43"/>
      <c r="K242" s="43"/>
    </row>
    <row r="243" spans="1:11">
      <c r="A243" s="41">
        <v>45715</v>
      </c>
      <c r="B243" s="43" t="s">
        <v>150</v>
      </c>
      <c r="C243" s="43"/>
      <c r="D243" s="43" t="s">
        <v>152</v>
      </c>
      <c r="E243" s="43" t="s">
        <v>99</v>
      </c>
      <c r="F243" s="43">
        <v>2055</v>
      </c>
      <c r="G243" s="43">
        <v>1.25</v>
      </c>
      <c r="H243" s="43">
        <f t="shared" si="7"/>
        <v>2568.75</v>
      </c>
      <c r="I243" s="43" t="s">
        <v>149</v>
      </c>
      <c r="J243" s="43" t="s">
        <v>369</v>
      </c>
      <c r="K243" s="43"/>
    </row>
    <row r="244" spans="1:11">
      <c r="A244" s="41">
        <v>45715</v>
      </c>
      <c r="B244" s="43" t="s">
        <v>150</v>
      </c>
      <c r="C244" s="43"/>
      <c r="D244" s="43" t="s">
        <v>374</v>
      </c>
      <c r="E244" s="43" t="s">
        <v>14</v>
      </c>
      <c r="F244" s="43">
        <v>383</v>
      </c>
      <c r="G244" s="43">
        <v>0.9</v>
      </c>
      <c r="H244" s="43">
        <f t="shared" si="7"/>
        <v>344.7</v>
      </c>
      <c r="I244" s="43" t="s">
        <v>503</v>
      </c>
      <c r="J244" s="43"/>
      <c r="K244" s="43"/>
    </row>
    <row r="245" spans="1:11">
      <c r="A245" s="41">
        <v>45698</v>
      </c>
      <c r="B245" s="43" t="s">
        <v>504</v>
      </c>
      <c r="C245" s="87" t="s">
        <v>505</v>
      </c>
      <c r="D245" s="43" t="s">
        <v>368</v>
      </c>
      <c r="E245" s="43" t="s">
        <v>14</v>
      </c>
      <c r="F245" s="43">
        <v>35000</v>
      </c>
      <c r="G245" s="43">
        <v>0.77</v>
      </c>
      <c r="H245" s="43">
        <f t="shared" si="7"/>
        <v>26950</v>
      </c>
      <c r="I245" s="43" t="s">
        <v>489</v>
      </c>
      <c r="J245" s="43" t="s">
        <v>46</v>
      </c>
      <c r="K245" s="43" t="s">
        <v>506</v>
      </c>
    </row>
    <row r="246" spans="1:11">
      <c r="A246" s="41">
        <v>45704</v>
      </c>
      <c r="B246" s="43" t="s">
        <v>504</v>
      </c>
      <c r="C246" s="87" t="s">
        <v>507</v>
      </c>
      <c r="D246" s="43" t="s">
        <v>374</v>
      </c>
      <c r="E246" s="43" t="s">
        <v>14</v>
      </c>
      <c r="F246" s="43">
        <v>16000</v>
      </c>
      <c r="G246" s="43">
        <v>0.82</v>
      </c>
      <c r="H246" s="43">
        <f t="shared" si="7"/>
        <v>13120</v>
      </c>
      <c r="I246" s="43" t="s">
        <v>271</v>
      </c>
      <c r="J246" s="43"/>
      <c r="K246" s="43"/>
    </row>
    <row r="247" spans="1:11">
      <c r="A247" s="41">
        <v>45697</v>
      </c>
      <c r="B247" s="43" t="s">
        <v>82</v>
      </c>
      <c r="C247" s="43" t="s">
        <v>508</v>
      </c>
      <c r="D247" s="43" t="s">
        <v>31</v>
      </c>
      <c r="E247" s="43" t="s">
        <v>14</v>
      </c>
      <c r="F247" s="43">
        <v>10000</v>
      </c>
      <c r="G247" s="43">
        <v>1</v>
      </c>
      <c r="H247" s="43">
        <f t="shared" si="7"/>
        <v>10000</v>
      </c>
      <c r="I247" s="43" t="s">
        <v>300</v>
      </c>
      <c r="J247" s="43"/>
      <c r="K247" s="43"/>
    </row>
    <row r="248" spans="1:11">
      <c r="A248" s="41">
        <v>45697</v>
      </c>
      <c r="B248" s="43" t="s">
        <v>82</v>
      </c>
      <c r="C248" s="43" t="s">
        <v>508</v>
      </c>
      <c r="D248" s="43">
        <v>6770</v>
      </c>
      <c r="E248" s="43" t="s">
        <v>158</v>
      </c>
      <c r="F248" s="43">
        <v>20000</v>
      </c>
      <c r="G248" s="43">
        <v>0.14</v>
      </c>
      <c r="H248" s="43">
        <f t="shared" si="7"/>
        <v>2800</v>
      </c>
      <c r="I248" s="43" t="s">
        <v>509</v>
      </c>
      <c r="J248" s="43"/>
      <c r="K248" s="43"/>
    </row>
    <row r="249" spans="1:11">
      <c r="A249" s="41">
        <v>45699</v>
      </c>
      <c r="B249" s="43" t="s">
        <v>82</v>
      </c>
      <c r="C249" s="43" t="s">
        <v>510</v>
      </c>
      <c r="D249" s="43" t="s">
        <v>84</v>
      </c>
      <c r="E249" s="43" t="s">
        <v>14</v>
      </c>
      <c r="F249" s="43">
        <v>10300</v>
      </c>
      <c r="G249" s="43">
        <v>0.9</v>
      </c>
      <c r="H249" s="43">
        <f t="shared" ref="H249:H275" si="8">F249*G249</f>
        <v>9270</v>
      </c>
      <c r="I249" s="43" t="s">
        <v>466</v>
      </c>
      <c r="J249" s="43" t="s">
        <v>46</v>
      </c>
      <c r="K249" s="43"/>
    </row>
    <row r="250" spans="1:11">
      <c r="A250" s="41">
        <v>45699</v>
      </c>
      <c r="B250" s="43" t="s">
        <v>82</v>
      </c>
      <c r="C250" s="43" t="s">
        <v>510</v>
      </c>
      <c r="D250" s="43" t="s">
        <v>511</v>
      </c>
      <c r="E250" s="43" t="s">
        <v>14</v>
      </c>
      <c r="F250" s="43">
        <v>1050</v>
      </c>
      <c r="G250" s="43">
        <v>1</v>
      </c>
      <c r="H250" s="43">
        <f t="shared" si="8"/>
        <v>1050</v>
      </c>
      <c r="I250" s="43" t="s">
        <v>330</v>
      </c>
      <c r="J250" s="43" t="s">
        <v>46</v>
      </c>
      <c r="K250" s="43"/>
    </row>
    <row r="251" spans="1:11">
      <c r="A251" s="41">
        <v>45703</v>
      </c>
      <c r="B251" s="43" t="s">
        <v>82</v>
      </c>
      <c r="C251" s="43" t="s">
        <v>512</v>
      </c>
      <c r="D251" s="43" t="s">
        <v>368</v>
      </c>
      <c r="E251" s="43" t="s">
        <v>14</v>
      </c>
      <c r="F251" s="43">
        <v>63475</v>
      </c>
      <c r="G251" s="43">
        <v>0.8</v>
      </c>
      <c r="H251" s="43">
        <f t="shared" si="8"/>
        <v>50780</v>
      </c>
      <c r="I251" s="43" t="s">
        <v>61</v>
      </c>
      <c r="J251" s="43" t="s">
        <v>46</v>
      </c>
      <c r="K251" s="43"/>
    </row>
    <row r="252" spans="1:11">
      <c r="A252" s="41">
        <v>45707</v>
      </c>
      <c r="B252" s="43" t="s">
        <v>82</v>
      </c>
      <c r="C252" s="43" t="s">
        <v>513</v>
      </c>
      <c r="D252" s="43" t="s">
        <v>368</v>
      </c>
      <c r="E252" s="43" t="s">
        <v>14</v>
      </c>
      <c r="F252" s="43">
        <v>18100</v>
      </c>
      <c r="G252" s="43">
        <v>1.3</v>
      </c>
      <c r="H252" s="43">
        <f t="shared" si="8"/>
        <v>23530</v>
      </c>
      <c r="I252" s="43" t="s">
        <v>232</v>
      </c>
      <c r="J252" s="43" t="s">
        <v>46</v>
      </c>
      <c r="K252" s="43"/>
    </row>
    <row r="253" spans="1:11">
      <c r="A253" s="41">
        <v>45707</v>
      </c>
      <c r="B253" s="43" t="s">
        <v>82</v>
      </c>
      <c r="C253" s="43" t="s">
        <v>513</v>
      </c>
      <c r="D253" s="43" t="s">
        <v>310</v>
      </c>
      <c r="E253" s="43" t="s">
        <v>14</v>
      </c>
      <c r="F253" s="43">
        <v>4100</v>
      </c>
      <c r="G253" s="43">
        <v>1.3</v>
      </c>
      <c r="H253" s="43">
        <f t="shared" si="8"/>
        <v>5330</v>
      </c>
      <c r="I253" s="43" t="s">
        <v>311</v>
      </c>
      <c r="J253" s="43" t="s">
        <v>46</v>
      </c>
      <c r="K253" s="43"/>
    </row>
    <row r="254" spans="1:11">
      <c r="A254" s="41">
        <v>45707</v>
      </c>
      <c r="B254" s="43" t="s">
        <v>82</v>
      </c>
      <c r="C254" s="43" t="s">
        <v>513</v>
      </c>
      <c r="D254" s="43">
        <v>6770</v>
      </c>
      <c r="E254" s="43" t="s">
        <v>158</v>
      </c>
      <c r="F254" s="43">
        <v>8050</v>
      </c>
      <c r="G254" s="43">
        <v>0.14</v>
      </c>
      <c r="H254" s="43">
        <f t="shared" si="8"/>
        <v>1127</v>
      </c>
      <c r="I254" s="43" t="s">
        <v>232</v>
      </c>
      <c r="J254" s="43" t="s">
        <v>46</v>
      </c>
      <c r="K254" s="43"/>
    </row>
    <row r="255" spans="1:11">
      <c r="A255" s="41">
        <v>45709</v>
      </c>
      <c r="B255" s="43" t="s">
        <v>82</v>
      </c>
      <c r="C255" s="43" t="s">
        <v>514</v>
      </c>
      <c r="D255" s="43" t="s">
        <v>368</v>
      </c>
      <c r="E255" s="43" t="s">
        <v>14</v>
      </c>
      <c r="F255" s="43">
        <v>36525</v>
      </c>
      <c r="G255" s="43">
        <v>0.8</v>
      </c>
      <c r="H255" s="43">
        <f t="shared" si="8"/>
        <v>29220</v>
      </c>
      <c r="I255" s="43" t="s">
        <v>61</v>
      </c>
      <c r="J255" s="43" t="s">
        <v>46</v>
      </c>
      <c r="K255" s="43"/>
    </row>
    <row r="256" spans="1:11">
      <c r="A256" s="41">
        <v>45710</v>
      </c>
      <c r="B256" s="43" t="s">
        <v>82</v>
      </c>
      <c r="C256" s="43" t="s">
        <v>515</v>
      </c>
      <c r="D256" s="43" t="s">
        <v>31</v>
      </c>
      <c r="E256" s="43" t="s">
        <v>14</v>
      </c>
      <c r="F256" s="43">
        <v>30000</v>
      </c>
      <c r="G256" s="43">
        <v>1</v>
      </c>
      <c r="H256" s="43">
        <f t="shared" si="8"/>
        <v>30000</v>
      </c>
      <c r="I256" s="43" t="s">
        <v>300</v>
      </c>
      <c r="J256" s="43" t="s">
        <v>46</v>
      </c>
      <c r="K256" s="43"/>
    </row>
    <row r="257" spans="1:11">
      <c r="A257" s="41">
        <v>45716</v>
      </c>
      <c r="B257" s="43" t="s">
        <v>82</v>
      </c>
      <c r="C257" s="43" t="s">
        <v>516</v>
      </c>
      <c r="D257" s="43" t="s">
        <v>517</v>
      </c>
      <c r="E257" s="43" t="s">
        <v>99</v>
      </c>
      <c r="F257" s="43">
        <v>1000</v>
      </c>
      <c r="G257" s="43">
        <v>1.38</v>
      </c>
      <c r="H257" s="43">
        <f t="shared" si="8"/>
        <v>1380</v>
      </c>
      <c r="I257" s="43" t="s">
        <v>372</v>
      </c>
      <c r="J257" s="43" t="s">
        <v>90</v>
      </c>
      <c r="K257" s="43">
        <v>1.55</v>
      </c>
    </row>
    <row r="258" spans="1:11">
      <c r="A258" s="41">
        <v>45716</v>
      </c>
      <c r="B258" s="43" t="s">
        <v>82</v>
      </c>
      <c r="C258" s="43" t="s">
        <v>518</v>
      </c>
      <c r="D258" s="43" t="s">
        <v>519</v>
      </c>
      <c r="E258" s="43" t="s">
        <v>99</v>
      </c>
      <c r="F258" s="43">
        <v>1510</v>
      </c>
      <c r="G258" s="43">
        <v>1.45</v>
      </c>
      <c r="H258" s="43">
        <f t="shared" si="8"/>
        <v>2189.5</v>
      </c>
      <c r="I258" s="43" t="s">
        <v>520</v>
      </c>
      <c r="J258" s="43"/>
      <c r="K258" s="43"/>
    </row>
    <row r="259" spans="1:11">
      <c r="A259" s="41">
        <v>45701</v>
      </c>
      <c r="B259" s="43" t="s">
        <v>521</v>
      </c>
      <c r="C259" s="43" t="s">
        <v>522</v>
      </c>
      <c r="D259" s="43" t="s">
        <v>523</v>
      </c>
      <c r="E259" s="43" t="s">
        <v>14</v>
      </c>
      <c r="F259" s="43">
        <v>10009</v>
      </c>
      <c r="G259" s="43">
        <v>0.75</v>
      </c>
      <c r="H259" s="43">
        <f t="shared" si="8"/>
        <v>7506.75</v>
      </c>
      <c r="I259" s="43" t="s">
        <v>330</v>
      </c>
      <c r="J259" s="43" t="s">
        <v>46</v>
      </c>
      <c r="K259" s="43"/>
    </row>
    <row r="260" spans="1:11">
      <c r="A260" s="41">
        <v>45701</v>
      </c>
      <c r="B260" s="43" t="s">
        <v>521</v>
      </c>
      <c r="C260" s="43" t="s">
        <v>522</v>
      </c>
      <c r="D260" s="43" t="s">
        <v>252</v>
      </c>
      <c r="E260" s="43" t="s">
        <v>14</v>
      </c>
      <c r="F260" s="43">
        <v>50000</v>
      </c>
      <c r="G260" s="43">
        <v>0.55</v>
      </c>
      <c r="H260" s="43">
        <f t="shared" si="8"/>
        <v>27500</v>
      </c>
      <c r="I260" s="43" t="s">
        <v>61</v>
      </c>
      <c r="J260" s="43" t="s">
        <v>46</v>
      </c>
      <c r="K260" s="43"/>
    </row>
    <row r="261" spans="1:11">
      <c r="A261" s="41">
        <v>45701</v>
      </c>
      <c r="B261" s="43" t="s">
        <v>521</v>
      </c>
      <c r="C261" s="43" t="s">
        <v>522</v>
      </c>
      <c r="D261" s="43" t="s">
        <v>18</v>
      </c>
      <c r="E261" s="43" t="s">
        <v>14</v>
      </c>
      <c r="F261" s="43">
        <v>20000</v>
      </c>
      <c r="G261" s="43">
        <v>0.8</v>
      </c>
      <c r="H261" s="43">
        <f t="shared" si="8"/>
        <v>16000</v>
      </c>
      <c r="I261" s="43" t="s">
        <v>61</v>
      </c>
      <c r="J261" s="43" t="s">
        <v>46</v>
      </c>
      <c r="K261" s="43"/>
    </row>
    <row r="262" spans="1:11">
      <c r="A262" s="41">
        <v>45705</v>
      </c>
      <c r="B262" s="43" t="s">
        <v>521</v>
      </c>
      <c r="C262" s="43" t="s">
        <v>524</v>
      </c>
      <c r="D262" s="43" t="s">
        <v>525</v>
      </c>
      <c r="E262" s="43" t="s">
        <v>14</v>
      </c>
      <c r="F262" s="43">
        <v>5200</v>
      </c>
      <c r="G262" s="43">
        <v>1.1</v>
      </c>
      <c r="H262" s="43">
        <f t="shared" si="8"/>
        <v>5720</v>
      </c>
      <c r="I262" s="43" t="s">
        <v>278</v>
      </c>
      <c r="J262" s="43" t="s">
        <v>46</v>
      </c>
      <c r="K262" s="43"/>
    </row>
    <row r="263" spans="1:11">
      <c r="A263" s="41">
        <v>45706</v>
      </c>
      <c r="B263" s="43" t="s">
        <v>521</v>
      </c>
      <c r="C263" s="43" t="s">
        <v>526</v>
      </c>
      <c r="D263" s="43" t="s">
        <v>183</v>
      </c>
      <c r="E263" s="43" t="s">
        <v>14</v>
      </c>
      <c r="F263" s="43">
        <v>9998</v>
      </c>
      <c r="G263" s="43">
        <v>1.05</v>
      </c>
      <c r="H263" s="43">
        <f t="shared" si="8"/>
        <v>10497.9</v>
      </c>
      <c r="I263" s="43" t="s">
        <v>61</v>
      </c>
      <c r="J263" s="43" t="s">
        <v>46</v>
      </c>
      <c r="K263" s="43"/>
    </row>
    <row r="264" spans="1:11">
      <c r="A264" s="41">
        <v>45708</v>
      </c>
      <c r="B264" s="43" t="s">
        <v>521</v>
      </c>
      <c r="C264" s="43" t="s">
        <v>527</v>
      </c>
      <c r="D264" s="43" t="s">
        <v>183</v>
      </c>
      <c r="E264" s="43" t="s">
        <v>14</v>
      </c>
      <c r="F264" s="43">
        <v>36650</v>
      </c>
      <c r="G264" s="43">
        <v>1.05</v>
      </c>
      <c r="H264" s="43">
        <f t="shared" si="8"/>
        <v>38482.5</v>
      </c>
      <c r="I264" s="43" t="s">
        <v>61</v>
      </c>
      <c r="J264" s="43" t="s">
        <v>46</v>
      </c>
      <c r="K264" s="43"/>
    </row>
    <row r="265" spans="1:11">
      <c r="A265" s="41">
        <v>45712</v>
      </c>
      <c r="B265" s="43" t="s">
        <v>521</v>
      </c>
      <c r="C265" s="43" t="s">
        <v>528</v>
      </c>
      <c r="D265" s="43" t="s">
        <v>374</v>
      </c>
      <c r="E265" s="43" t="s">
        <v>14</v>
      </c>
      <c r="F265" s="43">
        <v>30000</v>
      </c>
      <c r="G265" s="43">
        <v>0.88</v>
      </c>
      <c r="H265" s="43">
        <f t="shared" si="8"/>
        <v>26400</v>
      </c>
      <c r="I265" s="43" t="s">
        <v>271</v>
      </c>
      <c r="J265" s="43" t="s">
        <v>46</v>
      </c>
      <c r="K265" s="43"/>
    </row>
    <row r="266" spans="1:11">
      <c r="A266" s="41">
        <v>45710</v>
      </c>
      <c r="B266" s="43" t="s">
        <v>118</v>
      </c>
      <c r="C266" s="43">
        <v>20250222004</v>
      </c>
      <c r="D266" s="43" t="s">
        <v>529</v>
      </c>
      <c r="E266" s="43" t="s">
        <v>14</v>
      </c>
      <c r="F266" s="43">
        <v>1580</v>
      </c>
      <c r="G266" s="43">
        <v>1.4</v>
      </c>
      <c r="H266" s="43">
        <f t="shared" si="8"/>
        <v>2212</v>
      </c>
      <c r="I266" s="43" t="s">
        <v>77</v>
      </c>
      <c r="J266" s="43"/>
      <c r="K266" s="43"/>
    </row>
    <row r="267" spans="1:11">
      <c r="A267" s="41">
        <v>45709</v>
      </c>
      <c r="B267" s="43" t="s">
        <v>118</v>
      </c>
      <c r="C267" s="43" t="s">
        <v>457</v>
      </c>
      <c r="D267" s="43" t="s">
        <v>530</v>
      </c>
      <c r="E267" s="43" t="s">
        <v>14</v>
      </c>
      <c r="F267" s="43">
        <v>28736</v>
      </c>
      <c r="G267" s="43">
        <v>1.15</v>
      </c>
      <c r="H267" s="43">
        <f t="shared" si="8"/>
        <v>33046.4</v>
      </c>
      <c r="I267" s="43" t="s">
        <v>45</v>
      </c>
      <c r="J267" s="43" t="s">
        <v>46</v>
      </c>
      <c r="K267" s="43"/>
    </row>
    <row r="268" spans="1:11">
      <c r="A268" s="41">
        <v>45715</v>
      </c>
      <c r="B268" s="43" t="s">
        <v>531</v>
      </c>
      <c r="C268" s="87" t="s">
        <v>532</v>
      </c>
      <c r="D268" s="43" t="s">
        <v>53</v>
      </c>
      <c r="E268" s="43" t="s">
        <v>14</v>
      </c>
      <c r="F268" s="43">
        <v>2010</v>
      </c>
      <c r="G268" s="43">
        <v>1.28</v>
      </c>
      <c r="H268" s="43">
        <f t="shared" si="8"/>
        <v>2572.8</v>
      </c>
      <c r="I268" s="43" t="s">
        <v>77</v>
      </c>
      <c r="J268" s="43"/>
      <c r="K268" s="43"/>
    </row>
    <row r="269" spans="1:11">
      <c r="A269" s="41">
        <v>45715</v>
      </c>
      <c r="B269" s="43" t="s">
        <v>531</v>
      </c>
      <c r="C269" s="87" t="s">
        <v>532</v>
      </c>
      <c r="D269" s="43" t="s">
        <v>533</v>
      </c>
      <c r="E269" s="43" t="s">
        <v>14</v>
      </c>
      <c r="F269" s="43">
        <v>10</v>
      </c>
      <c r="G269" s="43">
        <v>3.6</v>
      </c>
      <c r="H269" s="43">
        <f t="shared" si="8"/>
        <v>36</v>
      </c>
      <c r="I269" s="43" t="s">
        <v>32</v>
      </c>
      <c r="J269" s="43"/>
      <c r="K269" s="43"/>
    </row>
    <row r="270" spans="1:11">
      <c r="A270" s="41">
        <v>45712</v>
      </c>
      <c r="B270" s="43" t="s">
        <v>534</v>
      </c>
      <c r="C270" s="87" t="s">
        <v>535</v>
      </c>
      <c r="D270" s="43" t="s">
        <v>130</v>
      </c>
      <c r="E270" s="43" t="s">
        <v>60</v>
      </c>
      <c r="F270" s="43">
        <v>5050</v>
      </c>
      <c r="G270" s="43">
        <v>0.38</v>
      </c>
      <c r="H270" s="43">
        <f t="shared" si="8"/>
        <v>1919</v>
      </c>
      <c r="I270" s="43" t="s">
        <v>330</v>
      </c>
      <c r="J270" s="43"/>
      <c r="K270" s="43"/>
    </row>
    <row r="271" spans="1:11">
      <c r="A271" s="41">
        <v>45712</v>
      </c>
      <c r="B271" s="43" t="s">
        <v>534</v>
      </c>
      <c r="C271" s="87" t="s">
        <v>535</v>
      </c>
      <c r="D271" s="43" t="s">
        <v>130</v>
      </c>
      <c r="E271" s="43" t="s">
        <v>60</v>
      </c>
      <c r="F271" s="43">
        <v>20000</v>
      </c>
      <c r="G271" s="43">
        <v>0.38</v>
      </c>
      <c r="H271" s="43">
        <f t="shared" si="8"/>
        <v>7600</v>
      </c>
      <c r="I271" s="43" t="s">
        <v>243</v>
      </c>
      <c r="J271" s="43"/>
      <c r="K271" s="43"/>
    </row>
    <row r="272" spans="1:11">
      <c r="A272" s="41">
        <v>45712</v>
      </c>
      <c r="B272" s="43" t="s">
        <v>534</v>
      </c>
      <c r="C272" s="87" t="s">
        <v>535</v>
      </c>
      <c r="D272" s="43" t="s">
        <v>115</v>
      </c>
      <c r="E272" s="43" t="s">
        <v>60</v>
      </c>
      <c r="F272" s="43">
        <v>2050</v>
      </c>
      <c r="G272" s="43">
        <v>0.4</v>
      </c>
      <c r="H272" s="43">
        <f t="shared" si="8"/>
        <v>820</v>
      </c>
      <c r="I272" s="43" t="s">
        <v>330</v>
      </c>
      <c r="J272" s="43"/>
      <c r="K272" s="43"/>
    </row>
    <row r="273" spans="1:11">
      <c r="A273" s="41">
        <v>45712</v>
      </c>
      <c r="B273" s="43" t="s">
        <v>534</v>
      </c>
      <c r="C273" s="87" t="s">
        <v>535</v>
      </c>
      <c r="D273" s="43" t="s">
        <v>115</v>
      </c>
      <c r="E273" s="43" t="s">
        <v>60</v>
      </c>
      <c r="F273" s="43">
        <v>510</v>
      </c>
      <c r="G273" s="43">
        <v>0.4</v>
      </c>
      <c r="H273" s="43">
        <f t="shared" si="8"/>
        <v>204</v>
      </c>
      <c r="I273" s="43" t="s">
        <v>330</v>
      </c>
      <c r="J273" s="43"/>
      <c r="K273" s="43"/>
    </row>
    <row r="274" spans="1:11">
      <c r="A274" s="41">
        <v>45713</v>
      </c>
      <c r="B274" s="43" t="s">
        <v>534</v>
      </c>
      <c r="C274" s="87" t="s">
        <v>536</v>
      </c>
      <c r="D274" s="43" t="s">
        <v>130</v>
      </c>
      <c r="E274" s="43" t="s">
        <v>60</v>
      </c>
      <c r="F274" s="43">
        <v>40000</v>
      </c>
      <c r="G274" s="43">
        <v>0.38</v>
      </c>
      <c r="H274" s="43">
        <f t="shared" si="8"/>
        <v>15200</v>
      </c>
      <c r="I274" s="43" t="s">
        <v>243</v>
      </c>
      <c r="J274" s="43"/>
      <c r="K274" s="43"/>
    </row>
    <row r="275" spans="1:11">
      <c r="A275" s="41">
        <v>45714</v>
      </c>
      <c r="B275" s="43" t="s">
        <v>534</v>
      </c>
      <c r="C275" s="87" t="s">
        <v>537</v>
      </c>
      <c r="D275" s="43" t="s">
        <v>130</v>
      </c>
      <c r="E275" s="43" t="s">
        <v>60</v>
      </c>
      <c r="F275" s="43">
        <v>40000</v>
      </c>
      <c r="G275" s="43">
        <v>0.38</v>
      </c>
      <c r="H275" s="43">
        <f t="shared" si="8"/>
        <v>15200</v>
      </c>
      <c r="I275" s="43" t="s">
        <v>243</v>
      </c>
      <c r="J275" s="43"/>
      <c r="K275" s="43"/>
    </row>
    <row r="276" spans="1:11">
      <c r="A276" s="41">
        <v>45708</v>
      </c>
      <c r="B276" s="43" t="s">
        <v>538</v>
      </c>
      <c r="C276" s="43"/>
      <c r="D276" s="43" t="s">
        <v>493</v>
      </c>
      <c r="E276" s="43" t="s">
        <v>14</v>
      </c>
      <c r="F276" s="43">
        <v>30000</v>
      </c>
      <c r="G276" s="43">
        <v>0.78</v>
      </c>
      <c r="H276" s="43">
        <f t="shared" ref="H276:H288" si="9">F276*G276</f>
        <v>23400</v>
      </c>
      <c r="I276" s="43" t="s">
        <v>61</v>
      </c>
      <c r="J276" s="43" t="s">
        <v>46</v>
      </c>
      <c r="K276" s="43"/>
    </row>
    <row r="277" spans="1:11">
      <c r="A277" s="41">
        <v>45711</v>
      </c>
      <c r="B277" s="43" t="s">
        <v>538</v>
      </c>
      <c r="C277" s="43"/>
      <c r="D277" s="43" t="s">
        <v>493</v>
      </c>
      <c r="E277" s="43" t="s">
        <v>14</v>
      </c>
      <c r="F277" s="43">
        <v>20000</v>
      </c>
      <c r="G277" s="43">
        <v>0.78</v>
      </c>
      <c r="H277" s="43">
        <f t="shared" si="9"/>
        <v>15600</v>
      </c>
      <c r="I277" s="43" t="s">
        <v>61</v>
      </c>
      <c r="J277" s="43" t="s">
        <v>46</v>
      </c>
      <c r="K277" s="43"/>
    </row>
    <row r="278" spans="1:11">
      <c r="A278" s="41">
        <v>45711</v>
      </c>
      <c r="B278" s="43" t="s">
        <v>272</v>
      </c>
      <c r="C278" s="43">
        <v>20250223</v>
      </c>
      <c r="D278" s="43" t="s">
        <v>252</v>
      </c>
      <c r="E278" s="43" t="s">
        <v>14</v>
      </c>
      <c r="F278" s="43">
        <v>30000</v>
      </c>
      <c r="G278" s="43">
        <v>0.58</v>
      </c>
      <c r="H278" s="43">
        <f t="shared" si="9"/>
        <v>17400</v>
      </c>
      <c r="I278" s="43" t="s">
        <v>61</v>
      </c>
      <c r="J278" s="43" t="s">
        <v>46</v>
      </c>
      <c r="K278" s="43"/>
    </row>
    <row r="279" spans="1:11">
      <c r="A279" s="41">
        <v>45711</v>
      </c>
      <c r="B279" s="43" t="s">
        <v>272</v>
      </c>
      <c r="C279" s="43">
        <v>20250223</v>
      </c>
      <c r="D279" s="43" t="s">
        <v>18</v>
      </c>
      <c r="E279" s="43" t="s">
        <v>14</v>
      </c>
      <c r="F279" s="43">
        <v>20000</v>
      </c>
      <c r="G279" s="43">
        <v>0.72</v>
      </c>
      <c r="H279" s="43">
        <f t="shared" si="9"/>
        <v>14400</v>
      </c>
      <c r="I279" s="43" t="s">
        <v>61</v>
      </c>
      <c r="J279" s="43" t="s">
        <v>46</v>
      </c>
      <c r="K279" s="43"/>
    </row>
    <row r="280" spans="1:11">
      <c r="A280" s="41">
        <v>45708</v>
      </c>
      <c r="B280" s="43" t="s">
        <v>539</v>
      </c>
      <c r="C280" s="43" t="s">
        <v>540</v>
      </c>
      <c r="D280" s="43" t="s">
        <v>368</v>
      </c>
      <c r="E280" s="43" t="s">
        <v>14</v>
      </c>
      <c r="F280" s="43">
        <v>30000</v>
      </c>
      <c r="G280" s="43">
        <v>0.78</v>
      </c>
      <c r="H280" s="43">
        <f t="shared" si="9"/>
        <v>23400</v>
      </c>
      <c r="I280" s="43" t="s">
        <v>541</v>
      </c>
      <c r="J280" s="43" t="s">
        <v>46</v>
      </c>
      <c r="K280" s="43"/>
    </row>
    <row r="281" spans="1:11">
      <c r="A281" s="41">
        <v>45707</v>
      </c>
      <c r="B281" s="43" t="s">
        <v>269</v>
      </c>
      <c r="C281" s="43" t="s">
        <v>542</v>
      </c>
      <c r="D281" s="43" t="s">
        <v>543</v>
      </c>
      <c r="E281" s="43" t="s">
        <v>14</v>
      </c>
      <c r="F281" s="43">
        <v>25813</v>
      </c>
      <c r="G281" s="43">
        <v>1.25</v>
      </c>
      <c r="H281" s="43">
        <f t="shared" si="9"/>
        <v>32266.25</v>
      </c>
      <c r="I281" s="43" t="s">
        <v>271</v>
      </c>
      <c r="J281" s="43" t="s">
        <v>46</v>
      </c>
      <c r="K281" s="43"/>
    </row>
    <row r="282" spans="1:11">
      <c r="A282" s="41">
        <v>45715</v>
      </c>
      <c r="B282" s="43" t="s">
        <v>215</v>
      </c>
      <c r="C282" s="43" t="s">
        <v>544</v>
      </c>
      <c r="D282" s="43" t="s">
        <v>217</v>
      </c>
      <c r="E282" s="43" t="s">
        <v>545</v>
      </c>
      <c r="F282" s="43">
        <v>300</v>
      </c>
      <c r="G282" s="43">
        <v>3</v>
      </c>
      <c r="H282" s="43">
        <f t="shared" si="9"/>
        <v>900</v>
      </c>
      <c r="I282" s="43" t="s">
        <v>546</v>
      </c>
      <c r="J282" s="43"/>
      <c r="K282" s="43"/>
    </row>
    <row r="283" spans="1:11">
      <c r="A283" s="41">
        <v>45716</v>
      </c>
      <c r="B283" s="43" t="s">
        <v>215</v>
      </c>
      <c r="C283" s="43" t="s">
        <v>547</v>
      </c>
      <c r="D283" s="43" t="s">
        <v>217</v>
      </c>
      <c r="E283" s="43" t="s">
        <v>218</v>
      </c>
      <c r="F283" s="43">
        <v>200</v>
      </c>
      <c r="G283" s="43">
        <v>3.5</v>
      </c>
      <c r="H283" s="43">
        <f t="shared" si="9"/>
        <v>700</v>
      </c>
      <c r="I283" s="43" t="s">
        <v>546</v>
      </c>
      <c r="J283" s="43"/>
      <c r="K283" s="43"/>
    </row>
    <row r="284" spans="1:11">
      <c r="A284" s="41">
        <v>45716</v>
      </c>
      <c r="B284" s="43" t="s">
        <v>215</v>
      </c>
      <c r="C284" s="43" t="s">
        <v>547</v>
      </c>
      <c r="D284" s="43" t="s">
        <v>217</v>
      </c>
      <c r="E284" s="43" t="s">
        <v>548</v>
      </c>
      <c r="F284" s="43">
        <v>150</v>
      </c>
      <c r="G284" s="43">
        <v>2.9</v>
      </c>
      <c r="H284" s="43">
        <f t="shared" si="9"/>
        <v>435</v>
      </c>
      <c r="I284" s="43" t="s">
        <v>546</v>
      </c>
      <c r="J284" s="43"/>
      <c r="K284" s="43"/>
    </row>
    <row r="285" spans="1:11">
      <c r="A285" s="41">
        <v>45705</v>
      </c>
      <c r="B285" s="43" t="s">
        <v>439</v>
      </c>
      <c r="C285" s="43" t="s">
        <v>549</v>
      </c>
      <c r="D285" s="43" t="s">
        <v>441</v>
      </c>
      <c r="E285" s="43" t="s">
        <v>550</v>
      </c>
      <c r="F285" s="43">
        <v>100000</v>
      </c>
      <c r="G285" s="43">
        <v>0.12</v>
      </c>
      <c r="H285" s="43">
        <f t="shared" si="9"/>
        <v>12000</v>
      </c>
      <c r="I285" s="43" t="s">
        <v>61</v>
      </c>
      <c r="J285" s="43" t="s">
        <v>46</v>
      </c>
      <c r="K285" s="43"/>
    </row>
    <row r="286" spans="1:11">
      <c r="A286" s="41">
        <v>45714</v>
      </c>
      <c r="B286" s="43" t="s">
        <v>551</v>
      </c>
      <c r="C286" s="43" t="s">
        <v>500</v>
      </c>
      <c r="D286" s="43" t="s">
        <v>552</v>
      </c>
      <c r="E286" s="43" t="s">
        <v>550</v>
      </c>
      <c r="F286" s="43">
        <v>160000</v>
      </c>
      <c r="G286" s="43">
        <v>0.48</v>
      </c>
      <c r="H286" s="43">
        <f t="shared" si="9"/>
        <v>76800</v>
      </c>
      <c r="I286" s="43" t="s">
        <v>61</v>
      </c>
      <c r="J286" s="43" t="s">
        <v>46</v>
      </c>
      <c r="K286" s="43" t="s">
        <v>553</v>
      </c>
    </row>
    <row r="287" spans="1:11">
      <c r="A287" s="41">
        <v>45698</v>
      </c>
      <c r="B287" s="43" t="s">
        <v>138</v>
      </c>
      <c r="C287" s="43">
        <v>2025301</v>
      </c>
      <c r="D287" s="43" t="s">
        <v>554</v>
      </c>
      <c r="E287" s="43" t="s">
        <v>555</v>
      </c>
      <c r="F287" s="43">
        <v>10000</v>
      </c>
      <c r="G287" s="43">
        <v>0.03</v>
      </c>
      <c r="H287" s="43">
        <f t="shared" si="9"/>
        <v>300</v>
      </c>
      <c r="I287" s="43" t="s">
        <v>143</v>
      </c>
      <c r="J287" s="43" t="s">
        <v>46</v>
      </c>
      <c r="K287" s="43"/>
    </row>
    <row r="288" spans="1:11">
      <c r="A288" s="41">
        <v>45698</v>
      </c>
      <c r="B288" s="43" t="s">
        <v>138</v>
      </c>
      <c r="C288" s="43">
        <v>2025301</v>
      </c>
      <c r="D288" s="43" t="s">
        <v>285</v>
      </c>
      <c r="E288" s="43" t="s">
        <v>556</v>
      </c>
      <c r="F288" s="43">
        <v>7500</v>
      </c>
      <c r="G288" s="43">
        <v>0.03</v>
      </c>
      <c r="H288" s="43">
        <f t="shared" si="9"/>
        <v>225</v>
      </c>
      <c r="I288" s="43" t="s">
        <v>283</v>
      </c>
      <c r="J288" s="43" t="s">
        <v>46</v>
      </c>
      <c r="K288" s="43"/>
    </row>
    <row r="289" spans="1:11">
      <c r="A289" s="41">
        <v>45698</v>
      </c>
      <c r="B289" s="43" t="s">
        <v>138</v>
      </c>
      <c r="C289" s="43">
        <v>2025301</v>
      </c>
      <c r="D289" s="43" t="s">
        <v>18</v>
      </c>
      <c r="E289" s="43" t="s">
        <v>556</v>
      </c>
      <c r="F289" s="43">
        <v>11000</v>
      </c>
      <c r="G289" s="43"/>
      <c r="H289" s="43">
        <v>150</v>
      </c>
      <c r="I289" s="43" t="s">
        <v>149</v>
      </c>
      <c r="J289" s="43" t="s">
        <v>46</v>
      </c>
      <c r="K289" s="43"/>
    </row>
    <row r="290" spans="1:11">
      <c r="A290" s="41">
        <v>45698</v>
      </c>
      <c r="B290" s="43" t="s">
        <v>138</v>
      </c>
      <c r="C290" s="43">
        <v>2025301</v>
      </c>
      <c r="D290" s="43" t="s">
        <v>18</v>
      </c>
      <c r="E290" s="43" t="s">
        <v>556</v>
      </c>
      <c r="F290" s="43">
        <v>12000</v>
      </c>
      <c r="G290" s="43"/>
      <c r="H290" s="43">
        <v>150</v>
      </c>
      <c r="I290" s="43" t="s">
        <v>149</v>
      </c>
      <c r="J290" s="43" t="s">
        <v>46</v>
      </c>
      <c r="K290" s="43"/>
    </row>
    <row r="291" spans="1:11">
      <c r="A291" s="41">
        <v>45698</v>
      </c>
      <c r="B291" s="43" t="s">
        <v>138</v>
      </c>
      <c r="C291" s="43">
        <v>2025301</v>
      </c>
      <c r="D291" s="43" t="s">
        <v>557</v>
      </c>
      <c r="E291" s="43" t="s">
        <v>558</v>
      </c>
      <c r="F291" s="43">
        <v>3300</v>
      </c>
      <c r="G291" s="43"/>
      <c r="H291" s="43">
        <v>100</v>
      </c>
      <c r="I291" s="43" t="s">
        <v>433</v>
      </c>
      <c r="J291" s="43" t="s">
        <v>46</v>
      </c>
      <c r="K291" s="43"/>
    </row>
    <row r="292" spans="1:11">
      <c r="A292" s="41">
        <v>45698</v>
      </c>
      <c r="B292" s="43" t="s">
        <v>138</v>
      </c>
      <c r="C292" s="43">
        <v>2025301</v>
      </c>
      <c r="D292" s="43" t="s">
        <v>18</v>
      </c>
      <c r="E292" s="43" t="s">
        <v>556</v>
      </c>
      <c r="F292" s="43">
        <v>12000</v>
      </c>
      <c r="G292" s="43"/>
      <c r="H292" s="43">
        <v>150</v>
      </c>
      <c r="I292" s="43" t="s">
        <v>149</v>
      </c>
      <c r="J292" s="43" t="s">
        <v>46</v>
      </c>
      <c r="K292" s="43"/>
    </row>
    <row r="293" spans="1:11">
      <c r="A293" s="41">
        <v>45698</v>
      </c>
      <c r="B293" s="43" t="s">
        <v>138</v>
      </c>
      <c r="C293" s="43">
        <v>2025301</v>
      </c>
      <c r="D293" s="43" t="s">
        <v>141</v>
      </c>
      <c r="E293" s="43" t="s">
        <v>559</v>
      </c>
      <c r="F293" s="43">
        <v>10000</v>
      </c>
      <c r="G293" s="43">
        <v>0.03</v>
      </c>
      <c r="H293" s="43">
        <f>F293*G293</f>
        <v>300</v>
      </c>
      <c r="I293" s="43" t="s">
        <v>143</v>
      </c>
      <c r="J293" s="43"/>
      <c r="K293" s="43"/>
    </row>
    <row r="294" spans="1:11">
      <c r="A294" s="41">
        <v>45715</v>
      </c>
      <c r="B294" s="43" t="s">
        <v>138</v>
      </c>
      <c r="C294" s="43">
        <v>2025302</v>
      </c>
      <c r="D294" s="43" t="s">
        <v>560</v>
      </c>
      <c r="E294" s="43" t="s">
        <v>556</v>
      </c>
      <c r="F294" s="43">
        <v>25000</v>
      </c>
      <c r="G294" s="43">
        <v>0.01</v>
      </c>
      <c r="H294" s="43">
        <f>F294*G294</f>
        <v>250</v>
      </c>
      <c r="I294" s="43" t="s">
        <v>45</v>
      </c>
      <c r="J294" s="43"/>
      <c r="K294" s="43"/>
    </row>
    <row r="295" spans="1:11">
      <c r="A295" s="41">
        <v>45715</v>
      </c>
      <c r="B295" s="43" t="s">
        <v>138</v>
      </c>
      <c r="C295" s="43">
        <v>2025302</v>
      </c>
      <c r="D295" s="43" t="s">
        <v>560</v>
      </c>
      <c r="E295" s="43" t="s">
        <v>561</v>
      </c>
      <c r="F295" s="43">
        <v>50000</v>
      </c>
      <c r="G295" s="43">
        <v>0.025</v>
      </c>
      <c r="H295" s="43">
        <f>F295*G295</f>
        <v>1250</v>
      </c>
      <c r="I295" s="43" t="s">
        <v>45</v>
      </c>
      <c r="J295" s="43"/>
      <c r="K295" s="43"/>
    </row>
    <row r="296" spans="1:11">
      <c r="A296" s="41">
        <v>45715</v>
      </c>
      <c r="B296" s="43" t="s">
        <v>138</v>
      </c>
      <c r="C296" s="43">
        <v>2025302</v>
      </c>
      <c r="D296" s="43" t="s">
        <v>410</v>
      </c>
      <c r="E296" s="43" t="s">
        <v>556</v>
      </c>
      <c r="F296" s="43">
        <v>2500</v>
      </c>
      <c r="G296" s="43"/>
      <c r="H296" s="43">
        <v>100</v>
      </c>
      <c r="I296" s="43"/>
      <c r="J296" s="43"/>
      <c r="K296" s="43"/>
    </row>
    <row r="297" spans="1:11">
      <c r="A297" s="43" t="s">
        <v>279</v>
      </c>
      <c r="B297" s="43"/>
      <c r="C297" s="43"/>
      <c r="D297" s="43"/>
      <c r="E297" s="43"/>
      <c r="F297" s="43"/>
      <c r="G297" s="43"/>
      <c r="H297" s="53">
        <f>SUM(H2:H296)</f>
        <v>2718104.51</v>
      </c>
      <c r="I297" s="53"/>
      <c r="J297" s="53"/>
      <c r="K297" s="53"/>
    </row>
  </sheetData>
  <autoFilter xmlns:etc="http://www.wps.cn/officeDocument/2017/etCustomData" ref="A1:K297" etc:filterBottomFollowUsedRange="0">
    <extLst/>
  </autoFilter>
  <mergeCells count="1">
    <mergeCell ref="A297:G29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3"/>
  <sheetViews>
    <sheetView workbookViewId="0">
      <selection activeCell="A1" sqref="A1"/>
    </sheetView>
  </sheetViews>
  <sheetFormatPr defaultColWidth="9" defaultRowHeight="13.5"/>
  <cols>
    <col min="2" max="2" width="15.125" customWidth="1"/>
    <col min="3" max="3" width="22.625" customWidth="1"/>
    <col min="4" max="4" width="27.25" customWidth="1"/>
    <col min="5" max="5" width="33.625" customWidth="1"/>
    <col min="8" max="8" width="11.625"/>
    <col min="9" max="9" width="14.625" customWidth="1"/>
    <col min="10" max="10" width="14.25" customWidth="1"/>
  </cols>
  <sheetData>
    <row r="1" s="32" customFormat="1" ht="19" customHeight="1" spans="1:1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8" t="s">
        <v>7</v>
      </c>
      <c r="I1" s="76" t="s">
        <v>8</v>
      </c>
      <c r="J1" s="76" t="s">
        <v>9</v>
      </c>
      <c r="K1" s="76" t="s">
        <v>10</v>
      </c>
    </row>
    <row r="2" s="35" customFormat="1" ht="14.25" spans="1:11">
      <c r="A2" s="44">
        <v>45717</v>
      </c>
      <c r="B2" s="45" t="s">
        <v>477</v>
      </c>
      <c r="C2" s="45" t="s">
        <v>562</v>
      </c>
      <c r="D2" s="45" t="s">
        <v>474</v>
      </c>
      <c r="E2" s="45" t="s">
        <v>14</v>
      </c>
      <c r="F2" s="45">
        <v>15000</v>
      </c>
      <c r="G2" s="45">
        <v>2.25</v>
      </c>
      <c r="H2" s="80">
        <f t="shared" ref="H2:H31" si="0">F2*G2</f>
        <v>33750</v>
      </c>
      <c r="I2" s="45" t="s">
        <v>94</v>
      </c>
      <c r="J2" s="45"/>
      <c r="K2" s="45"/>
    </row>
    <row r="3" s="35" customFormat="1" ht="14.25" spans="1:11">
      <c r="A3" s="44">
        <v>45721</v>
      </c>
      <c r="B3" s="45" t="s">
        <v>477</v>
      </c>
      <c r="C3" s="45" t="s">
        <v>563</v>
      </c>
      <c r="D3" s="45" t="s">
        <v>474</v>
      </c>
      <c r="E3" s="45" t="s">
        <v>14</v>
      </c>
      <c r="F3" s="45">
        <v>14000</v>
      </c>
      <c r="G3" s="45">
        <v>2.25</v>
      </c>
      <c r="H3" s="80">
        <f t="shared" si="0"/>
        <v>31500</v>
      </c>
      <c r="I3" s="45" t="s">
        <v>94</v>
      </c>
      <c r="J3" s="45"/>
      <c r="K3" s="45"/>
    </row>
    <row r="4" s="35" customFormat="1" ht="14.25" spans="1:11">
      <c r="A4" s="44">
        <v>45721</v>
      </c>
      <c r="B4" s="45" t="s">
        <v>477</v>
      </c>
      <c r="C4" s="45" t="s">
        <v>563</v>
      </c>
      <c r="D4" s="45" t="s">
        <v>93</v>
      </c>
      <c r="E4" s="45" t="s">
        <v>14</v>
      </c>
      <c r="F4" s="45">
        <v>3000</v>
      </c>
      <c r="G4" s="45">
        <v>3.75</v>
      </c>
      <c r="H4" s="80">
        <f t="shared" si="0"/>
        <v>11250</v>
      </c>
      <c r="I4" s="45" t="s">
        <v>94</v>
      </c>
      <c r="J4" s="45"/>
      <c r="K4" s="45"/>
    </row>
    <row r="5" s="35" customFormat="1" ht="14.25" spans="1:11">
      <c r="A5" s="44">
        <v>45721</v>
      </c>
      <c r="B5" s="45" t="s">
        <v>477</v>
      </c>
      <c r="C5" s="45" t="s">
        <v>563</v>
      </c>
      <c r="D5" s="45" t="s">
        <v>564</v>
      </c>
      <c r="E5" s="45" t="s">
        <v>14</v>
      </c>
      <c r="F5" s="45">
        <v>60</v>
      </c>
      <c r="G5" s="45">
        <v>4.2</v>
      </c>
      <c r="H5" s="80">
        <f t="shared" si="0"/>
        <v>252</v>
      </c>
      <c r="I5" s="45" t="s">
        <v>32</v>
      </c>
      <c r="J5" s="45"/>
      <c r="K5" s="45"/>
    </row>
    <row r="6" s="35" customFormat="1" ht="14.25" spans="1:11">
      <c r="A6" s="44">
        <v>45729</v>
      </c>
      <c r="B6" s="45" t="s">
        <v>477</v>
      </c>
      <c r="C6" s="45" t="s">
        <v>565</v>
      </c>
      <c r="D6" s="45" t="s">
        <v>474</v>
      </c>
      <c r="E6" s="45" t="s">
        <v>14</v>
      </c>
      <c r="F6" s="45">
        <v>10000</v>
      </c>
      <c r="G6" s="45">
        <v>2.25</v>
      </c>
      <c r="H6" s="80">
        <f t="shared" si="0"/>
        <v>22500</v>
      </c>
      <c r="I6" s="45" t="s">
        <v>94</v>
      </c>
      <c r="J6" s="45"/>
      <c r="K6" s="45"/>
    </row>
    <row r="7" s="35" customFormat="1" ht="14.25" spans="1:11">
      <c r="A7" s="44">
        <v>45733</v>
      </c>
      <c r="B7" s="45" t="s">
        <v>477</v>
      </c>
      <c r="C7" s="45" t="s">
        <v>566</v>
      </c>
      <c r="D7" s="45" t="s">
        <v>474</v>
      </c>
      <c r="E7" s="45" t="s">
        <v>14</v>
      </c>
      <c r="F7" s="45">
        <v>10000</v>
      </c>
      <c r="G7" s="45">
        <v>2.25</v>
      </c>
      <c r="H7" s="80">
        <f t="shared" si="0"/>
        <v>22500</v>
      </c>
      <c r="I7" s="45" t="s">
        <v>94</v>
      </c>
      <c r="J7" s="45"/>
      <c r="K7" s="45"/>
    </row>
    <row r="8" s="35" customFormat="1" ht="14.25" spans="1:11">
      <c r="A8" s="44">
        <v>45733</v>
      </c>
      <c r="B8" s="45" t="s">
        <v>477</v>
      </c>
      <c r="C8" s="45" t="s">
        <v>566</v>
      </c>
      <c r="D8" s="45" t="s">
        <v>95</v>
      </c>
      <c r="E8" s="45" t="s">
        <v>14</v>
      </c>
      <c r="F8" s="45">
        <v>53</v>
      </c>
      <c r="G8" s="45">
        <v>4.5</v>
      </c>
      <c r="H8" s="80">
        <f t="shared" si="0"/>
        <v>238.5</v>
      </c>
      <c r="I8" s="45" t="s">
        <v>94</v>
      </c>
      <c r="J8" s="45"/>
      <c r="K8" s="45"/>
    </row>
    <row r="9" s="35" customFormat="1" ht="14.25" spans="1:11">
      <c r="A9" s="44">
        <v>45744</v>
      </c>
      <c r="B9" s="45" t="s">
        <v>477</v>
      </c>
      <c r="C9" s="45" t="s">
        <v>567</v>
      </c>
      <c r="D9" s="45" t="s">
        <v>93</v>
      </c>
      <c r="E9" s="45" t="s">
        <v>14</v>
      </c>
      <c r="F9" s="45">
        <v>1000</v>
      </c>
      <c r="G9" s="45">
        <v>3.8</v>
      </c>
      <c r="H9" s="80">
        <f t="shared" si="0"/>
        <v>3800</v>
      </c>
      <c r="I9" s="45" t="s">
        <v>94</v>
      </c>
      <c r="J9" s="45"/>
      <c r="K9" s="45"/>
    </row>
    <row r="10" ht="14.25" spans="1:11">
      <c r="A10" s="41">
        <v>45717</v>
      </c>
      <c r="B10" s="43" t="s">
        <v>177</v>
      </c>
      <c r="C10" s="43" t="s">
        <v>568</v>
      </c>
      <c r="D10" s="43" t="s">
        <v>30</v>
      </c>
      <c r="E10" s="43" t="s">
        <v>14</v>
      </c>
      <c r="F10" s="43">
        <v>103</v>
      </c>
      <c r="G10" s="43">
        <v>2.1</v>
      </c>
      <c r="H10" s="81">
        <f t="shared" si="0"/>
        <v>216.3</v>
      </c>
      <c r="I10" s="43" t="s">
        <v>28</v>
      </c>
      <c r="J10" s="43"/>
      <c r="K10" s="43"/>
    </row>
    <row r="11" ht="14.25" spans="1:11">
      <c r="A11" s="41">
        <v>45717</v>
      </c>
      <c r="B11" s="43" t="s">
        <v>177</v>
      </c>
      <c r="C11" s="43" t="s">
        <v>568</v>
      </c>
      <c r="D11" s="43" t="s">
        <v>569</v>
      </c>
      <c r="E11" s="43" t="s">
        <v>14</v>
      </c>
      <c r="F11" s="43">
        <v>53</v>
      </c>
      <c r="G11" s="43">
        <v>1.9</v>
      </c>
      <c r="H11" s="81">
        <f t="shared" si="0"/>
        <v>100.7</v>
      </c>
      <c r="I11" s="43" t="s">
        <v>28</v>
      </c>
      <c r="J11" s="43"/>
      <c r="K11" s="43"/>
    </row>
    <row r="12" ht="14.25" spans="1:11">
      <c r="A12" s="41">
        <v>45717</v>
      </c>
      <c r="B12" s="43" t="s">
        <v>177</v>
      </c>
      <c r="C12" s="43" t="s">
        <v>568</v>
      </c>
      <c r="D12" s="43" t="s">
        <v>285</v>
      </c>
      <c r="E12" s="43" t="s">
        <v>14</v>
      </c>
      <c r="F12" s="43">
        <v>155</v>
      </c>
      <c r="G12" s="43">
        <v>1.9</v>
      </c>
      <c r="H12" s="81">
        <f t="shared" si="0"/>
        <v>294.5</v>
      </c>
      <c r="I12" s="43" t="s">
        <v>28</v>
      </c>
      <c r="J12" s="43"/>
      <c r="K12" s="43"/>
    </row>
    <row r="13" ht="14.25" spans="1:11">
      <c r="A13" s="41">
        <v>45717</v>
      </c>
      <c r="B13" s="43" t="s">
        <v>177</v>
      </c>
      <c r="C13" s="43" t="s">
        <v>568</v>
      </c>
      <c r="D13" s="43">
        <v>-300</v>
      </c>
      <c r="E13" s="43" t="s">
        <v>14</v>
      </c>
      <c r="F13" s="43">
        <v>305</v>
      </c>
      <c r="G13" s="43">
        <v>1.25</v>
      </c>
      <c r="H13" s="81">
        <f t="shared" si="0"/>
        <v>381.25</v>
      </c>
      <c r="I13" s="43" t="s">
        <v>570</v>
      </c>
      <c r="J13" s="43"/>
      <c r="K13" s="43"/>
    </row>
    <row r="14" ht="14.25" spans="1:11">
      <c r="A14" s="41">
        <v>45717</v>
      </c>
      <c r="B14" s="43" t="s">
        <v>177</v>
      </c>
      <c r="C14" s="43" t="s">
        <v>568</v>
      </c>
      <c r="D14" s="43" t="s">
        <v>181</v>
      </c>
      <c r="E14" s="43" t="s">
        <v>14</v>
      </c>
      <c r="F14" s="43">
        <v>45</v>
      </c>
      <c r="G14" s="43">
        <v>2.15</v>
      </c>
      <c r="H14" s="81">
        <f t="shared" si="0"/>
        <v>96.75</v>
      </c>
      <c r="I14" s="43" t="s">
        <v>15</v>
      </c>
      <c r="J14" s="43"/>
      <c r="K14" s="43"/>
    </row>
    <row r="15" ht="14.25" spans="1:11">
      <c r="A15" s="41">
        <v>45719</v>
      </c>
      <c r="B15" s="43" t="s">
        <v>177</v>
      </c>
      <c r="C15" s="43" t="s">
        <v>571</v>
      </c>
      <c r="D15" s="43" t="s">
        <v>282</v>
      </c>
      <c r="E15" s="43" t="s">
        <v>14</v>
      </c>
      <c r="F15" s="43">
        <v>1550</v>
      </c>
      <c r="G15" s="43">
        <v>1</v>
      </c>
      <c r="H15" s="81">
        <f t="shared" si="0"/>
        <v>1550</v>
      </c>
      <c r="I15" s="43" t="s">
        <v>283</v>
      </c>
      <c r="J15" s="43"/>
      <c r="K15" s="43"/>
    </row>
    <row r="16" ht="14.25" spans="1:11">
      <c r="A16" s="41">
        <v>45721</v>
      </c>
      <c r="B16" s="43" t="s">
        <v>177</v>
      </c>
      <c r="C16" s="43" t="s">
        <v>572</v>
      </c>
      <c r="D16" s="43" t="s">
        <v>30</v>
      </c>
      <c r="E16" s="43" t="s">
        <v>14</v>
      </c>
      <c r="F16" s="43">
        <v>37</v>
      </c>
      <c r="G16" s="43">
        <v>2.1</v>
      </c>
      <c r="H16" s="81">
        <f t="shared" si="0"/>
        <v>77.7</v>
      </c>
      <c r="I16" s="43" t="s">
        <v>32</v>
      </c>
      <c r="J16" s="43"/>
      <c r="K16" s="43"/>
    </row>
    <row r="17" ht="14.25" spans="1:11">
      <c r="A17" s="41">
        <v>45721</v>
      </c>
      <c r="B17" s="43" t="s">
        <v>177</v>
      </c>
      <c r="C17" s="43" t="s">
        <v>573</v>
      </c>
      <c r="D17" s="43" t="s">
        <v>290</v>
      </c>
      <c r="E17" s="43" t="s">
        <v>14</v>
      </c>
      <c r="F17" s="43">
        <v>41</v>
      </c>
      <c r="G17" s="43">
        <v>1</v>
      </c>
      <c r="H17" s="81">
        <f t="shared" si="0"/>
        <v>41</v>
      </c>
      <c r="I17" s="43" t="s">
        <v>287</v>
      </c>
      <c r="J17" s="43"/>
      <c r="K17" s="43"/>
    </row>
    <row r="18" ht="14.25" spans="1:11">
      <c r="A18" s="41">
        <v>45722</v>
      </c>
      <c r="B18" s="43" t="s">
        <v>177</v>
      </c>
      <c r="C18" s="43" t="s">
        <v>574</v>
      </c>
      <c r="D18" s="43" t="s">
        <v>290</v>
      </c>
      <c r="E18" s="43" t="s">
        <v>14</v>
      </c>
      <c r="F18" s="43">
        <v>14100</v>
      </c>
      <c r="G18" s="43">
        <v>1</v>
      </c>
      <c r="H18" s="81">
        <f t="shared" si="0"/>
        <v>14100</v>
      </c>
      <c r="I18" s="43" t="s">
        <v>45</v>
      </c>
      <c r="J18" s="43" t="s">
        <v>46</v>
      </c>
      <c r="K18" s="43"/>
    </row>
    <row r="19" ht="14.25" spans="1:11">
      <c r="A19" s="41">
        <v>45722</v>
      </c>
      <c r="B19" s="43" t="s">
        <v>177</v>
      </c>
      <c r="C19" s="43" t="s">
        <v>575</v>
      </c>
      <c r="D19" s="43" t="s">
        <v>576</v>
      </c>
      <c r="E19" s="43" t="s">
        <v>14</v>
      </c>
      <c r="F19" s="43">
        <v>1010</v>
      </c>
      <c r="G19" s="43">
        <v>1.5</v>
      </c>
      <c r="H19" s="81">
        <f t="shared" si="0"/>
        <v>1515</v>
      </c>
      <c r="I19" s="43" t="s">
        <v>287</v>
      </c>
      <c r="J19" s="43"/>
      <c r="K19" s="43"/>
    </row>
    <row r="20" ht="14.25" spans="1:11">
      <c r="A20" s="41">
        <v>45723</v>
      </c>
      <c r="B20" s="43" t="s">
        <v>177</v>
      </c>
      <c r="C20" s="43" t="s">
        <v>577</v>
      </c>
      <c r="D20" s="43" t="s">
        <v>282</v>
      </c>
      <c r="E20" s="43" t="s">
        <v>14</v>
      </c>
      <c r="F20" s="43">
        <v>2050</v>
      </c>
      <c r="G20" s="43">
        <v>1</v>
      </c>
      <c r="H20" s="81">
        <f t="shared" si="0"/>
        <v>2050</v>
      </c>
      <c r="I20" s="43" t="s">
        <v>283</v>
      </c>
      <c r="J20" s="43"/>
      <c r="K20" s="43"/>
    </row>
    <row r="21" ht="14.25" spans="1:11">
      <c r="A21" s="41">
        <v>45726</v>
      </c>
      <c r="B21" s="43" t="s">
        <v>177</v>
      </c>
      <c r="C21" s="43" t="s">
        <v>578</v>
      </c>
      <c r="D21" s="43" t="s">
        <v>38</v>
      </c>
      <c r="E21" s="43" t="s">
        <v>14</v>
      </c>
      <c r="F21" s="43">
        <v>630</v>
      </c>
      <c r="G21" s="43">
        <v>1.4</v>
      </c>
      <c r="H21" s="81">
        <f t="shared" si="0"/>
        <v>882</v>
      </c>
      <c r="I21" s="43" t="s">
        <v>579</v>
      </c>
      <c r="J21" s="43"/>
      <c r="K21" s="43"/>
    </row>
    <row r="22" ht="14.25" spans="1:11">
      <c r="A22" s="41">
        <v>45729</v>
      </c>
      <c r="B22" s="43" t="s">
        <v>177</v>
      </c>
      <c r="C22" s="43" t="s">
        <v>580</v>
      </c>
      <c r="D22" s="43" t="s">
        <v>38</v>
      </c>
      <c r="E22" s="43" t="s">
        <v>14</v>
      </c>
      <c r="F22" s="43">
        <v>4585</v>
      </c>
      <c r="G22" s="43">
        <v>1.4</v>
      </c>
      <c r="H22" s="81">
        <f t="shared" si="0"/>
        <v>6419</v>
      </c>
      <c r="I22" s="43" t="s">
        <v>579</v>
      </c>
      <c r="J22" s="43"/>
      <c r="K22" s="43"/>
    </row>
    <row r="23" ht="14.25" spans="1:11">
      <c r="A23" s="41">
        <v>45729</v>
      </c>
      <c r="B23" s="43" t="s">
        <v>177</v>
      </c>
      <c r="C23" s="43" t="s">
        <v>580</v>
      </c>
      <c r="D23" s="43">
        <v>-500</v>
      </c>
      <c r="E23" s="43" t="s">
        <v>14</v>
      </c>
      <c r="F23" s="43">
        <v>156</v>
      </c>
      <c r="G23" s="43">
        <v>1.25</v>
      </c>
      <c r="H23" s="81">
        <f t="shared" si="0"/>
        <v>195</v>
      </c>
      <c r="I23" s="43" t="s">
        <v>432</v>
      </c>
      <c r="J23" s="43"/>
      <c r="K23" s="43"/>
    </row>
    <row r="24" ht="14.25" spans="1:11">
      <c r="A24" s="41">
        <v>45730</v>
      </c>
      <c r="B24" s="43" t="s">
        <v>177</v>
      </c>
      <c r="C24" s="43" t="s">
        <v>581</v>
      </c>
      <c r="D24" s="43" t="s">
        <v>179</v>
      </c>
      <c r="E24" s="43" t="s">
        <v>14</v>
      </c>
      <c r="F24" s="43">
        <v>45248</v>
      </c>
      <c r="G24" s="43">
        <v>1.25</v>
      </c>
      <c r="H24" s="81">
        <f t="shared" si="0"/>
        <v>56560</v>
      </c>
      <c r="I24" s="43" t="s">
        <v>582</v>
      </c>
      <c r="J24" s="43" t="s">
        <v>46</v>
      </c>
      <c r="K24" s="43"/>
    </row>
    <row r="25" ht="14.25" spans="1:11">
      <c r="A25" s="41">
        <v>45730</v>
      </c>
      <c r="B25" s="43" t="s">
        <v>177</v>
      </c>
      <c r="C25" s="43" t="s">
        <v>581</v>
      </c>
      <c r="D25" s="43" t="s">
        <v>410</v>
      </c>
      <c r="E25" s="43" t="s">
        <v>14</v>
      </c>
      <c r="F25" s="43">
        <v>4100</v>
      </c>
      <c r="G25" s="43">
        <v>1.2</v>
      </c>
      <c r="H25" s="81">
        <f t="shared" si="0"/>
        <v>4920</v>
      </c>
      <c r="I25" s="43" t="s">
        <v>117</v>
      </c>
      <c r="J25" s="43" t="s">
        <v>46</v>
      </c>
      <c r="K25" s="43"/>
    </row>
    <row r="26" ht="14.25" spans="1:11">
      <c r="A26" s="41">
        <v>45735</v>
      </c>
      <c r="B26" s="43" t="s">
        <v>177</v>
      </c>
      <c r="C26" s="43" t="s">
        <v>583</v>
      </c>
      <c r="D26" s="43" t="s">
        <v>181</v>
      </c>
      <c r="E26" s="43" t="s">
        <v>14</v>
      </c>
      <c r="F26" s="43">
        <v>4000</v>
      </c>
      <c r="G26" s="43">
        <v>2.2</v>
      </c>
      <c r="H26" s="81">
        <f t="shared" si="0"/>
        <v>8800</v>
      </c>
      <c r="I26" s="43" t="s">
        <v>94</v>
      </c>
      <c r="J26" s="43"/>
      <c r="K26" s="43"/>
    </row>
    <row r="27" ht="14.25" spans="1:11">
      <c r="A27" s="41">
        <v>45736</v>
      </c>
      <c r="B27" s="43" t="s">
        <v>177</v>
      </c>
      <c r="C27" s="43" t="s">
        <v>584</v>
      </c>
      <c r="D27" s="43" t="s">
        <v>181</v>
      </c>
      <c r="E27" s="43" t="s">
        <v>14</v>
      </c>
      <c r="F27" s="43">
        <v>1000</v>
      </c>
      <c r="G27" s="43">
        <v>2.2</v>
      </c>
      <c r="H27" s="81">
        <f t="shared" si="0"/>
        <v>2200</v>
      </c>
      <c r="I27" s="43" t="s">
        <v>94</v>
      </c>
      <c r="J27" s="43"/>
      <c r="K27" s="43"/>
    </row>
    <row r="28" ht="14.25" spans="1:11">
      <c r="A28" s="41">
        <v>45738</v>
      </c>
      <c r="B28" s="43" t="s">
        <v>177</v>
      </c>
      <c r="C28" s="43" t="s">
        <v>585</v>
      </c>
      <c r="D28" s="43" t="s">
        <v>586</v>
      </c>
      <c r="E28" s="43" t="s">
        <v>14</v>
      </c>
      <c r="F28" s="43">
        <v>2010</v>
      </c>
      <c r="G28" s="43">
        <v>2.2</v>
      </c>
      <c r="H28" s="81">
        <f t="shared" si="0"/>
        <v>4422</v>
      </c>
      <c r="I28" s="43" t="s">
        <v>587</v>
      </c>
      <c r="J28" s="43"/>
      <c r="K28" s="43"/>
    </row>
    <row r="29" ht="14.25" spans="1:11">
      <c r="A29" s="41">
        <v>45745</v>
      </c>
      <c r="B29" s="43" t="s">
        <v>177</v>
      </c>
      <c r="C29" s="43" t="s">
        <v>588</v>
      </c>
      <c r="D29" s="43" t="s">
        <v>181</v>
      </c>
      <c r="E29" s="43" t="s">
        <v>14</v>
      </c>
      <c r="F29" s="43">
        <v>15760</v>
      </c>
      <c r="G29" s="43">
        <v>2.22</v>
      </c>
      <c r="H29" s="81">
        <f t="shared" si="0"/>
        <v>34987.2</v>
      </c>
      <c r="I29" s="43" t="s">
        <v>94</v>
      </c>
      <c r="J29" s="43" t="s">
        <v>46</v>
      </c>
      <c r="K29" s="43"/>
    </row>
    <row r="30" ht="14.25" spans="1:11">
      <c r="A30" s="41">
        <v>45745</v>
      </c>
      <c r="B30" s="43" t="s">
        <v>177</v>
      </c>
      <c r="C30" s="43" t="s">
        <v>588</v>
      </c>
      <c r="D30" s="43" t="s">
        <v>179</v>
      </c>
      <c r="E30" s="43" t="s">
        <v>14</v>
      </c>
      <c r="F30" s="43">
        <v>13550</v>
      </c>
      <c r="G30" s="43">
        <v>1.25</v>
      </c>
      <c r="H30" s="81">
        <f t="shared" si="0"/>
        <v>16937.5</v>
      </c>
      <c r="I30" s="43" t="s">
        <v>94</v>
      </c>
      <c r="J30" s="43" t="s">
        <v>46</v>
      </c>
      <c r="K30" s="43"/>
    </row>
    <row r="31" ht="14.25" spans="1:11">
      <c r="A31" s="41">
        <v>45745</v>
      </c>
      <c r="B31" s="43" t="s">
        <v>177</v>
      </c>
      <c r="C31" s="43" t="s">
        <v>588</v>
      </c>
      <c r="D31" s="43" t="s">
        <v>410</v>
      </c>
      <c r="E31" s="43" t="s">
        <v>14</v>
      </c>
      <c r="F31" s="43">
        <v>6000</v>
      </c>
      <c r="G31" s="43">
        <v>1.27</v>
      </c>
      <c r="H31" s="81">
        <f t="shared" si="0"/>
        <v>7620</v>
      </c>
      <c r="I31" s="43" t="s">
        <v>117</v>
      </c>
      <c r="J31" s="43" t="s">
        <v>46</v>
      </c>
      <c r="K31" s="43"/>
    </row>
    <row r="32" ht="14.25" spans="1:11">
      <c r="A32" s="41">
        <v>45738</v>
      </c>
      <c r="B32" s="43" t="s">
        <v>177</v>
      </c>
      <c r="C32" s="43" t="s">
        <v>585</v>
      </c>
      <c r="D32" s="43" t="s">
        <v>183</v>
      </c>
      <c r="E32" s="43" t="s">
        <v>14</v>
      </c>
      <c r="F32" s="43">
        <v>35</v>
      </c>
      <c r="G32" s="43">
        <v>1.1</v>
      </c>
      <c r="H32" s="81">
        <f t="shared" ref="H32:H63" si="1">F32*G32</f>
        <v>38.5</v>
      </c>
      <c r="I32" s="43" t="s">
        <v>63</v>
      </c>
      <c r="J32" s="43"/>
      <c r="K32" s="43"/>
    </row>
    <row r="33" ht="14.25" spans="1:11">
      <c r="A33" s="41">
        <v>45717</v>
      </c>
      <c r="B33" s="43" t="s">
        <v>74</v>
      </c>
      <c r="C33" s="43" t="s">
        <v>589</v>
      </c>
      <c r="D33" s="43" t="s">
        <v>211</v>
      </c>
      <c r="E33" s="43" t="s">
        <v>454</v>
      </c>
      <c r="F33" s="43">
        <v>4055</v>
      </c>
      <c r="G33" s="43">
        <v>0.8</v>
      </c>
      <c r="H33" s="81">
        <f t="shared" si="1"/>
        <v>3244</v>
      </c>
      <c r="I33" s="43" t="s">
        <v>213</v>
      </c>
      <c r="J33" s="43" t="s">
        <v>455</v>
      </c>
      <c r="K33" s="43">
        <v>0.95</v>
      </c>
    </row>
    <row r="34" ht="14.25" spans="1:11">
      <c r="A34" s="41">
        <v>45719</v>
      </c>
      <c r="B34" s="43" t="s">
        <v>74</v>
      </c>
      <c r="C34" s="43" t="s">
        <v>590</v>
      </c>
      <c r="D34" s="43" t="s">
        <v>76</v>
      </c>
      <c r="E34" s="43" t="s">
        <v>60</v>
      </c>
      <c r="F34" s="43">
        <v>20089</v>
      </c>
      <c r="G34" s="43">
        <v>0.6</v>
      </c>
      <c r="H34" s="81">
        <f t="shared" si="1"/>
        <v>12053.4</v>
      </c>
      <c r="I34" s="43" t="s">
        <v>45</v>
      </c>
      <c r="J34" s="43"/>
      <c r="K34" s="43"/>
    </row>
    <row r="35" ht="14.25" spans="1:11">
      <c r="A35" s="41">
        <v>45721</v>
      </c>
      <c r="B35" s="43" t="s">
        <v>74</v>
      </c>
      <c r="C35" s="43" t="s">
        <v>591</v>
      </c>
      <c r="D35" s="43" t="s">
        <v>59</v>
      </c>
      <c r="E35" s="43" t="s">
        <v>62</v>
      </c>
      <c r="F35" s="43">
        <v>8030</v>
      </c>
      <c r="G35" s="43">
        <v>0.6</v>
      </c>
      <c r="H35" s="81">
        <f t="shared" si="1"/>
        <v>4818</v>
      </c>
      <c r="I35" s="43" t="s">
        <v>77</v>
      </c>
      <c r="J35" s="43"/>
      <c r="K35" s="43"/>
    </row>
    <row r="36" ht="14.25" spans="1:11">
      <c r="A36" s="41">
        <v>45733</v>
      </c>
      <c r="B36" s="43" t="s">
        <v>74</v>
      </c>
      <c r="C36" s="43" t="s">
        <v>592</v>
      </c>
      <c r="D36" s="43" t="s">
        <v>76</v>
      </c>
      <c r="E36" s="43" t="s">
        <v>60</v>
      </c>
      <c r="F36" s="43">
        <v>11860</v>
      </c>
      <c r="G36" s="43">
        <v>0.63</v>
      </c>
      <c r="H36" s="81">
        <f t="shared" si="1"/>
        <v>7471.8</v>
      </c>
      <c r="I36" s="43" t="s">
        <v>77</v>
      </c>
      <c r="J36" s="43"/>
      <c r="K36" s="43"/>
    </row>
    <row r="37" ht="14.25" spans="1:11">
      <c r="A37" s="41">
        <v>45733</v>
      </c>
      <c r="B37" s="43" t="s">
        <v>74</v>
      </c>
      <c r="C37" s="43" t="s">
        <v>592</v>
      </c>
      <c r="D37" s="43" t="s">
        <v>59</v>
      </c>
      <c r="E37" s="43" t="s">
        <v>60</v>
      </c>
      <c r="F37" s="43">
        <v>4026</v>
      </c>
      <c r="G37" s="43">
        <v>0.6</v>
      </c>
      <c r="H37" s="81">
        <f t="shared" si="1"/>
        <v>2415.6</v>
      </c>
      <c r="I37" s="43" t="s">
        <v>77</v>
      </c>
      <c r="J37" s="43"/>
      <c r="K37" s="43"/>
    </row>
    <row r="38" ht="14.25" spans="1:11">
      <c r="A38" s="41">
        <v>45733</v>
      </c>
      <c r="B38" s="43" t="s">
        <v>74</v>
      </c>
      <c r="C38" s="43" t="s">
        <v>592</v>
      </c>
      <c r="D38" s="43" t="s">
        <v>211</v>
      </c>
      <c r="E38" s="43" t="s">
        <v>361</v>
      </c>
      <c r="F38" s="43">
        <v>1090</v>
      </c>
      <c r="G38" s="43">
        <v>0.8</v>
      </c>
      <c r="H38" s="81">
        <f t="shared" si="1"/>
        <v>872</v>
      </c>
      <c r="I38" s="43" t="s">
        <v>213</v>
      </c>
      <c r="J38" s="43" t="s">
        <v>214</v>
      </c>
      <c r="K38" s="43"/>
    </row>
    <row r="39" ht="14.25" spans="1:11">
      <c r="A39" s="41">
        <v>45741</v>
      </c>
      <c r="B39" s="43" t="s">
        <v>74</v>
      </c>
      <c r="C39" s="43" t="s">
        <v>593</v>
      </c>
      <c r="D39" s="43" t="s">
        <v>59</v>
      </c>
      <c r="E39" s="43" t="s">
        <v>60</v>
      </c>
      <c r="F39" s="43">
        <v>3772</v>
      </c>
      <c r="G39" s="43">
        <v>0.58</v>
      </c>
      <c r="H39" s="81">
        <f t="shared" si="1"/>
        <v>2187.76</v>
      </c>
      <c r="I39" s="43" t="s">
        <v>78</v>
      </c>
      <c r="J39" s="43"/>
      <c r="K39" s="43"/>
    </row>
    <row r="40" ht="14.25" spans="1:11">
      <c r="A40" s="41">
        <v>45743</v>
      </c>
      <c r="B40" s="43" t="s">
        <v>74</v>
      </c>
      <c r="C40" s="43" t="s">
        <v>594</v>
      </c>
      <c r="D40" s="43" t="s">
        <v>59</v>
      </c>
      <c r="E40" s="43" t="s">
        <v>60</v>
      </c>
      <c r="F40" s="43">
        <v>4139</v>
      </c>
      <c r="G40" s="43">
        <v>0.68</v>
      </c>
      <c r="H40" s="81">
        <f t="shared" si="1"/>
        <v>2814.52</v>
      </c>
      <c r="I40" s="43" t="s">
        <v>78</v>
      </c>
      <c r="J40" s="43"/>
      <c r="K40" s="43"/>
    </row>
    <row r="41" ht="14.25" spans="1:11">
      <c r="A41" s="41">
        <v>45744</v>
      </c>
      <c r="B41" s="43" t="s">
        <v>74</v>
      </c>
      <c r="C41" s="43" t="s">
        <v>595</v>
      </c>
      <c r="D41" s="43" t="s">
        <v>59</v>
      </c>
      <c r="E41" s="43" t="s">
        <v>60</v>
      </c>
      <c r="F41" s="43">
        <v>16160</v>
      </c>
      <c r="G41" s="43">
        <v>0.58</v>
      </c>
      <c r="H41" s="81">
        <f t="shared" si="1"/>
        <v>9372.8</v>
      </c>
      <c r="I41" s="43" t="s">
        <v>78</v>
      </c>
      <c r="J41" s="43"/>
      <c r="K41" s="43"/>
    </row>
    <row r="42" ht="14.25" spans="1:11">
      <c r="A42" s="41">
        <v>45747</v>
      </c>
      <c r="B42" s="43" t="s">
        <v>74</v>
      </c>
      <c r="C42" s="43" t="s">
        <v>596</v>
      </c>
      <c r="D42" s="43" t="s">
        <v>76</v>
      </c>
      <c r="E42" s="43" t="s">
        <v>450</v>
      </c>
      <c r="F42" s="43">
        <v>870</v>
      </c>
      <c r="G42" s="43">
        <v>0.63</v>
      </c>
      <c r="H42" s="81">
        <f t="shared" si="1"/>
        <v>548.1</v>
      </c>
      <c r="I42" s="43" t="s">
        <v>77</v>
      </c>
      <c r="J42" s="43"/>
      <c r="K42" s="43"/>
    </row>
    <row r="43" ht="14.25" spans="1:11">
      <c r="A43" s="41">
        <v>45717</v>
      </c>
      <c r="B43" s="43" t="s">
        <v>118</v>
      </c>
      <c r="C43" s="43" t="s">
        <v>597</v>
      </c>
      <c r="D43" s="43" t="s">
        <v>598</v>
      </c>
      <c r="E43" s="43" t="s">
        <v>14</v>
      </c>
      <c r="F43" s="43">
        <v>1220</v>
      </c>
      <c r="G43" s="43">
        <v>1.15</v>
      </c>
      <c r="H43" s="81">
        <f t="shared" si="1"/>
        <v>1403</v>
      </c>
      <c r="I43" s="43" t="s">
        <v>271</v>
      </c>
      <c r="J43" s="43"/>
      <c r="K43" s="43"/>
    </row>
    <row r="44" ht="14.25" spans="1:11">
      <c r="A44" s="41">
        <v>34</v>
      </c>
      <c r="B44" s="43" t="s">
        <v>118</v>
      </c>
      <c r="C44" s="43">
        <v>20250304005</v>
      </c>
      <c r="D44" s="43" t="s">
        <v>599</v>
      </c>
      <c r="E44" s="43" t="s">
        <v>14</v>
      </c>
      <c r="F44" s="43">
        <v>2650</v>
      </c>
      <c r="G44" s="43">
        <v>1.1</v>
      </c>
      <c r="H44" s="81">
        <f t="shared" si="1"/>
        <v>2915</v>
      </c>
      <c r="I44" s="43" t="s">
        <v>600</v>
      </c>
      <c r="J44" s="43"/>
      <c r="K44" s="43"/>
    </row>
    <row r="45" ht="14.25" spans="1:11">
      <c r="A45" s="41">
        <v>45721</v>
      </c>
      <c r="B45" s="43" t="s">
        <v>118</v>
      </c>
      <c r="C45" s="43" t="s">
        <v>601</v>
      </c>
      <c r="D45" s="43" t="s">
        <v>598</v>
      </c>
      <c r="E45" s="43" t="s">
        <v>14</v>
      </c>
      <c r="F45" s="43">
        <v>1220</v>
      </c>
      <c r="G45" s="43">
        <v>1.15</v>
      </c>
      <c r="H45" s="81">
        <f t="shared" si="1"/>
        <v>1403</v>
      </c>
      <c r="I45" s="43" t="s">
        <v>271</v>
      </c>
      <c r="J45" s="43"/>
      <c r="K45" s="43"/>
    </row>
    <row r="46" ht="14.25" spans="1:11">
      <c r="A46" s="41">
        <v>45729</v>
      </c>
      <c r="B46" s="43" t="s">
        <v>118</v>
      </c>
      <c r="C46" s="43">
        <v>20250312003</v>
      </c>
      <c r="D46" s="43" t="s">
        <v>530</v>
      </c>
      <c r="E46" s="43" t="s">
        <v>14</v>
      </c>
      <c r="F46" s="43">
        <v>21264</v>
      </c>
      <c r="G46" s="43">
        <v>1.13</v>
      </c>
      <c r="H46" s="81">
        <f t="shared" si="1"/>
        <v>24028.32</v>
      </c>
      <c r="I46" s="43" t="s">
        <v>45</v>
      </c>
      <c r="J46" s="43" t="s">
        <v>46</v>
      </c>
      <c r="K46" s="43"/>
    </row>
    <row r="47" ht="14.25" spans="1:11">
      <c r="A47" s="41">
        <v>45729</v>
      </c>
      <c r="B47" s="43" t="s">
        <v>118</v>
      </c>
      <c r="C47" s="43">
        <v>20250312003</v>
      </c>
      <c r="D47" s="43" t="s">
        <v>530</v>
      </c>
      <c r="E47" s="43" t="s">
        <v>14</v>
      </c>
      <c r="F47" s="43">
        <v>28736</v>
      </c>
      <c r="G47" s="43">
        <v>1.13</v>
      </c>
      <c r="H47" s="81">
        <f t="shared" si="1"/>
        <v>32471.68</v>
      </c>
      <c r="I47" s="43" t="s">
        <v>45</v>
      </c>
      <c r="J47" s="43" t="s">
        <v>46</v>
      </c>
      <c r="K47" s="43"/>
    </row>
    <row r="48" ht="14.25" spans="1:11">
      <c r="A48" s="41">
        <v>45742</v>
      </c>
      <c r="B48" s="43" t="s">
        <v>118</v>
      </c>
      <c r="C48" s="43" t="s">
        <v>602</v>
      </c>
      <c r="D48" s="43" t="s">
        <v>598</v>
      </c>
      <c r="E48" s="43" t="s">
        <v>14</v>
      </c>
      <c r="F48" s="43">
        <v>10000</v>
      </c>
      <c r="G48" s="43">
        <v>1.15</v>
      </c>
      <c r="H48" s="81">
        <f t="shared" si="1"/>
        <v>11500</v>
      </c>
      <c r="I48" s="43" t="s">
        <v>603</v>
      </c>
      <c r="J48" s="43" t="s">
        <v>46</v>
      </c>
      <c r="K48" s="43"/>
    </row>
    <row r="49" ht="14.25" spans="1:11">
      <c r="A49" s="41">
        <v>45717</v>
      </c>
      <c r="B49" s="43" t="s">
        <v>237</v>
      </c>
      <c r="C49" s="43" t="s">
        <v>604</v>
      </c>
      <c r="D49" s="43" t="s">
        <v>239</v>
      </c>
      <c r="E49" s="43" t="s">
        <v>116</v>
      </c>
      <c r="F49" s="43">
        <v>23335</v>
      </c>
      <c r="G49" s="43">
        <v>0.72</v>
      </c>
      <c r="H49" s="81">
        <f t="shared" si="1"/>
        <v>16801.2</v>
      </c>
      <c r="I49" s="43" t="s">
        <v>245</v>
      </c>
      <c r="J49" s="43"/>
      <c r="K49" s="43"/>
    </row>
    <row r="50" ht="14.25" spans="1:11">
      <c r="A50" s="41">
        <v>45717</v>
      </c>
      <c r="B50" s="43" t="s">
        <v>237</v>
      </c>
      <c r="C50" s="43" t="s">
        <v>604</v>
      </c>
      <c r="D50" s="43" t="s">
        <v>59</v>
      </c>
      <c r="E50" s="43" t="s">
        <v>60</v>
      </c>
      <c r="F50" s="43">
        <v>20000</v>
      </c>
      <c r="G50" s="43">
        <v>0.43</v>
      </c>
      <c r="H50" s="81">
        <f t="shared" si="1"/>
        <v>8600</v>
      </c>
      <c r="I50" s="43" t="s">
        <v>489</v>
      </c>
      <c r="J50" s="43"/>
      <c r="K50" s="43"/>
    </row>
    <row r="51" ht="14.25" spans="1:11">
      <c r="A51" s="41">
        <v>45717</v>
      </c>
      <c r="B51" s="43" t="s">
        <v>237</v>
      </c>
      <c r="C51" s="43" t="s">
        <v>604</v>
      </c>
      <c r="D51" s="43" t="s">
        <v>239</v>
      </c>
      <c r="E51" s="43" t="s">
        <v>116</v>
      </c>
      <c r="F51" s="43">
        <v>19500</v>
      </c>
      <c r="G51" s="43">
        <v>0.72</v>
      </c>
      <c r="H51" s="81">
        <f t="shared" si="1"/>
        <v>14040</v>
      </c>
      <c r="I51" s="43" t="s">
        <v>245</v>
      </c>
      <c r="J51" s="43"/>
      <c r="K51" s="43"/>
    </row>
    <row r="52" ht="14.25" spans="1:11">
      <c r="A52" s="41">
        <v>45717</v>
      </c>
      <c r="B52" s="43" t="s">
        <v>237</v>
      </c>
      <c r="C52" s="43" t="s">
        <v>604</v>
      </c>
      <c r="D52" s="43" t="s">
        <v>59</v>
      </c>
      <c r="E52" s="43" t="s">
        <v>60</v>
      </c>
      <c r="F52" s="43">
        <v>40000</v>
      </c>
      <c r="G52" s="43">
        <v>0.43</v>
      </c>
      <c r="H52" s="81">
        <f t="shared" si="1"/>
        <v>17200</v>
      </c>
      <c r="I52" s="43" t="s">
        <v>489</v>
      </c>
      <c r="J52" s="43"/>
      <c r="K52" s="43"/>
    </row>
    <row r="53" ht="14.25" spans="1:11">
      <c r="A53" s="41">
        <v>45720</v>
      </c>
      <c r="B53" s="43" t="s">
        <v>237</v>
      </c>
      <c r="C53" s="43" t="s">
        <v>605</v>
      </c>
      <c r="D53" s="43" t="s">
        <v>277</v>
      </c>
      <c r="E53" s="43" t="s">
        <v>14</v>
      </c>
      <c r="F53" s="43">
        <v>48000</v>
      </c>
      <c r="G53" s="43">
        <v>0.9</v>
      </c>
      <c r="H53" s="81">
        <f t="shared" si="1"/>
        <v>43200</v>
      </c>
      <c r="I53" s="43" t="s">
        <v>271</v>
      </c>
      <c r="J53" s="43" t="s">
        <v>46</v>
      </c>
      <c r="K53" s="43"/>
    </row>
    <row r="54" ht="14.25" spans="1:11">
      <c r="A54" s="41">
        <v>45720</v>
      </c>
      <c r="B54" s="43" t="s">
        <v>237</v>
      </c>
      <c r="C54" s="43" t="s">
        <v>606</v>
      </c>
      <c r="D54" s="43" t="s">
        <v>368</v>
      </c>
      <c r="E54" s="43" t="s">
        <v>14</v>
      </c>
      <c r="F54" s="43">
        <v>50000</v>
      </c>
      <c r="G54" s="43">
        <v>0.8</v>
      </c>
      <c r="H54" s="81">
        <f t="shared" si="1"/>
        <v>40000</v>
      </c>
      <c r="I54" s="43" t="s">
        <v>61</v>
      </c>
      <c r="J54" s="43" t="s">
        <v>46</v>
      </c>
      <c r="K54" s="43"/>
    </row>
    <row r="55" ht="14.25" spans="1:11">
      <c r="A55" s="41">
        <v>45721</v>
      </c>
      <c r="B55" s="43" t="s">
        <v>237</v>
      </c>
      <c r="C55" s="43" t="s">
        <v>607</v>
      </c>
      <c r="D55" s="43" t="s">
        <v>239</v>
      </c>
      <c r="E55" s="43" t="s">
        <v>124</v>
      </c>
      <c r="F55" s="43">
        <v>22000</v>
      </c>
      <c r="G55" s="43">
        <v>0.72</v>
      </c>
      <c r="H55" s="81">
        <f t="shared" si="1"/>
        <v>15840</v>
      </c>
      <c r="I55" s="43" t="s">
        <v>245</v>
      </c>
      <c r="J55" s="43"/>
      <c r="K55" s="43"/>
    </row>
    <row r="56" ht="14.25" spans="1:11">
      <c r="A56" s="41">
        <v>45721</v>
      </c>
      <c r="B56" s="43" t="s">
        <v>237</v>
      </c>
      <c r="C56" s="43" t="s">
        <v>607</v>
      </c>
      <c r="D56" s="43" t="s">
        <v>59</v>
      </c>
      <c r="E56" s="43" t="s">
        <v>60</v>
      </c>
      <c r="F56" s="43">
        <v>17100</v>
      </c>
      <c r="G56" s="43">
        <v>0.43</v>
      </c>
      <c r="H56" s="81">
        <f t="shared" si="1"/>
        <v>7353</v>
      </c>
      <c r="I56" s="43" t="s">
        <v>489</v>
      </c>
      <c r="J56" s="43"/>
      <c r="K56" s="43"/>
    </row>
    <row r="57" ht="14.25" spans="1:11">
      <c r="A57" s="41">
        <v>45721</v>
      </c>
      <c r="B57" s="43" t="s">
        <v>237</v>
      </c>
      <c r="C57" s="43" t="s">
        <v>608</v>
      </c>
      <c r="D57" s="43" t="s">
        <v>609</v>
      </c>
      <c r="E57" s="43" t="s">
        <v>14</v>
      </c>
      <c r="F57" s="43">
        <v>50000</v>
      </c>
      <c r="G57" s="43">
        <v>1.1</v>
      </c>
      <c r="H57" s="81">
        <f t="shared" si="1"/>
        <v>55000</v>
      </c>
      <c r="I57" s="43" t="s">
        <v>61</v>
      </c>
      <c r="J57" s="43" t="s">
        <v>46</v>
      </c>
      <c r="K57" s="43"/>
    </row>
    <row r="58" ht="14.25" spans="1:11">
      <c r="A58" s="41">
        <v>45722</v>
      </c>
      <c r="B58" s="43" t="s">
        <v>237</v>
      </c>
      <c r="C58" s="43" t="s">
        <v>610</v>
      </c>
      <c r="D58" s="43" t="s">
        <v>18</v>
      </c>
      <c r="E58" s="43" t="s">
        <v>14</v>
      </c>
      <c r="F58" s="43">
        <v>100075</v>
      </c>
      <c r="G58" s="43">
        <v>0.68</v>
      </c>
      <c r="H58" s="81">
        <f t="shared" si="1"/>
        <v>68051</v>
      </c>
      <c r="I58" s="43" t="s">
        <v>61</v>
      </c>
      <c r="J58" s="43" t="s">
        <v>46</v>
      </c>
      <c r="K58" s="43"/>
    </row>
    <row r="59" ht="14.25" spans="1:11">
      <c r="A59" s="41">
        <v>45723</v>
      </c>
      <c r="B59" s="43" t="s">
        <v>237</v>
      </c>
      <c r="C59" s="43" t="s">
        <v>611</v>
      </c>
      <c r="D59" s="43" t="s">
        <v>368</v>
      </c>
      <c r="E59" s="43" t="s">
        <v>14</v>
      </c>
      <c r="F59" s="43">
        <v>50000</v>
      </c>
      <c r="G59" s="43">
        <v>0.8</v>
      </c>
      <c r="H59" s="81">
        <f t="shared" si="1"/>
        <v>40000</v>
      </c>
      <c r="I59" s="43" t="s">
        <v>61</v>
      </c>
      <c r="J59" s="43" t="s">
        <v>46</v>
      </c>
      <c r="K59" s="43"/>
    </row>
    <row r="60" ht="14.25" spans="1:11">
      <c r="A60" s="41">
        <v>45723</v>
      </c>
      <c r="B60" s="43" t="s">
        <v>237</v>
      </c>
      <c r="C60" s="43" t="s">
        <v>611</v>
      </c>
      <c r="D60" s="43" t="s">
        <v>242</v>
      </c>
      <c r="E60" s="43" t="s">
        <v>14</v>
      </c>
      <c r="F60" s="43">
        <v>125000</v>
      </c>
      <c r="G60" s="43">
        <v>0.55</v>
      </c>
      <c r="H60" s="81">
        <f t="shared" si="1"/>
        <v>68750</v>
      </c>
      <c r="I60" s="43" t="s">
        <v>61</v>
      </c>
      <c r="J60" s="43" t="s">
        <v>46</v>
      </c>
      <c r="K60" s="43"/>
    </row>
    <row r="61" ht="14.25" spans="1:11">
      <c r="A61" s="41">
        <v>45734</v>
      </c>
      <c r="B61" s="43" t="s">
        <v>237</v>
      </c>
      <c r="C61" s="43" t="s">
        <v>612</v>
      </c>
      <c r="D61" s="43" t="s">
        <v>613</v>
      </c>
      <c r="E61" s="43" t="s">
        <v>14</v>
      </c>
      <c r="F61" s="43">
        <v>1210</v>
      </c>
      <c r="G61" s="43">
        <v>1.55</v>
      </c>
      <c r="H61" s="81">
        <f t="shared" si="1"/>
        <v>1875.5</v>
      </c>
      <c r="I61" s="43" t="s">
        <v>61</v>
      </c>
      <c r="J61" s="43" t="s">
        <v>46</v>
      </c>
      <c r="K61" s="43"/>
    </row>
    <row r="62" ht="14.25" spans="1:11">
      <c r="A62" s="41">
        <v>45737</v>
      </c>
      <c r="B62" s="43" t="s">
        <v>237</v>
      </c>
      <c r="C62" s="43" t="s">
        <v>614</v>
      </c>
      <c r="D62" s="43" t="s">
        <v>380</v>
      </c>
      <c r="E62" s="43" t="s">
        <v>14</v>
      </c>
      <c r="F62" s="43">
        <v>28620</v>
      </c>
      <c r="G62" s="43">
        <v>0.65</v>
      </c>
      <c r="H62" s="81">
        <f t="shared" si="1"/>
        <v>18603</v>
      </c>
      <c r="I62" s="43" t="s">
        <v>243</v>
      </c>
      <c r="J62" s="43" t="s">
        <v>46</v>
      </c>
      <c r="K62" s="43"/>
    </row>
    <row r="63" ht="14.25" spans="1:11">
      <c r="A63" s="41">
        <v>45740</v>
      </c>
      <c r="B63" s="43" t="s">
        <v>237</v>
      </c>
      <c r="C63" s="43" t="s">
        <v>615</v>
      </c>
      <c r="D63" s="43" t="s">
        <v>382</v>
      </c>
      <c r="E63" s="43" t="s">
        <v>14</v>
      </c>
      <c r="F63" s="43">
        <v>100800</v>
      </c>
      <c r="G63" s="43">
        <v>0.5</v>
      </c>
      <c r="H63" s="81">
        <f t="shared" si="1"/>
        <v>50400</v>
      </c>
      <c r="I63" s="43" t="s">
        <v>243</v>
      </c>
      <c r="J63" s="43" t="s">
        <v>46</v>
      </c>
      <c r="K63" s="43"/>
    </row>
    <row r="64" ht="14.25" spans="1:11">
      <c r="A64" s="41">
        <v>45717</v>
      </c>
      <c r="B64" s="43" t="s">
        <v>113</v>
      </c>
      <c r="C64" s="43" t="s">
        <v>616</v>
      </c>
      <c r="D64" s="43" t="s">
        <v>617</v>
      </c>
      <c r="E64" s="43" t="s">
        <v>60</v>
      </c>
      <c r="F64" s="43">
        <v>20</v>
      </c>
      <c r="G64" s="43">
        <v>0.5</v>
      </c>
      <c r="H64" s="81">
        <f t="shared" ref="H64:H117" si="2">F64*G64</f>
        <v>10</v>
      </c>
      <c r="I64" s="43" t="s">
        <v>100</v>
      </c>
      <c r="J64" s="43"/>
      <c r="K64" s="43"/>
    </row>
    <row r="65" s="35" customFormat="1" ht="14.25" spans="1:11">
      <c r="A65" s="44">
        <v>45719</v>
      </c>
      <c r="B65" s="45" t="s">
        <v>113</v>
      </c>
      <c r="C65" s="45" t="s">
        <v>618</v>
      </c>
      <c r="D65" s="45" t="s">
        <v>59</v>
      </c>
      <c r="E65" s="45" t="s">
        <v>60</v>
      </c>
      <c r="F65" s="45">
        <v>10020</v>
      </c>
      <c r="G65" s="45">
        <v>0.48</v>
      </c>
      <c r="H65" s="80">
        <f t="shared" si="2"/>
        <v>4809.6</v>
      </c>
      <c r="I65" s="45" t="s">
        <v>235</v>
      </c>
      <c r="J65" s="45"/>
      <c r="K65" s="45"/>
    </row>
    <row r="66" ht="14.25" spans="1:11">
      <c r="A66" s="41">
        <v>45719</v>
      </c>
      <c r="B66" s="43" t="s">
        <v>113</v>
      </c>
      <c r="C66" s="43" t="s">
        <v>619</v>
      </c>
      <c r="D66" s="43" t="s">
        <v>332</v>
      </c>
      <c r="E66" s="43" t="s">
        <v>60</v>
      </c>
      <c r="F66" s="43">
        <v>50</v>
      </c>
      <c r="G66" s="43">
        <v>0.5</v>
      </c>
      <c r="H66" s="81">
        <f t="shared" si="2"/>
        <v>25</v>
      </c>
      <c r="I66" s="43" t="s">
        <v>32</v>
      </c>
      <c r="J66" s="43"/>
      <c r="K66" s="43"/>
    </row>
    <row r="67" ht="14.25" spans="1:11">
      <c r="A67" s="41">
        <v>45719</v>
      </c>
      <c r="B67" s="43" t="s">
        <v>113</v>
      </c>
      <c r="C67" s="43" t="s">
        <v>619</v>
      </c>
      <c r="D67" s="43" t="s">
        <v>76</v>
      </c>
      <c r="E67" s="43" t="s">
        <v>62</v>
      </c>
      <c r="F67" s="43">
        <v>20</v>
      </c>
      <c r="G67" s="43">
        <v>0.5</v>
      </c>
      <c r="H67" s="81">
        <f t="shared" si="2"/>
        <v>10</v>
      </c>
      <c r="I67" s="43" t="s">
        <v>32</v>
      </c>
      <c r="J67" s="43"/>
      <c r="K67" s="43"/>
    </row>
    <row r="68" s="35" customFormat="1" ht="14.25" spans="1:11">
      <c r="A68" s="44">
        <v>45718</v>
      </c>
      <c r="B68" s="45" t="s">
        <v>113</v>
      </c>
      <c r="C68" s="45" t="s">
        <v>620</v>
      </c>
      <c r="D68" s="45" t="s">
        <v>76</v>
      </c>
      <c r="E68" s="45" t="s">
        <v>123</v>
      </c>
      <c r="F68" s="45">
        <v>30150</v>
      </c>
      <c r="G68" s="45">
        <v>0.5</v>
      </c>
      <c r="H68" s="80">
        <f t="shared" si="2"/>
        <v>15075</v>
      </c>
      <c r="I68" s="45" t="s">
        <v>126</v>
      </c>
      <c r="J68" s="45"/>
      <c r="K68" s="45"/>
    </row>
    <row r="69" s="35" customFormat="1" ht="14.25" spans="1:11">
      <c r="A69" s="44">
        <v>45720</v>
      </c>
      <c r="B69" s="45" t="s">
        <v>113</v>
      </c>
      <c r="C69" s="45" t="s">
        <v>621</v>
      </c>
      <c r="D69" s="45" t="s">
        <v>128</v>
      </c>
      <c r="E69" s="45" t="s">
        <v>60</v>
      </c>
      <c r="F69" s="45">
        <v>16250</v>
      </c>
      <c r="G69" s="45">
        <v>0.5</v>
      </c>
      <c r="H69" s="80">
        <f t="shared" si="2"/>
        <v>8125</v>
      </c>
      <c r="I69" s="45" t="s">
        <v>149</v>
      </c>
      <c r="J69" s="45"/>
      <c r="K69" s="45"/>
    </row>
    <row r="70" s="35" customFormat="1" ht="14.25" spans="1:11">
      <c r="A70" s="44">
        <v>45721</v>
      </c>
      <c r="B70" s="45" t="s">
        <v>113</v>
      </c>
      <c r="C70" s="45" t="s">
        <v>622</v>
      </c>
      <c r="D70" s="45" t="s">
        <v>128</v>
      </c>
      <c r="E70" s="45" t="s">
        <v>60</v>
      </c>
      <c r="F70" s="45">
        <v>6310</v>
      </c>
      <c r="G70" s="45">
        <v>0.5</v>
      </c>
      <c r="H70" s="80">
        <f t="shared" si="2"/>
        <v>3155</v>
      </c>
      <c r="I70" s="45" t="s">
        <v>623</v>
      </c>
      <c r="J70" s="45"/>
      <c r="K70" s="45"/>
    </row>
    <row r="71" s="35" customFormat="1" ht="14.25" spans="1:11">
      <c r="A71" s="44">
        <v>45721</v>
      </c>
      <c r="B71" s="45" t="s">
        <v>113</v>
      </c>
      <c r="C71" s="45" t="s">
        <v>624</v>
      </c>
      <c r="D71" s="45" t="s">
        <v>130</v>
      </c>
      <c r="E71" s="45" t="s">
        <v>60</v>
      </c>
      <c r="F71" s="45">
        <v>7320</v>
      </c>
      <c r="G71" s="45">
        <v>0.45</v>
      </c>
      <c r="H71" s="80">
        <f t="shared" si="2"/>
        <v>3294</v>
      </c>
      <c r="I71" s="45" t="s">
        <v>189</v>
      </c>
      <c r="J71" s="45"/>
      <c r="K71" s="45"/>
    </row>
    <row r="72" s="35" customFormat="1" ht="14.25" spans="1:11">
      <c r="A72" s="44">
        <v>45723</v>
      </c>
      <c r="B72" s="45" t="s">
        <v>113</v>
      </c>
      <c r="C72" s="45" t="s">
        <v>625</v>
      </c>
      <c r="D72" s="45" t="s">
        <v>76</v>
      </c>
      <c r="E72" s="45" t="s">
        <v>60</v>
      </c>
      <c r="F72" s="45">
        <v>10010</v>
      </c>
      <c r="G72" s="45">
        <v>0.47</v>
      </c>
      <c r="H72" s="80">
        <f t="shared" si="2"/>
        <v>4704.7</v>
      </c>
      <c r="I72" s="45" t="s">
        <v>626</v>
      </c>
      <c r="J72" s="45"/>
      <c r="K72" s="45"/>
    </row>
    <row r="73" s="35" customFormat="1" ht="14.25" spans="1:11">
      <c r="A73" s="44">
        <v>45723</v>
      </c>
      <c r="B73" s="45" t="s">
        <v>113</v>
      </c>
      <c r="C73" s="45" t="s">
        <v>625</v>
      </c>
      <c r="D73" s="45" t="s">
        <v>627</v>
      </c>
      <c r="E73" s="45" t="s">
        <v>123</v>
      </c>
      <c r="F73" s="45">
        <v>3010</v>
      </c>
      <c r="G73" s="45">
        <v>0.53</v>
      </c>
      <c r="H73" s="80">
        <f t="shared" si="2"/>
        <v>1595.3</v>
      </c>
      <c r="I73" s="45" t="s">
        <v>628</v>
      </c>
      <c r="J73" s="45"/>
      <c r="K73" s="45"/>
    </row>
    <row r="74" ht="14.25" spans="1:11">
      <c r="A74" s="41">
        <v>45724</v>
      </c>
      <c r="B74" s="43" t="s">
        <v>113</v>
      </c>
      <c r="C74" s="43" t="s">
        <v>629</v>
      </c>
      <c r="D74" s="43" t="s">
        <v>76</v>
      </c>
      <c r="E74" s="43" t="s">
        <v>62</v>
      </c>
      <c r="F74" s="43">
        <v>20</v>
      </c>
      <c r="G74" s="43">
        <v>0</v>
      </c>
      <c r="H74" s="81">
        <f t="shared" si="2"/>
        <v>0</v>
      </c>
      <c r="I74" s="43" t="s">
        <v>32</v>
      </c>
      <c r="J74" s="43"/>
      <c r="K74" s="43"/>
    </row>
    <row r="75" s="35" customFormat="1" ht="14.25" spans="1:11">
      <c r="A75" s="44">
        <v>45724</v>
      </c>
      <c r="B75" s="45" t="s">
        <v>113</v>
      </c>
      <c r="C75" s="45" t="s">
        <v>630</v>
      </c>
      <c r="D75" s="45" t="s">
        <v>128</v>
      </c>
      <c r="E75" s="45" t="s">
        <v>60</v>
      </c>
      <c r="F75" s="45">
        <v>11820</v>
      </c>
      <c r="G75" s="45">
        <v>0.5</v>
      </c>
      <c r="H75" s="80">
        <f t="shared" si="2"/>
        <v>5910</v>
      </c>
      <c r="I75" s="45" t="s">
        <v>278</v>
      </c>
      <c r="J75" s="45"/>
      <c r="K75" s="45"/>
    </row>
    <row r="76" s="35" customFormat="1" ht="14.25" spans="1:11">
      <c r="A76" s="44">
        <v>45724</v>
      </c>
      <c r="B76" s="45" t="s">
        <v>113</v>
      </c>
      <c r="C76" s="45" t="s">
        <v>630</v>
      </c>
      <c r="D76" s="45" t="s">
        <v>76</v>
      </c>
      <c r="E76" s="45" t="s">
        <v>123</v>
      </c>
      <c r="F76" s="45">
        <v>1010</v>
      </c>
      <c r="G76" s="45">
        <v>0.5</v>
      </c>
      <c r="H76" s="80">
        <f t="shared" si="2"/>
        <v>505</v>
      </c>
      <c r="I76" s="45" t="s">
        <v>631</v>
      </c>
      <c r="J76" s="45"/>
      <c r="K76" s="45"/>
    </row>
    <row r="77" s="35" customFormat="1" ht="14.25" spans="1:11">
      <c r="A77" s="44">
        <v>45726</v>
      </c>
      <c r="B77" s="45" t="s">
        <v>113</v>
      </c>
      <c r="C77" s="45" t="s">
        <v>632</v>
      </c>
      <c r="D77" s="45" t="s">
        <v>76</v>
      </c>
      <c r="E77" s="45" t="s">
        <v>62</v>
      </c>
      <c r="F77" s="45">
        <v>5010</v>
      </c>
      <c r="G77" s="45">
        <v>0.49</v>
      </c>
      <c r="H77" s="80">
        <f t="shared" si="2"/>
        <v>2454.9</v>
      </c>
      <c r="I77" s="45" t="s">
        <v>633</v>
      </c>
      <c r="J77" s="45"/>
      <c r="K77" s="45"/>
    </row>
    <row r="78" s="35" customFormat="1" ht="14.25" spans="1:11">
      <c r="A78" s="44">
        <v>45726</v>
      </c>
      <c r="B78" s="45" t="s">
        <v>113</v>
      </c>
      <c r="C78" s="45" t="s">
        <v>632</v>
      </c>
      <c r="D78" s="45" t="s">
        <v>76</v>
      </c>
      <c r="E78" s="45" t="s">
        <v>339</v>
      </c>
      <c r="F78" s="45">
        <v>4000</v>
      </c>
      <c r="G78" s="45">
        <v>0.5</v>
      </c>
      <c r="H78" s="80">
        <f t="shared" si="2"/>
        <v>2000</v>
      </c>
      <c r="I78" s="45" t="s">
        <v>126</v>
      </c>
      <c r="J78" s="45"/>
      <c r="K78" s="45"/>
    </row>
    <row r="79" s="35" customFormat="1" ht="14.25" spans="1:11">
      <c r="A79" s="44">
        <v>45726</v>
      </c>
      <c r="B79" s="45" t="s">
        <v>113</v>
      </c>
      <c r="C79" s="45" t="s">
        <v>632</v>
      </c>
      <c r="D79" s="45" t="s">
        <v>76</v>
      </c>
      <c r="E79" s="45" t="s">
        <v>60</v>
      </c>
      <c r="F79" s="45">
        <v>2010</v>
      </c>
      <c r="G79" s="45">
        <v>0.47</v>
      </c>
      <c r="H79" s="80">
        <f t="shared" si="2"/>
        <v>944.7</v>
      </c>
      <c r="I79" s="45" t="s">
        <v>631</v>
      </c>
      <c r="J79" s="45"/>
      <c r="K79" s="45"/>
    </row>
    <row r="80" ht="14.25" spans="1:11">
      <c r="A80" s="41">
        <v>45727</v>
      </c>
      <c r="B80" s="43" t="s">
        <v>113</v>
      </c>
      <c r="C80" s="43" t="s">
        <v>634</v>
      </c>
      <c r="D80" s="43" t="s">
        <v>59</v>
      </c>
      <c r="E80" s="43" t="s">
        <v>62</v>
      </c>
      <c r="F80" s="43">
        <v>20</v>
      </c>
      <c r="G80" s="43">
        <v>0</v>
      </c>
      <c r="H80" s="81">
        <f t="shared" si="2"/>
        <v>0</v>
      </c>
      <c r="I80" s="43" t="s">
        <v>32</v>
      </c>
      <c r="J80" s="43"/>
      <c r="K80" s="43"/>
    </row>
    <row r="81" ht="14.25" spans="1:11">
      <c r="A81" s="41">
        <v>45728</v>
      </c>
      <c r="B81" s="43" t="s">
        <v>113</v>
      </c>
      <c r="C81" s="43" t="s">
        <v>635</v>
      </c>
      <c r="D81" s="43" t="s">
        <v>196</v>
      </c>
      <c r="E81" s="43" t="s">
        <v>60</v>
      </c>
      <c r="F81" s="43">
        <v>10030</v>
      </c>
      <c r="G81" s="43">
        <v>0.75</v>
      </c>
      <c r="H81" s="81">
        <f t="shared" si="2"/>
        <v>7522.5</v>
      </c>
      <c r="I81" s="43" t="s">
        <v>56</v>
      </c>
      <c r="J81" s="43"/>
      <c r="K81" s="43"/>
    </row>
    <row r="82" s="35" customFormat="1" ht="14.25" spans="1:11">
      <c r="A82" s="44">
        <v>45728</v>
      </c>
      <c r="B82" s="45" t="s">
        <v>113</v>
      </c>
      <c r="C82" s="45" t="s">
        <v>635</v>
      </c>
      <c r="D82" s="45" t="s">
        <v>76</v>
      </c>
      <c r="E82" s="45" t="s">
        <v>123</v>
      </c>
      <c r="F82" s="45">
        <v>26500</v>
      </c>
      <c r="G82" s="45">
        <v>0.5</v>
      </c>
      <c r="H82" s="80">
        <f t="shared" si="2"/>
        <v>13250</v>
      </c>
      <c r="I82" s="45" t="s">
        <v>126</v>
      </c>
      <c r="J82" s="45"/>
      <c r="K82" s="45"/>
    </row>
    <row r="83" s="35" customFormat="1" ht="14.25" spans="1:11">
      <c r="A83" s="44">
        <v>45728</v>
      </c>
      <c r="B83" s="45" t="s">
        <v>113</v>
      </c>
      <c r="C83" s="45" t="s">
        <v>635</v>
      </c>
      <c r="D83" s="45" t="s">
        <v>76</v>
      </c>
      <c r="E83" s="45" t="s">
        <v>636</v>
      </c>
      <c r="F83" s="45">
        <v>1110</v>
      </c>
      <c r="G83" s="45">
        <v>0.48</v>
      </c>
      <c r="H83" s="80">
        <f t="shared" si="2"/>
        <v>532.8</v>
      </c>
      <c r="I83" s="45" t="s">
        <v>340</v>
      </c>
      <c r="J83" s="45"/>
      <c r="K83" s="45"/>
    </row>
    <row r="84" s="35" customFormat="1" ht="14.25" spans="1:11">
      <c r="A84" s="44">
        <v>45728</v>
      </c>
      <c r="B84" s="45" t="s">
        <v>113</v>
      </c>
      <c r="C84" s="45" t="s">
        <v>635</v>
      </c>
      <c r="D84" s="45" t="s">
        <v>76</v>
      </c>
      <c r="E84" s="45" t="s">
        <v>60</v>
      </c>
      <c r="F84" s="45">
        <v>6210</v>
      </c>
      <c r="G84" s="45">
        <v>0.47</v>
      </c>
      <c r="H84" s="80">
        <f t="shared" si="2"/>
        <v>2918.7</v>
      </c>
      <c r="I84" s="45" t="s">
        <v>340</v>
      </c>
      <c r="J84" s="45"/>
      <c r="K84" s="45"/>
    </row>
    <row r="85" s="35" customFormat="1" ht="14.25" spans="1:11">
      <c r="A85" s="44">
        <v>45728</v>
      </c>
      <c r="B85" s="45" t="s">
        <v>113</v>
      </c>
      <c r="C85" s="45" t="s">
        <v>635</v>
      </c>
      <c r="D85" s="45" t="s">
        <v>627</v>
      </c>
      <c r="E85" s="45" t="s">
        <v>99</v>
      </c>
      <c r="F85" s="45">
        <v>1010</v>
      </c>
      <c r="G85" s="45">
        <v>0.8</v>
      </c>
      <c r="H85" s="80">
        <f t="shared" si="2"/>
        <v>808</v>
      </c>
      <c r="I85" s="45" t="s">
        <v>637</v>
      </c>
      <c r="J85" s="45" t="s">
        <v>455</v>
      </c>
      <c r="K85" s="45">
        <v>0.95</v>
      </c>
    </row>
    <row r="86" ht="14.25" spans="1:11">
      <c r="A86" s="41">
        <v>45728</v>
      </c>
      <c r="B86" s="43" t="s">
        <v>113</v>
      </c>
      <c r="C86" s="43" t="s">
        <v>638</v>
      </c>
      <c r="D86" s="43" t="s">
        <v>76</v>
      </c>
      <c r="E86" s="43" t="s">
        <v>127</v>
      </c>
      <c r="F86" s="43">
        <v>20</v>
      </c>
      <c r="G86" s="43">
        <v>0</v>
      </c>
      <c r="H86" s="81">
        <f t="shared" si="2"/>
        <v>0</v>
      </c>
      <c r="I86" s="43" t="s">
        <v>32</v>
      </c>
      <c r="J86" s="43"/>
      <c r="K86" s="43"/>
    </row>
    <row r="87" ht="14.25" spans="1:11">
      <c r="A87" s="41">
        <v>45729</v>
      </c>
      <c r="B87" s="43" t="s">
        <v>113</v>
      </c>
      <c r="C87" s="43" t="s">
        <v>639</v>
      </c>
      <c r="D87" s="43" t="s">
        <v>128</v>
      </c>
      <c r="E87" s="43" t="s">
        <v>62</v>
      </c>
      <c r="F87" s="43">
        <v>10</v>
      </c>
      <c r="G87" s="43">
        <v>0</v>
      </c>
      <c r="H87" s="81">
        <f t="shared" si="2"/>
        <v>0</v>
      </c>
      <c r="I87" s="43" t="s">
        <v>32</v>
      </c>
      <c r="J87" s="43"/>
      <c r="K87" s="43"/>
    </row>
    <row r="88" s="35" customFormat="1" ht="14.25" spans="1:11">
      <c r="A88" s="44">
        <v>45730</v>
      </c>
      <c r="B88" s="45" t="s">
        <v>113</v>
      </c>
      <c r="C88" s="45" t="s">
        <v>640</v>
      </c>
      <c r="D88" s="45" t="s">
        <v>128</v>
      </c>
      <c r="E88" s="45" t="s">
        <v>62</v>
      </c>
      <c r="F88" s="45">
        <v>3500</v>
      </c>
      <c r="G88" s="45">
        <v>0.52</v>
      </c>
      <c r="H88" s="80">
        <f t="shared" si="2"/>
        <v>1820</v>
      </c>
      <c r="I88" s="45" t="s">
        <v>129</v>
      </c>
      <c r="J88" s="45"/>
      <c r="K88" s="45"/>
    </row>
    <row r="89" s="35" customFormat="1" ht="14.25" spans="1:11">
      <c r="A89" s="44">
        <v>45732</v>
      </c>
      <c r="B89" s="45" t="s">
        <v>113</v>
      </c>
      <c r="C89" s="45" t="s">
        <v>641</v>
      </c>
      <c r="D89" s="45" t="s">
        <v>76</v>
      </c>
      <c r="E89" s="45" t="s">
        <v>642</v>
      </c>
      <c r="F89" s="45">
        <v>3025</v>
      </c>
      <c r="G89" s="45">
        <v>0.52</v>
      </c>
      <c r="H89" s="80">
        <f t="shared" si="2"/>
        <v>1573</v>
      </c>
      <c r="I89" s="45" t="s">
        <v>126</v>
      </c>
      <c r="J89" s="45"/>
      <c r="K89" s="45"/>
    </row>
    <row r="90" s="35" customFormat="1" ht="14.25" spans="1:11">
      <c r="A90" s="44">
        <v>45734</v>
      </c>
      <c r="B90" s="45" t="s">
        <v>113</v>
      </c>
      <c r="C90" s="45" t="s">
        <v>643</v>
      </c>
      <c r="D90" s="45" t="s">
        <v>76</v>
      </c>
      <c r="E90" s="45" t="s">
        <v>123</v>
      </c>
      <c r="F90" s="45">
        <v>8110</v>
      </c>
      <c r="G90" s="45">
        <v>0.5</v>
      </c>
      <c r="H90" s="80">
        <f t="shared" si="2"/>
        <v>4055</v>
      </c>
      <c r="I90" s="45" t="s">
        <v>644</v>
      </c>
      <c r="J90" s="45"/>
      <c r="K90" s="45"/>
    </row>
    <row r="91" s="35" customFormat="1" ht="14.25" spans="1:11">
      <c r="A91" s="44">
        <v>45734</v>
      </c>
      <c r="B91" s="45" t="s">
        <v>113</v>
      </c>
      <c r="C91" s="45" t="s">
        <v>643</v>
      </c>
      <c r="D91" s="45" t="s">
        <v>76</v>
      </c>
      <c r="E91" s="45" t="s">
        <v>127</v>
      </c>
      <c r="F91" s="45">
        <v>2010</v>
      </c>
      <c r="G91" s="45">
        <v>0.52</v>
      </c>
      <c r="H91" s="80">
        <f t="shared" si="2"/>
        <v>1045.2</v>
      </c>
      <c r="I91" s="45" t="s">
        <v>644</v>
      </c>
      <c r="J91" s="45"/>
      <c r="K91" s="45"/>
    </row>
    <row r="92" s="35" customFormat="1" ht="14.25" spans="1:11">
      <c r="A92" s="44">
        <v>45736</v>
      </c>
      <c r="B92" s="45" t="s">
        <v>113</v>
      </c>
      <c r="C92" s="45" t="s">
        <v>645</v>
      </c>
      <c r="D92" s="45" t="s">
        <v>122</v>
      </c>
      <c r="E92" s="45" t="s">
        <v>646</v>
      </c>
      <c r="F92" s="45">
        <v>21030</v>
      </c>
      <c r="G92" s="45">
        <v>0.55</v>
      </c>
      <c r="H92" s="80">
        <f t="shared" si="2"/>
        <v>11566.5</v>
      </c>
      <c r="I92" s="45" t="s">
        <v>647</v>
      </c>
      <c r="J92" s="45"/>
      <c r="K92" s="45"/>
    </row>
    <row r="93" ht="14.25" spans="1:11">
      <c r="A93" s="41">
        <v>45737</v>
      </c>
      <c r="B93" s="43" t="s">
        <v>113</v>
      </c>
      <c r="C93" s="43" t="s">
        <v>648</v>
      </c>
      <c r="D93" s="43" t="s">
        <v>196</v>
      </c>
      <c r="E93" s="43" t="s">
        <v>123</v>
      </c>
      <c r="F93" s="43">
        <v>60</v>
      </c>
      <c r="G93" s="43">
        <v>0.56</v>
      </c>
      <c r="H93" s="81">
        <f t="shared" si="2"/>
        <v>33.6</v>
      </c>
      <c r="I93" s="43" t="s">
        <v>15</v>
      </c>
      <c r="J93" s="43"/>
      <c r="K93" s="43"/>
    </row>
    <row r="94" ht="14.25" spans="1:11">
      <c r="A94" s="41">
        <v>45738</v>
      </c>
      <c r="B94" s="43" t="s">
        <v>113</v>
      </c>
      <c r="C94" s="43" t="s">
        <v>649</v>
      </c>
      <c r="D94" s="43" t="s">
        <v>122</v>
      </c>
      <c r="E94" s="43" t="s">
        <v>62</v>
      </c>
      <c r="F94" s="43">
        <v>20</v>
      </c>
      <c r="G94" s="43">
        <v>0</v>
      </c>
      <c r="H94" s="81">
        <f t="shared" si="2"/>
        <v>0</v>
      </c>
      <c r="I94" s="43" t="s">
        <v>32</v>
      </c>
      <c r="J94" s="43"/>
      <c r="K94" s="43"/>
    </row>
    <row r="95" ht="14.25" spans="1:11">
      <c r="A95" s="41">
        <v>45738</v>
      </c>
      <c r="B95" s="43" t="s">
        <v>113</v>
      </c>
      <c r="C95" s="43" t="s">
        <v>649</v>
      </c>
      <c r="D95" s="43" t="s">
        <v>128</v>
      </c>
      <c r="E95" s="43" t="s">
        <v>60</v>
      </c>
      <c r="F95" s="43">
        <v>65</v>
      </c>
      <c r="G95" s="43">
        <v>0.5</v>
      </c>
      <c r="H95" s="81">
        <f t="shared" si="2"/>
        <v>32.5</v>
      </c>
      <c r="I95" s="43" t="s">
        <v>63</v>
      </c>
      <c r="J95" s="43"/>
      <c r="K95" s="43"/>
    </row>
    <row r="96" ht="14.25" spans="1:11">
      <c r="A96" s="41">
        <v>45738</v>
      </c>
      <c r="B96" s="43" t="s">
        <v>113</v>
      </c>
      <c r="C96" s="43" t="s">
        <v>649</v>
      </c>
      <c r="D96" s="43" t="s">
        <v>650</v>
      </c>
      <c r="E96" s="43" t="s">
        <v>60</v>
      </c>
      <c r="F96" s="43">
        <v>20</v>
      </c>
      <c r="G96" s="43">
        <v>0.6</v>
      </c>
      <c r="H96" s="81">
        <f t="shared" si="2"/>
        <v>12</v>
      </c>
      <c r="I96" s="43" t="s">
        <v>32</v>
      </c>
      <c r="J96" s="43"/>
      <c r="K96" s="43"/>
    </row>
    <row r="97" ht="14.25" spans="1:11">
      <c r="A97" s="41">
        <v>45738</v>
      </c>
      <c r="B97" s="43" t="s">
        <v>113</v>
      </c>
      <c r="C97" s="43" t="s">
        <v>649</v>
      </c>
      <c r="D97" s="43" t="s">
        <v>650</v>
      </c>
      <c r="E97" s="43" t="s">
        <v>123</v>
      </c>
      <c r="F97" s="43">
        <v>50</v>
      </c>
      <c r="G97" s="43">
        <v>0.65</v>
      </c>
      <c r="H97" s="81">
        <f t="shared" si="2"/>
        <v>32.5</v>
      </c>
      <c r="I97" s="43" t="s">
        <v>32</v>
      </c>
      <c r="J97" s="43"/>
      <c r="K97" s="43"/>
    </row>
    <row r="98" s="35" customFormat="1" ht="14.25" spans="1:11">
      <c r="A98" s="44">
        <v>45738</v>
      </c>
      <c r="B98" s="45" t="s">
        <v>113</v>
      </c>
      <c r="C98" s="45" t="s">
        <v>651</v>
      </c>
      <c r="D98" s="45" t="s">
        <v>332</v>
      </c>
      <c r="E98" s="45" t="s">
        <v>60</v>
      </c>
      <c r="F98" s="45">
        <v>13220</v>
      </c>
      <c r="G98" s="45">
        <v>0.5</v>
      </c>
      <c r="H98" s="80">
        <f t="shared" si="2"/>
        <v>6610</v>
      </c>
      <c r="I98" s="45" t="s">
        <v>278</v>
      </c>
      <c r="J98" s="45"/>
      <c r="K98" s="45"/>
    </row>
    <row r="99" s="35" customFormat="1" ht="14.25" spans="1:11">
      <c r="A99" s="44">
        <v>45739</v>
      </c>
      <c r="B99" s="45" t="s">
        <v>113</v>
      </c>
      <c r="C99" s="45" t="s">
        <v>652</v>
      </c>
      <c r="D99" s="45" t="s">
        <v>128</v>
      </c>
      <c r="E99" s="45" t="s">
        <v>60</v>
      </c>
      <c r="F99" s="45">
        <v>30050</v>
      </c>
      <c r="G99" s="45">
        <v>0.5</v>
      </c>
      <c r="H99" s="80">
        <f t="shared" si="2"/>
        <v>15025</v>
      </c>
      <c r="I99" s="45" t="s">
        <v>243</v>
      </c>
      <c r="J99" s="45"/>
      <c r="K99" s="45"/>
    </row>
    <row r="100" s="35" customFormat="1" ht="14.25" spans="1:11">
      <c r="A100" s="44">
        <v>45739</v>
      </c>
      <c r="B100" s="45" t="s">
        <v>113</v>
      </c>
      <c r="C100" s="45" t="s">
        <v>652</v>
      </c>
      <c r="D100" s="45" t="s">
        <v>122</v>
      </c>
      <c r="E100" s="45" t="s">
        <v>62</v>
      </c>
      <c r="F100" s="45">
        <v>1003</v>
      </c>
      <c r="G100" s="45">
        <v>0.52</v>
      </c>
      <c r="H100" s="80">
        <f t="shared" si="2"/>
        <v>521.56</v>
      </c>
      <c r="I100" s="45" t="s">
        <v>278</v>
      </c>
      <c r="J100" s="45"/>
      <c r="K100" s="45"/>
    </row>
    <row r="101" s="35" customFormat="1" ht="14.25" spans="1:11">
      <c r="A101" s="44">
        <v>45740</v>
      </c>
      <c r="B101" s="45" t="s">
        <v>113</v>
      </c>
      <c r="C101" s="45" t="s">
        <v>653</v>
      </c>
      <c r="D101" s="45" t="s">
        <v>59</v>
      </c>
      <c r="E101" s="45" t="s">
        <v>62</v>
      </c>
      <c r="F101" s="45">
        <v>1045</v>
      </c>
      <c r="G101" s="45">
        <v>0.5</v>
      </c>
      <c r="H101" s="80">
        <f t="shared" si="2"/>
        <v>522.5</v>
      </c>
      <c r="I101" s="45" t="s">
        <v>35</v>
      </c>
      <c r="J101" s="45"/>
      <c r="K101" s="45"/>
    </row>
    <row r="102" s="35" customFormat="1" ht="14.25" spans="1:11">
      <c r="A102" s="44">
        <v>45740</v>
      </c>
      <c r="B102" s="45" t="s">
        <v>113</v>
      </c>
      <c r="C102" s="45" t="s">
        <v>653</v>
      </c>
      <c r="D102" s="45" t="s">
        <v>70</v>
      </c>
      <c r="E102" s="45" t="s">
        <v>60</v>
      </c>
      <c r="F102" s="45">
        <v>100</v>
      </c>
      <c r="G102" s="45">
        <v>0.51</v>
      </c>
      <c r="H102" s="80">
        <f t="shared" si="2"/>
        <v>51</v>
      </c>
      <c r="I102" s="45" t="s">
        <v>61</v>
      </c>
      <c r="J102" s="45"/>
      <c r="K102" s="45"/>
    </row>
    <row r="103" s="35" customFormat="1" ht="14.25" spans="1:11">
      <c r="A103" s="44">
        <v>45741</v>
      </c>
      <c r="B103" s="45" t="s">
        <v>113</v>
      </c>
      <c r="C103" s="45" t="s">
        <v>654</v>
      </c>
      <c r="D103" s="45" t="s">
        <v>76</v>
      </c>
      <c r="E103" s="45" t="s">
        <v>342</v>
      </c>
      <c r="F103" s="45">
        <v>12310</v>
      </c>
      <c r="G103" s="45">
        <v>0.45</v>
      </c>
      <c r="H103" s="80">
        <f t="shared" si="2"/>
        <v>5539.5</v>
      </c>
      <c r="I103" s="45" t="s">
        <v>340</v>
      </c>
      <c r="J103" s="45"/>
      <c r="K103" s="45"/>
    </row>
    <row r="104" s="35" customFormat="1" ht="14.25" spans="1:11">
      <c r="A104" s="44">
        <v>45741</v>
      </c>
      <c r="B104" s="45" t="s">
        <v>113</v>
      </c>
      <c r="C104" s="45" t="s">
        <v>654</v>
      </c>
      <c r="D104" s="45" t="s">
        <v>76</v>
      </c>
      <c r="E104" s="45" t="s">
        <v>123</v>
      </c>
      <c r="F104" s="45">
        <v>16420</v>
      </c>
      <c r="G104" s="45">
        <v>0.5</v>
      </c>
      <c r="H104" s="80">
        <f t="shared" si="2"/>
        <v>8210</v>
      </c>
      <c r="I104" s="45" t="s">
        <v>340</v>
      </c>
      <c r="J104" s="45"/>
      <c r="K104" s="45"/>
    </row>
    <row r="105" s="35" customFormat="1" ht="14.25" spans="1:11">
      <c r="A105" s="44">
        <v>45743</v>
      </c>
      <c r="B105" s="45" t="s">
        <v>113</v>
      </c>
      <c r="C105" s="45" t="s">
        <v>655</v>
      </c>
      <c r="D105" s="45" t="s">
        <v>70</v>
      </c>
      <c r="E105" s="45" t="s">
        <v>123</v>
      </c>
      <c r="F105" s="45">
        <v>100</v>
      </c>
      <c r="G105" s="45">
        <v>0.56</v>
      </c>
      <c r="H105" s="80">
        <f t="shared" si="2"/>
        <v>56</v>
      </c>
      <c r="I105" s="45" t="s">
        <v>656</v>
      </c>
      <c r="J105" s="45"/>
      <c r="K105" s="45"/>
    </row>
    <row r="106" ht="14.25" spans="1:11">
      <c r="A106" s="41">
        <v>45743</v>
      </c>
      <c r="B106" s="43" t="s">
        <v>113</v>
      </c>
      <c r="C106" s="43" t="s">
        <v>655</v>
      </c>
      <c r="D106" s="43" t="s">
        <v>332</v>
      </c>
      <c r="E106" s="43" t="s">
        <v>60</v>
      </c>
      <c r="F106" s="43">
        <v>20</v>
      </c>
      <c r="G106" s="43">
        <v>0</v>
      </c>
      <c r="H106" s="81">
        <f t="shared" si="2"/>
        <v>0</v>
      </c>
      <c r="I106" s="43" t="s">
        <v>32</v>
      </c>
      <c r="J106" s="43"/>
      <c r="K106" s="43"/>
    </row>
    <row r="107" ht="14.25" spans="1:11">
      <c r="A107" s="41">
        <v>45744</v>
      </c>
      <c r="B107" s="43" t="s">
        <v>113</v>
      </c>
      <c r="C107" s="43" t="s">
        <v>657</v>
      </c>
      <c r="D107" s="43" t="s">
        <v>76</v>
      </c>
      <c r="E107" s="43" t="s">
        <v>60</v>
      </c>
      <c r="F107" s="43">
        <v>20</v>
      </c>
      <c r="G107" s="43">
        <v>0</v>
      </c>
      <c r="H107" s="81">
        <f t="shared" si="2"/>
        <v>0</v>
      </c>
      <c r="I107" s="43" t="s">
        <v>32</v>
      </c>
      <c r="J107" s="43"/>
      <c r="K107" s="43"/>
    </row>
    <row r="108" s="35" customFormat="1" ht="14.25" spans="1:11">
      <c r="A108" s="44">
        <v>45742</v>
      </c>
      <c r="B108" s="45" t="s">
        <v>113</v>
      </c>
      <c r="C108" s="45" t="s">
        <v>658</v>
      </c>
      <c r="D108" s="45" t="s">
        <v>122</v>
      </c>
      <c r="E108" s="45" t="s">
        <v>60</v>
      </c>
      <c r="F108" s="45">
        <v>30</v>
      </c>
      <c r="G108" s="45">
        <v>0.5</v>
      </c>
      <c r="H108" s="80">
        <f t="shared" si="2"/>
        <v>15</v>
      </c>
      <c r="I108" s="45" t="s">
        <v>32</v>
      </c>
      <c r="J108" s="45"/>
      <c r="K108" s="45"/>
    </row>
    <row r="109" s="35" customFormat="1" ht="14.25" spans="1:11">
      <c r="A109" s="44">
        <v>45746</v>
      </c>
      <c r="B109" s="45" t="s">
        <v>113</v>
      </c>
      <c r="C109" s="45" t="s">
        <v>659</v>
      </c>
      <c r="D109" s="45" t="s">
        <v>76</v>
      </c>
      <c r="E109" s="45" t="s">
        <v>660</v>
      </c>
      <c r="F109" s="45">
        <v>4450</v>
      </c>
      <c r="G109" s="45">
        <v>0.52</v>
      </c>
      <c r="H109" s="80">
        <v>1</v>
      </c>
      <c r="I109" s="45" t="s">
        <v>126</v>
      </c>
      <c r="J109" s="45"/>
      <c r="K109" s="45"/>
    </row>
    <row r="110" s="35" customFormat="1" ht="14.25" spans="1:11">
      <c r="A110" s="44">
        <v>45746</v>
      </c>
      <c r="B110" s="45" t="s">
        <v>113</v>
      </c>
      <c r="C110" s="45" t="s">
        <v>659</v>
      </c>
      <c r="D110" s="45" t="s">
        <v>76</v>
      </c>
      <c r="E110" s="45" t="s">
        <v>346</v>
      </c>
      <c r="F110" s="45">
        <v>6060</v>
      </c>
      <c r="G110" s="45">
        <v>0.5</v>
      </c>
      <c r="H110" s="80">
        <v>2</v>
      </c>
      <c r="I110" s="45" t="s">
        <v>644</v>
      </c>
      <c r="J110" s="45"/>
      <c r="K110" s="45"/>
    </row>
    <row r="111" s="35" customFormat="1" ht="14.25" spans="1:11">
      <c r="A111" s="44">
        <v>45746</v>
      </c>
      <c r="B111" s="45" t="s">
        <v>113</v>
      </c>
      <c r="C111" s="45" t="s">
        <v>661</v>
      </c>
      <c r="D111" s="45" t="s">
        <v>196</v>
      </c>
      <c r="E111" s="45" t="s">
        <v>60</v>
      </c>
      <c r="F111" s="45">
        <v>35</v>
      </c>
      <c r="G111" s="45">
        <v>0.75</v>
      </c>
      <c r="H111" s="80">
        <v>3</v>
      </c>
      <c r="I111" s="45" t="s">
        <v>662</v>
      </c>
      <c r="J111" s="45"/>
      <c r="K111" s="45"/>
    </row>
    <row r="112" s="35" customFormat="1" ht="14.25" spans="1:11">
      <c r="A112" s="44">
        <v>45747</v>
      </c>
      <c r="B112" s="45" t="s">
        <v>113</v>
      </c>
      <c r="C112" s="45" t="s">
        <v>663</v>
      </c>
      <c r="D112" s="45" t="s">
        <v>130</v>
      </c>
      <c r="E112" s="45" t="s">
        <v>339</v>
      </c>
      <c r="F112" s="45">
        <v>20000</v>
      </c>
      <c r="G112" s="45">
        <v>0.5</v>
      </c>
      <c r="H112" s="80">
        <v>4</v>
      </c>
      <c r="I112" s="45" t="s">
        <v>117</v>
      </c>
      <c r="J112" s="45"/>
      <c r="K112" s="45"/>
    </row>
    <row r="113" s="35" customFormat="1" ht="14.25" spans="1:11">
      <c r="A113" s="44">
        <v>45747</v>
      </c>
      <c r="B113" s="45" t="s">
        <v>113</v>
      </c>
      <c r="C113" s="45" t="s">
        <v>663</v>
      </c>
      <c r="D113" s="45" t="s">
        <v>76</v>
      </c>
      <c r="E113" s="45" t="s">
        <v>339</v>
      </c>
      <c r="F113" s="45">
        <v>2000</v>
      </c>
      <c r="G113" s="45">
        <v>0.5</v>
      </c>
      <c r="H113" s="80">
        <v>5</v>
      </c>
      <c r="I113" s="45" t="s">
        <v>664</v>
      </c>
      <c r="J113" s="45"/>
      <c r="K113" s="45"/>
    </row>
    <row r="114" ht="14.25" spans="1:11">
      <c r="A114" s="41">
        <v>45717</v>
      </c>
      <c r="B114" s="43" t="s">
        <v>174</v>
      </c>
      <c r="C114" s="87" t="s">
        <v>665</v>
      </c>
      <c r="D114" s="43" t="s">
        <v>130</v>
      </c>
      <c r="E114" s="43" t="s">
        <v>60</v>
      </c>
      <c r="F114" s="43">
        <v>2500</v>
      </c>
      <c r="G114" s="43">
        <v>0.34</v>
      </c>
      <c r="H114" s="81">
        <f t="shared" ref="H114:H122" si="3">F114*G114</f>
        <v>850</v>
      </c>
      <c r="I114" s="43" t="s">
        <v>422</v>
      </c>
      <c r="J114" s="43"/>
      <c r="K114" s="43"/>
    </row>
    <row r="115" ht="14.25" spans="1:11">
      <c r="A115" s="41">
        <v>45717</v>
      </c>
      <c r="B115" s="43" t="s">
        <v>174</v>
      </c>
      <c r="C115" s="87" t="s">
        <v>665</v>
      </c>
      <c r="D115" s="43" t="s">
        <v>130</v>
      </c>
      <c r="E115" s="43" t="s">
        <v>60</v>
      </c>
      <c r="F115" s="43">
        <v>2500</v>
      </c>
      <c r="G115" s="43">
        <v>0.455</v>
      </c>
      <c r="H115" s="81">
        <f t="shared" si="3"/>
        <v>1137.5</v>
      </c>
      <c r="I115" s="43" t="s">
        <v>149</v>
      </c>
      <c r="J115" s="43"/>
      <c r="K115" s="43"/>
    </row>
    <row r="116" ht="14.25" spans="1:11">
      <c r="A116" s="41">
        <v>45723</v>
      </c>
      <c r="B116" s="43" t="s">
        <v>174</v>
      </c>
      <c r="C116" s="43"/>
      <c r="D116" s="43" t="s">
        <v>130</v>
      </c>
      <c r="E116" s="43" t="s">
        <v>60</v>
      </c>
      <c r="F116" s="43">
        <v>20000</v>
      </c>
      <c r="G116" s="43">
        <v>0.34</v>
      </c>
      <c r="H116" s="81">
        <f t="shared" si="3"/>
        <v>6800</v>
      </c>
      <c r="I116" s="43" t="s">
        <v>422</v>
      </c>
      <c r="J116" s="43"/>
      <c r="K116" s="43"/>
    </row>
    <row r="117" ht="14.25" spans="1:11">
      <c r="A117" s="41">
        <v>45717</v>
      </c>
      <c r="B117" s="43" t="s">
        <v>156</v>
      </c>
      <c r="C117" s="43">
        <v>202503002</v>
      </c>
      <c r="D117" s="43" t="s">
        <v>666</v>
      </c>
      <c r="E117" s="43" t="s">
        <v>667</v>
      </c>
      <c r="F117" s="43">
        <v>56000</v>
      </c>
      <c r="G117" s="43">
        <v>0.16</v>
      </c>
      <c r="H117" s="81">
        <f t="shared" si="3"/>
        <v>8960</v>
      </c>
      <c r="I117" s="43" t="s">
        <v>61</v>
      </c>
      <c r="J117" s="43"/>
      <c r="K117" s="43"/>
    </row>
    <row r="118" ht="14.25" spans="1:11">
      <c r="A118" s="41">
        <v>45717</v>
      </c>
      <c r="B118" s="43" t="s">
        <v>156</v>
      </c>
      <c r="C118" s="43"/>
      <c r="D118" s="43" t="s">
        <v>668</v>
      </c>
      <c r="E118" s="43" t="s">
        <v>158</v>
      </c>
      <c r="F118" s="43">
        <v>20000</v>
      </c>
      <c r="G118" s="43">
        <v>0.16</v>
      </c>
      <c r="H118" s="81">
        <f t="shared" si="3"/>
        <v>3200</v>
      </c>
      <c r="I118" s="43" t="s">
        <v>61</v>
      </c>
      <c r="J118" s="43" t="s">
        <v>46</v>
      </c>
      <c r="K118" s="43"/>
    </row>
    <row r="119" ht="14.25" spans="1:11">
      <c r="A119" s="41">
        <v>45724</v>
      </c>
      <c r="B119" s="43" t="s">
        <v>156</v>
      </c>
      <c r="C119" s="43"/>
      <c r="D119" s="43" t="s">
        <v>669</v>
      </c>
      <c r="E119" s="43" t="s">
        <v>158</v>
      </c>
      <c r="F119" s="43">
        <v>96000</v>
      </c>
      <c r="G119" s="43">
        <v>0.17</v>
      </c>
      <c r="H119" s="81">
        <f t="shared" si="3"/>
        <v>16320</v>
      </c>
      <c r="I119" s="43" t="s">
        <v>61</v>
      </c>
      <c r="J119" s="43" t="s">
        <v>46</v>
      </c>
      <c r="K119" s="43"/>
    </row>
    <row r="120" ht="14.25" spans="1:11">
      <c r="A120" s="41">
        <v>45724</v>
      </c>
      <c r="B120" s="43" t="s">
        <v>156</v>
      </c>
      <c r="C120" s="43"/>
      <c r="D120" s="43" t="s">
        <v>170</v>
      </c>
      <c r="E120" s="43" t="s">
        <v>158</v>
      </c>
      <c r="F120" s="43">
        <v>60000</v>
      </c>
      <c r="G120" s="43">
        <v>0.17</v>
      </c>
      <c r="H120" s="81">
        <f t="shared" si="3"/>
        <v>10200</v>
      </c>
      <c r="I120" s="43" t="s">
        <v>61</v>
      </c>
      <c r="J120" s="43" t="s">
        <v>46</v>
      </c>
      <c r="K120" s="43"/>
    </row>
    <row r="121" ht="14.25" spans="1:11">
      <c r="A121" s="41">
        <v>45731</v>
      </c>
      <c r="B121" s="43" t="s">
        <v>156</v>
      </c>
      <c r="C121" s="43"/>
      <c r="D121" s="43" t="s">
        <v>170</v>
      </c>
      <c r="E121" s="43" t="s">
        <v>158</v>
      </c>
      <c r="F121" s="43">
        <v>75000</v>
      </c>
      <c r="G121" s="43">
        <v>0.17</v>
      </c>
      <c r="H121" s="81">
        <f t="shared" si="3"/>
        <v>12750</v>
      </c>
      <c r="I121" s="43" t="s">
        <v>61</v>
      </c>
      <c r="J121" s="43" t="s">
        <v>46</v>
      </c>
      <c r="K121" s="43"/>
    </row>
    <row r="122" ht="14.25" spans="1:11">
      <c r="A122" s="41">
        <v>45733</v>
      </c>
      <c r="B122" s="43" t="s">
        <v>156</v>
      </c>
      <c r="C122" s="43"/>
      <c r="D122" s="43" t="s">
        <v>668</v>
      </c>
      <c r="E122" s="43" t="s">
        <v>158</v>
      </c>
      <c r="F122" s="43">
        <v>51000</v>
      </c>
      <c r="G122" s="43">
        <v>0.14</v>
      </c>
      <c r="H122" s="81">
        <f t="shared" si="3"/>
        <v>7140</v>
      </c>
      <c r="I122" s="43" t="s">
        <v>509</v>
      </c>
      <c r="J122" s="43" t="s">
        <v>46</v>
      </c>
      <c r="K122" s="43"/>
    </row>
    <row r="123" ht="14.25" spans="1:11">
      <c r="A123" s="41">
        <v>45735</v>
      </c>
      <c r="B123" s="43" t="s">
        <v>156</v>
      </c>
      <c r="C123" s="43"/>
      <c r="D123" s="43" t="s">
        <v>670</v>
      </c>
      <c r="E123" s="43" t="s">
        <v>158</v>
      </c>
      <c r="F123" s="43">
        <v>15000</v>
      </c>
      <c r="G123" s="43">
        <v>0.17</v>
      </c>
      <c r="H123" s="81">
        <f t="shared" ref="H123:H142" si="4">F123*G123</f>
        <v>2550</v>
      </c>
      <c r="I123" s="43" t="s">
        <v>61</v>
      </c>
      <c r="J123" s="43"/>
      <c r="K123" s="43"/>
    </row>
    <row r="124" ht="14.25" spans="1:11">
      <c r="A124" s="41">
        <v>45738</v>
      </c>
      <c r="B124" s="43" t="s">
        <v>156</v>
      </c>
      <c r="C124" s="43"/>
      <c r="D124" s="43" t="s">
        <v>671</v>
      </c>
      <c r="E124" s="43" t="s">
        <v>672</v>
      </c>
      <c r="F124" s="43">
        <v>500</v>
      </c>
      <c r="G124" s="43">
        <v>0.23</v>
      </c>
      <c r="H124" s="81">
        <f t="shared" si="4"/>
        <v>115</v>
      </c>
      <c r="I124" s="43" t="s">
        <v>28</v>
      </c>
      <c r="J124" s="43"/>
      <c r="K124" s="43"/>
    </row>
    <row r="125" ht="14.25" spans="1:11">
      <c r="A125" s="41">
        <v>45738</v>
      </c>
      <c r="B125" s="43" t="s">
        <v>156</v>
      </c>
      <c r="C125" s="43"/>
      <c r="D125" s="43" t="s">
        <v>673</v>
      </c>
      <c r="E125" s="43" t="s">
        <v>672</v>
      </c>
      <c r="F125" s="43">
        <v>500</v>
      </c>
      <c r="G125" s="43">
        <v>0.2</v>
      </c>
      <c r="H125" s="81">
        <f t="shared" si="4"/>
        <v>100</v>
      </c>
      <c r="I125" s="43" t="s">
        <v>28</v>
      </c>
      <c r="J125" s="43"/>
      <c r="K125" s="43"/>
    </row>
    <row r="126" ht="14.25" spans="1:11">
      <c r="A126" s="41">
        <v>45740</v>
      </c>
      <c r="B126" s="43" t="s">
        <v>156</v>
      </c>
      <c r="C126" s="43"/>
      <c r="D126" s="43" t="s">
        <v>170</v>
      </c>
      <c r="E126" s="43" t="s">
        <v>158</v>
      </c>
      <c r="F126" s="43">
        <v>25700</v>
      </c>
      <c r="G126" s="43">
        <v>0.17</v>
      </c>
      <c r="H126" s="81">
        <f t="shared" si="4"/>
        <v>4369</v>
      </c>
      <c r="I126" s="43" t="s">
        <v>61</v>
      </c>
      <c r="J126" s="43"/>
      <c r="K126" s="43"/>
    </row>
    <row r="127" ht="14.25" spans="1:11">
      <c r="A127" s="41">
        <v>45740</v>
      </c>
      <c r="B127" s="43" t="s">
        <v>156</v>
      </c>
      <c r="C127" s="43"/>
      <c r="D127" s="43" t="s">
        <v>670</v>
      </c>
      <c r="E127" s="43" t="s">
        <v>158</v>
      </c>
      <c r="F127" s="43">
        <v>5129</v>
      </c>
      <c r="G127" s="43">
        <v>0.17</v>
      </c>
      <c r="H127" s="81">
        <f t="shared" si="4"/>
        <v>871.93</v>
      </c>
      <c r="I127" s="43" t="s">
        <v>61</v>
      </c>
      <c r="J127" s="43"/>
      <c r="K127" s="43"/>
    </row>
    <row r="128" ht="14.25" spans="1:11">
      <c r="A128" s="41">
        <v>45740</v>
      </c>
      <c r="B128" s="43" t="s">
        <v>156</v>
      </c>
      <c r="C128" s="43"/>
      <c r="D128" s="43" t="s">
        <v>674</v>
      </c>
      <c r="E128" s="43" t="s">
        <v>675</v>
      </c>
      <c r="F128" s="43">
        <v>500</v>
      </c>
      <c r="G128" s="43">
        <v>0.25</v>
      </c>
      <c r="H128" s="81">
        <f t="shared" si="4"/>
        <v>125</v>
      </c>
      <c r="I128" s="43" t="s">
        <v>28</v>
      </c>
      <c r="J128" s="43"/>
      <c r="K128" s="43"/>
    </row>
    <row r="129" ht="14.25" spans="1:11">
      <c r="A129" s="41">
        <v>45720</v>
      </c>
      <c r="B129" s="43" t="s">
        <v>257</v>
      </c>
      <c r="C129" s="43"/>
      <c r="D129" s="43" t="s">
        <v>259</v>
      </c>
      <c r="E129" s="43" t="s">
        <v>14</v>
      </c>
      <c r="F129" s="43">
        <v>24000</v>
      </c>
      <c r="G129" s="43">
        <v>0.55</v>
      </c>
      <c r="H129" s="81">
        <f t="shared" si="4"/>
        <v>13200</v>
      </c>
      <c r="I129" s="43" t="s">
        <v>61</v>
      </c>
      <c r="J129" s="43" t="s">
        <v>46</v>
      </c>
      <c r="K129" s="43"/>
    </row>
    <row r="130" ht="14.25" spans="1:11">
      <c r="A130" s="41">
        <v>45717</v>
      </c>
      <c r="B130" s="43" t="s">
        <v>257</v>
      </c>
      <c r="C130" s="43"/>
      <c r="D130" s="43" t="s">
        <v>259</v>
      </c>
      <c r="E130" s="43" t="s">
        <v>14</v>
      </c>
      <c r="F130" s="43">
        <v>6000</v>
      </c>
      <c r="G130" s="43">
        <v>0.55</v>
      </c>
      <c r="H130" s="81">
        <f t="shared" si="4"/>
        <v>3300</v>
      </c>
      <c r="I130" s="43" t="s">
        <v>61</v>
      </c>
      <c r="J130" s="43"/>
      <c r="K130" s="43"/>
    </row>
    <row r="131" ht="14.25" spans="1:11">
      <c r="A131" s="41">
        <v>45722</v>
      </c>
      <c r="B131" s="43" t="s">
        <v>257</v>
      </c>
      <c r="C131" s="43"/>
      <c r="D131" s="43" t="s">
        <v>227</v>
      </c>
      <c r="E131" s="43" t="s">
        <v>62</v>
      </c>
      <c r="F131" s="43">
        <v>9210</v>
      </c>
      <c r="G131" s="43">
        <v>0.55</v>
      </c>
      <c r="H131" s="81">
        <f t="shared" si="4"/>
        <v>5065.5</v>
      </c>
      <c r="I131" s="43" t="s">
        <v>65</v>
      </c>
      <c r="J131" s="43"/>
      <c r="K131" s="43"/>
    </row>
    <row r="132" ht="14.25" spans="1:11">
      <c r="A132" s="41">
        <v>45725</v>
      </c>
      <c r="B132" s="43" t="s">
        <v>257</v>
      </c>
      <c r="C132" s="43"/>
      <c r="D132" s="43" t="s">
        <v>676</v>
      </c>
      <c r="E132" s="43" t="s">
        <v>99</v>
      </c>
      <c r="F132" s="43">
        <v>1010</v>
      </c>
      <c r="G132" s="43">
        <v>0.94</v>
      </c>
      <c r="H132" s="81">
        <f t="shared" si="4"/>
        <v>949.4</v>
      </c>
      <c r="I132" s="43" t="s">
        <v>631</v>
      </c>
      <c r="J132" s="43"/>
      <c r="K132" s="43"/>
    </row>
    <row r="133" ht="14.25" spans="1:11">
      <c r="A133" s="41">
        <v>45726</v>
      </c>
      <c r="B133" s="43" t="s">
        <v>257</v>
      </c>
      <c r="C133" s="43"/>
      <c r="D133" s="43" t="s">
        <v>259</v>
      </c>
      <c r="E133" s="43" t="s">
        <v>14</v>
      </c>
      <c r="F133" s="43">
        <v>20000</v>
      </c>
      <c r="G133" s="43">
        <v>0.55</v>
      </c>
      <c r="H133" s="81">
        <f t="shared" si="4"/>
        <v>11000</v>
      </c>
      <c r="I133" s="43" t="s">
        <v>61</v>
      </c>
      <c r="J133" s="43" t="s">
        <v>46</v>
      </c>
      <c r="K133" s="43"/>
    </row>
    <row r="134" ht="14.25" spans="1:11">
      <c r="A134" s="41">
        <v>45730</v>
      </c>
      <c r="B134" s="43" t="s">
        <v>257</v>
      </c>
      <c r="C134" s="43"/>
      <c r="D134" s="43" t="s">
        <v>259</v>
      </c>
      <c r="E134" s="43" t="s">
        <v>14</v>
      </c>
      <c r="F134" s="43">
        <v>25000</v>
      </c>
      <c r="G134" s="43">
        <v>0.55</v>
      </c>
      <c r="H134" s="81">
        <f t="shared" si="4"/>
        <v>13750</v>
      </c>
      <c r="I134" s="43" t="s">
        <v>61</v>
      </c>
      <c r="J134" s="43" t="s">
        <v>46</v>
      </c>
      <c r="K134" s="43"/>
    </row>
    <row r="135" ht="14.25" spans="1:11">
      <c r="A135" s="41">
        <v>45737</v>
      </c>
      <c r="B135" s="43" t="s">
        <v>257</v>
      </c>
      <c r="C135" s="43" t="s">
        <v>677</v>
      </c>
      <c r="D135" s="43" t="s">
        <v>676</v>
      </c>
      <c r="E135" s="43" t="s">
        <v>14</v>
      </c>
      <c r="F135" s="43">
        <v>9700</v>
      </c>
      <c r="G135" s="43">
        <v>0.65</v>
      </c>
      <c r="H135" s="81">
        <f t="shared" si="4"/>
        <v>6305</v>
      </c>
      <c r="I135" s="43" t="s">
        <v>422</v>
      </c>
      <c r="J135" s="43" t="s">
        <v>46</v>
      </c>
      <c r="K135" s="43"/>
    </row>
    <row r="136" ht="14.25" spans="1:11">
      <c r="A136" s="41">
        <v>45745</v>
      </c>
      <c r="B136" s="43" t="s">
        <v>257</v>
      </c>
      <c r="C136" s="43"/>
      <c r="D136" s="43" t="s">
        <v>676</v>
      </c>
      <c r="E136" s="43" t="s">
        <v>85</v>
      </c>
      <c r="F136" s="43">
        <v>135</v>
      </c>
      <c r="G136" s="43">
        <v>0.95</v>
      </c>
      <c r="H136" s="81">
        <f t="shared" si="4"/>
        <v>128.25</v>
      </c>
      <c r="I136" s="43" t="s">
        <v>422</v>
      </c>
      <c r="J136" s="43"/>
      <c r="K136" s="43"/>
    </row>
    <row r="137" ht="14.25" spans="1:11">
      <c r="A137" s="41">
        <v>45740</v>
      </c>
      <c r="B137" s="43" t="s">
        <v>257</v>
      </c>
      <c r="C137" s="43"/>
      <c r="D137" s="43" t="s">
        <v>227</v>
      </c>
      <c r="E137" s="43" t="s">
        <v>62</v>
      </c>
      <c r="F137" s="43">
        <v>335</v>
      </c>
      <c r="G137" s="43">
        <v>0.55</v>
      </c>
      <c r="H137" s="81">
        <f t="shared" si="4"/>
        <v>184.25</v>
      </c>
      <c r="I137" s="43" t="s">
        <v>65</v>
      </c>
      <c r="J137" s="43"/>
      <c r="K137" s="43"/>
    </row>
    <row r="138" ht="14.25" spans="1:11">
      <c r="A138" s="41">
        <v>45717</v>
      </c>
      <c r="B138" s="43" t="s">
        <v>82</v>
      </c>
      <c r="C138" s="43"/>
      <c r="D138" s="43" t="s">
        <v>47</v>
      </c>
      <c r="E138" s="43" t="s">
        <v>14</v>
      </c>
      <c r="F138" s="43">
        <v>22822</v>
      </c>
      <c r="G138" s="43">
        <v>1</v>
      </c>
      <c r="H138" s="81">
        <f t="shared" si="4"/>
        <v>22822</v>
      </c>
      <c r="I138" s="43" t="s">
        <v>61</v>
      </c>
      <c r="J138" s="43" t="s">
        <v>46</v>
      </c>
      <c r="K138" s="43"/>
    </row>
    <row r="139" ht="14.25" spans="1:11">
      <c r="A139" s="41">
        <v>45727</v>
      </c>
      <c r="B139" s="43" t="s">
        <v>82</v>
      </c>
      <c r="C139" s="43"/>
      <c r="D139" s="43" t="s">
        <v>678</v>
      </c>
      <c r="E139" s="43" t="s">
        <v>361</v>
      </c>
      <c r="F139" s="43">
        <v>1010</v>
      </c>
      <c r="G139" s="43">
        <v>1.25</v>
      </c>
      <c r="H139" s="81">
        <f t="shared" si="4"/>
        <v>1262.5</v>
      </c>
      <c r="I139" s="43" t="s">
        <v>637</v>
      </c>
      <c r="J139" s="43" t="s">
        <v>369</v>
      </c>
      <c r="K139" s="43"/>
    </row>
    <row r="140" ht="14.25" spans="1:11">
      <c r="A140" s="41">
        <v>45729</v>
      </c>
      <c r="B140" s="43" t="s">
        <v>82</v>
      </c>
      <c r="C140" s="43" t="s">
        <v>679</v>
      </c>
      <c r="D140" s="43" t="s">
        <v>680</v>
      </c>
      <c r="E140" s="43" t="s">
        <v>99</v>
      </c>
      <c r="F140" s="43">
        <v>505</v>
      </c>
      <c r="G140" s="43">
        <v>1.49</v>
      </c>
      <c r="H140" s="81">
        <f t="shared" si="4"/>
        <v>752.45</v>
      </c>
      <c r="I140" s="43" t="s">
        <v>681</v>
      </c>
      <c r="J140" s="43" t="s">
        <v>369</v>
      </c>
      <c r="K140" s="43"/>
    </row>
    <row r="141" ht="14.25" spans="1:11">
      <c r="A141" s="41">
        <v>45737</v>
      </c>
      <c r="B141" s="43" t="s">
        <v>82</v>
      </c>
      <c r="C141" s="43" t="s">
        <v>682</v>
      </c>
      <c r="D141" s="43" t="s">
        <v>683</v>
      </c>
      <c r="E141" s="43" t="s">
        <v>99</v>
      </c>
      <c r="F141" s="43">
        <v>5117</v>
      </c>
      <c r="G141" s="43">
        <v>1.34</v>
      </c>
      <c r="H141" s="81">
        <f t="shared" si="4"/>
        <v>6856.78</v>
      </c>
      <c r="I141" s="43" t="s">
        <v>684</v>
      </c>
      <c r="J141" s="43" t="s">
        <v>369</v>
      </c>
      <c r="K141" s="43"/>
    </row>
    <row r="142" ht="14.25" spans="1:11">
      <c r="A142" s="41">
        <v>45742</v>
      </c>
      <c r="B142" s="43" t="s">
        <v>82</v>
      </c>
      <c r="C142" s="43" t="s">
        <v>685</v>
      </c>
      <c r="D142" s="43" t="s">
        <v>686</v>
      </c>
      <c r="E142" s="43" t="s">
        <v>687</v>
      </c>
      <c r="F142" s="43">
        <v>1013</v>
      </c>
      <c r="G142" s="43">
        <v>1</v>
      </c>
      <c r="H142" s="81">
        <f t="shared" si="4"/>
        <v>1013</v>
      </c>
      <c r="I142" s="43" t="s">
        <v>287</v>
      </c>
      <c r="J142" s="43" t="s">
        <v>688</v>
      </c>
      <c r="K142" s="43">
        <v>1.25</v>
      </c>
    </row>
    <row r="143" ht="14.25" spans="1:11">
      <c r="A143" s="41">
        <v>45717</v>
      </c>
      <c r="B143" s="43" t="s">
        <v>260</v>
      </c>
      <c r="C143" s="43" t="s">
        <v>689</v>
      </c>
      <c r="D143" s="43" t="s">
        <v>690</v>
      </c>
      <c r="E143" s="43" t="s">
        <v>14</v>
      </c>
      <c r="F143" s="43">
        <v>53</v>
      </c>
      <c r="G143" s="43">
        <v>1.2</v>
      </c>
      <c r="H143" s="81">
        <f t="shared" ref="H143:H164" si="5">F143*G143</f>
        <v>63.6</v>
      </c>
      <c r="I143" s="43" t="s">
        <v>28</v>
      </c>
      <c r="J143" s="43" t="s">
        <v>16</v>
      </c>
      <c r="K143" s="43"/>
    </row>
    <row r="144" ht="14.25" spans="1:11">
      <c r="A144" s="41">
        <v>45719</v>
      </c>
      <c r="B144" s="43" t="s">
        <v>260</v>
      </c>
      <c r="C144" s="43" t="s">
        <v>691</v>
      </c>
      <c r="D144" s="43" t="s">
        <v>390</v>
      </c>
      <c r="E144" s="43" t="s">
        <v>14</v>
      </c>
      <c r="F144" s="43">
        <v>8000</v>
      </c>
      <c r="G144" s="43">
        <v>1.1</v>
      </c>
      <c r="H144" s="81">
        <f t="shared" si="5"/>
        <v>8800</v>
      </c>
      <c r="I144" s="43" t="s">
        <v>300</v>
      </c>
      <c r="J144" s="43"/>
      <c r="K144" s="43"/>
    </row>
    <row r="145" ht="14.25" spans="1:11">
      <c r="A145" s="41">
        <v>45719</v>
      </c>
      <c r="B145" s="43" t="s">
        <v>260</v>
      </c>
      <c r="C145" s="43" t="s">
        <v>691</v>
      </c>
      <c r="D145" s="43" t="s">
        <v>84</v>
      </c>
      <c r="E145" s="43" t="s">
        <v>14</v>
      </c>
      <c r="F145" s="43">
        <v>35000</v>
      </c>
      <c r="G145" s="43">
        <v>1</v>
      </c>
      <c r="H145" s="81">
        <f t="shared" si="5"/>
        <v>35000</v>
      </c>
      <c r="I145" s="43" t="s">
        <v>509</v>
      </c>
      <c r="J145" s="43"/>
      <c r="K145" s="43"/>
    </row>
    <row r="146" ht="14.25" spans="1:11">
      <c r="A146" s="41">
        <v>45720</v>
      </c>
      <c r="B146" s="43" t="s">
        <v>260</v>
      </c>
      <c r="C146" s="43" t="s">
        <v>692</v>
      </c>
      <c r="D146" s="43" t="s">
        <v>84</v>
      </c>
      <c r="E146" s="43" t="s">
        <v>14</v>
      </c>
      <c r="F146" s="43">
        <v>100</v>
      </c>
      <c r="G146" s="43">
        <v>1</v>
      </c>
      <c r="H146" s="81">
        <f t="shared" si="5"/>
        <v>100</v>
      </c>
      <c r="I146" s="43" t="s">
        <v>466</v>
      </c>
      <c r="J146" s="43"/>
      <c r="K146" s="43"/>
    </row>
    <row r="147" ht="14.25" spans="1:11">
      <c r="A147" s="41">
        <v>45721</v>
      </c>
      <c r="B147" s="43" t="s">
        <v>260</v>
      </c>
      <c r="C147" s="43" t="s">
        <v>693</v>
      </c>
      <c r="D147" s="43" t="s">
        <v>410</v>
      </c>
      <c r="E147" s="43" t="s">
        <v>14</v>
      </c>
      <c r="F147" s="43">
        <v>2030</v>
      </c>
      <c r="G147" s="43">
        <v>1.1</v>
      </c>
      <c r="H147" s="81">
        <f t="shared" si="5"/>
        <v>2233</v>
      </c>
      <c r="I147" s="43" t="s">
        <v>406</v>
      </c>
      <c r="J147" s="43" t="s">
        <v>16</v>
      </c>
      <c r="K147" s="43"/>
    </row>
    <row r="148" ht="14.25" spans="1:11">
      <c r="A148" s="41">
        <v>45721</v>
      </c>
      <c r="B148" s="43" t="s">
        <v>260</v>
      </c>
      <c r="C148" s="43" t="s">
        <v>693</v>
      </c>
      <c r="D148" s="43" t="s">
        <v>694</v>
      </c>
      <c r="E148" s="43" t="s">
        <v>14</v>
      </c>
      <c r="F148" s="43">
        <v>1120</v>
      </c>
      <c r="G148" s="43">
        <v>1.6</v>
      </c>
      <c r="H148" s="81">
        <f t="shared" si="5"/>
        <v>1792</v>
      </c>
      <c r="I148" s="43" t="s">
        <v>278</v>
      </c>
      <c r="J148" s="43" t="s">
        <v>16</v>
      </c>
      <c r="K148" s="43"/>
    </row>
    <row r="149" ht="14.25" spans="1:11">
      <c r="A149" s="41">
        <v>45721</v>
      </c>
      <c r="B149" s="43" t="s">
        <v>260</v>
      </c>
      <c r="C149" s="43" t="s">
        <v>693</v>
      </c>
      <c r="D149" s="43" t="s">
        <v>390</v>
      </c>
      <c r="E149" s="43" t="s">
        <v>14</v>
      </c>
      <c r="F149" s="43">
        <v>2170</v>
      </c>
      <c r="G149" s="43">
        <v>1.1</v>
      </c>
      <c r="H149" s="81">
        <f t="shared" si="5"/>
        <v>2387</v>
      </c>
      <c r="I149" s="43" t="s">
        <v>300</v>
      </c>
      <c r="J149" s="43" t="s">
        <v>16</v>
      </c>
      <c r="K149" s="43"/>
    </row>
    <row r="150" ht="14.25" spans="1:11">
      <c r="A150" s="41">
        <v>45723</v>
      </c>
      <c r="B150" s="43" t="s">
        <v>260</v>
      </c>
      <c r="C150" s="43" t="s">
        <v>695</v>
      </c>
      <c r="D150" s="43" t="s">
        <v>696</v>
      </c>
      <c r="E150" s="43" t="s">
        <v>14</v>
      </c>
      <c r="F150" s="43">
        <v>3020</v>
      </c>
      <c r="G150" s="43">
        <v>1.08</v>
      </c>
      <c r="H150" s="81">
        <f t="shared" si="5"/>
        <v>3261.6</v>
      </c>
      <c r="I150" s="43" t="s">
        <v>94</v>
      </c>
      <c r="J150" s="43"/>
      <c r="K150" s="43"/>
    </row>
    <row r="151" ht="14.25" spans="1:11">
      <c r="A151" s="41">
        <v>45727</v>
      </c>
      <c r="B151" s="43" t="s">
        <v>260</v>
      </c>
      <c r="C151" s="43" t="s">
        <v>697</v>
      </c>
      <c r="D151" s="43" t="s">
        <v>694</v>
      </c>
      <c r="E151" s="43" t="s">
        <v>14</v>
      </c>
      <c r="F151" s="43">
        <v>1110</v>
      </c>
      <c r="G151" s="43">
        <v>1.6</v>
      </c>
      <c r="H151" s="81">
        <f t="shared" si="5"/>
        <v>1776</v>
      </c>
      <c r="I151" s="43" t="s">
        <v>278</v>
      </c>
      <c r="J151" s="43"/>
      <c r="K151" s="43"/>
    </row>
    <row r="152" ht="14.25" spans="1:11">
      <c r="A152" s="41">
        <v>45728</v>
      </c>
      <c r="B152" s="43" t="s">
        <v>260</v>
      </c>
      <c r="C152" s="43" t="s">
        <v>698</v>
      </c>
      <c r="D152" s="43" t="s">
        <v>699</v>
      </c>
      <c r="E152" s="43" t="s">
        <v>14</v>
      </c>
      <c r="F152" s="43">
        <v>55</v>
      </c>
      <c r="G152" s="43">
        <v>1</v>
      </c>
      <c r="H152" s="81">
        <f t="shared" si="5"/>
        <v>55</v>
      </c>
      <c r="I152" s="43" t="s">
        <v>28</v>
      </c>
      <c r="J152" s="43"/>
      <c r="K152" s="43"/>
    </row>
    <row r="153" ht="14.25" spans="1:11">
      <c r="A153" s="41">
        <v>45728</v>
      </c>
      <c r="B153" s="43" t="s">
        <v>260</v>
      </c>
      <c r="C153" s="43" t="s">
        <v>698</v>
      </c>
      <c r="D153" s="43" t="s">
        <v>36</v>
      </c>
      <c r="E153" s="43" t="s">
        <v>14</v>
      </c>
      <c r="F153" s="43">
        <v>51</v>
      </c>
      <c r="G153" s="43">
        <v>0.8</v>
      </c>
      <c r="H153" s="81">
        <f t="shared" si="5"/>
        <v>40.8</v>
      </c>
      <c r="I153" s="43" t="s">
        <v>15</v>
      </c>
      <c r="J153" s="43"/>
      <c r="K153" s="43"/>
    </row>
    <row r="154" ht="14.25" spans="1:11">
      <c r="A154" s="41">
        <v>45728</v>
      </c>
      <c r="B154" s="43" t="s">
        <v>260</v>
      </c>
      <c r="C154" s="43" t="s">
        <v>698</v>
      </c>
      <c r="D154" s="43" t="s">
        <v>395</v>
      </c>
      <c r="E154" s="43" t="s">
        <v>14</v>
      </c>
      <c r="F154" s="43">
        <v>20</v>
      </c>
      <c r="G154" s="43">
        <v>0.9</v>
      </c>
      <c r="H154" s="81">
        <f t="shared" si="5"/>
        <v>18</v>
      </c>
      <c r="I154" s="43" t="s">
        <v>32</v>
      </c>
      <c r="J154" s="43"/>
      <c r="K154" s="43"/>
    </row>
    <row r="155" ht="14.25" spans="1:11">
      <c r="A155" s="41">
        <v>45728</v>
      </c>
      <c r="B155" s="43" t="s">
        <v>260</v>
      </c>
      <c r="C155" s="43" t="s">
        <v>700</v>
      </c>
      <c r="D155" s="43" t="s">
        <v>188</v>
      </c>
      <c r="E155" s="43" t="s">
        <v>14</v>
      </c>
      <c r="F155" s="43">
        <v>30000</v>
      </c>
      <c r="G155" s="43">
        <v>1</v>
      </c>
      <c r="H155" s="81">
        <f t="shared" si="5"/>
        <v>30000</v>
      </c>
      <c r="I155" s="43" t="s">
        <v>189</v>
      </c>
      <c r="J155" s="43" t="s">
        <v>46</v>
      </c>
      <c r="K155" s="43" t="s">
        <v>701</v>
      </c>
    </row>
    <row r="156" ht="14.25" spans="1:11">
      <c r="A156" s="41">
        <v>45728</v>
      </c>
      <c r="B156" s="43" t="s">
        <v>260</v>
      </c>
      <c r="C156" s="43" t="s">
        <v>700</v>
      </c>
      <c r="D156" s="43" t="s">
        <v>398</v>
      </c>
      <c r="E156" s="43" t="s">
        <v>14</v>
      </c>
      <c r="F156" s="43">
        <v>3000</v>
      </c>
      <c r="G156" s="43">
        <v>1</v>
      </c>
      <c r="H156" s="81">
        <f t="shared" si="5"/>
        <v>3000</v>
      </c>
      <c r="I156" s="43" t="s">
        <v>300</v>
      </c>
      <c r="J156" s="43" t="s">
        <v>46</v>
      </c>
      <c r="K156" s="43" t="s">
        <v>701</v>
      </c>
    </row>
    <row r="157" ht="14.25" spans="1:11">
      <c r="A157" s="41">
        <v>45730</v>
      </c>
      <c r="B157" s="43" t="s">
        <v>260</v>
      </c>
      <c r="C157" s="43" t="s">
        <v>702</v>
      </c>
      <c r="D157" s="43" t="s">
        <v>696</v>
      </c>
      <c r="E157" s="43" t="s">
        <v>14</v>
      </c>
      <c r="F157" s="43">
        <v>2000</v>
      </c>
      <c r="G157" s="43">
        <v>1.08</v>
      </c>
      <c r="H157" s="81">
        <f t="shared" si="5"/>
        <v>2160</v>
      </c>
      <c r="I157" s="43" t="s">
        <v>94</v>
      </c>
      <c r="J157" s="43"/>
      <c r="K157" s="43"/>
    </row>
    <row r="158" ht="14.25" spans="1:11">
      <c r="A158" s="41">
        <v>45734</v>
      </c>
      <c r="B158" s="43" t="s">
        <v>260</v>
      </c>
      <c r="C158" s="43" t="s">
        <v>703</v>
      </c>
      <c r="D158" s="43" t="s">
        <v>392</v>
      </c>
      <c r="E158" s="43" t="s">
        <v>14</v>
      </c>
      <c r="F158" s="43">
        <v>62</v>
      </c>
      <c r="G158" s="43">
        <v>1.15</v>
      </c>
      <c r="H158" s="81">
        <f t="shared" si="5"/>
        <v>71.3</v>
      </c>
      <c r="I158" s="43" t="s">
        <v>704</v>
      </c>
      <c r="J158" s="43"/>
      <c r="K158" s="43"/>
    </row>
    <row r="159" ht="14.25" spans="1:11">
      <c r="A159" s="41">
        <v>45735</v>
      </c>
      <c r="B159" s="43" t="s">
        <v>260</v>
      </c>
      <c r="C159" s="43" t="s">
        <v>705</v>
      </c>
      <c r="D159" s="43" t="s">
        <v>399</v>
      </c>
      <c r="E159" s="43" t="s">
        <v>14</v>
      </c>
      <c r="F159" s="43">
        <v>5130</v>
      </c>
      <c r="G159" s="43">
        <v>1</v>
      </c>
      <c r="H159" s="81">
        <f t="shared" si="5"/>
        <v>5130</v>
      </c>
      <c r="I159" s="43" t="s">
        <v>647</v>
      </c>
      <c r="J159" s="43"/>
      <c r="K159" s="43"/>
    </row>
    <row r="160" ht="14.25" spans="1:11">
      <c r="A160" s="41">
        <v>45736</v>
      </c>
      <c r="B160" s="43" t="s">
        <v>260</v>
      </c>
      <c r="C160" s="43" t="s">
        <v>706</v>
      </c>
      <c r="D160" s="43" t="s">
        <v>390</v>
      </c>
      <c r="E160" s="43" t="s">
        <v>14</v>
      </c>
      <c r="F160" s="43">
        <v>35</v>
      </c>
      <c r="G160" s="43">
        <v>1.2</v>
      </c>
      <c r="H160" s="81">
        <f t="shared" si="5"/>
        <v>42</v>
      </c>
      <c r="I160" s="43" t="s">
        <v>300</v>
      </c>
      <c r="J160" s="43"/>
      <c r="K160" s="43"/>
    </row>
    <row r="161" ht="14.25" spans="1:11">
      <c r="A161" s="41">
        <v>45736</v>
      </c>
      <c r="B161" s="43" t="s">
        <v>260</v>
      </c>
      <c r="C161" s="43" t="s">
        <v>706</v>
      </c>
      <c r="D161" s="43" t="s">
        <v>707</v>
      </c>
      <c r="E161" s="43" t="s">
        <v>14</v>
      </c>
      <c r="F161" s="43">
        <v>10</v>
      </c>
      <c r="G161" s="43">
        <v>1.05</v>
      </c>
      <c r="H161" s="81">
        <f t="shared" si="5"/>
        <v>10.5</v>
      </c>
      <c r="I161" s="43" t="s">
        <v>32</v>
      </c>
      <c r="J161" s="43"/>
      <c r="K161" s="43"/>
    </row>
    <row r="162" ht="14.25" spans="1:11">
      <c r="A162" s="41">
        <v>45738</v>
      </c>
      <c r="B162" s="43" t="s">
        <v>260</v>
      </c>
      <c r="C162" s="43" t="s">
        <v>708</v>
      </c>
      <c r="D162" s="43" t="s">
        <v>523</v>
      </c>
      <c r="E162" s="43" t="s">
        <v>14</v>
      </c>
      <c r="F162" s="43">
        <v>205</v>
      </c>
      <c r="G162" s="43">
        <v>0.8</v>
      </c>
      <c r="H162" s="81">
        <f t="shared" si="5"/>
        <v>164</v>
      </c>
      <c r="I162" s="43" t="s">
        <v>28</v>
      </c>
      <c r="J162" s="43"/>
      <c r="K162" s="43"/>
    </row>
    <row r="163" ht="14.25" spans="1:11">
      <c r="A163" s="41">
        <v>45738</v>
      </c>
      <c r="B163" s="43" t="s">
        <v>260</v>
      </c>
      <c r="C163" s="43" t="s">
        <v>708</v>
      </c>
      <c r="D163" s="43" t="s">
        <v>709</v>
      </c>
      <c r="E163" s="43" t="s">
        <v>14</v>
      </c>
      <c r="F163" s="43">
        <v>103</v>
      </c>
      <c r="G163" s="43">
        <v>0.75</v>
      </c>
      <c r="H163" s="81">
        <f t="shared" si="5"/>
        <v>77.25</v>
      </c>
      <c r="I163" s="43" t="s">
        <v>28</v>
      </c>
      <c r="J163" s="43"/>
      <c r="K163" s="43"/>
    </row>
    <row r="164" ht="14.25" spans="1:11">
      <c r="A164" s="41">
        <v>45744</v>
      </c>
      <c r="B164" s="43" t="s">
        <v>260</v>
      </c>
      <c r="C164" s="43" t="s">
        <v>710</v>
      </c>
      <c r="D164" s="43" t="s">
        <v>24</v>
      </c>
      <c r="E164" s="43" t="s">
        <v>14</v>
      </c>
      <c r="F164" s="43">
        <v>203</v>
      </c>
      <c r="G164" s="43">
        <v>1.1</v>
      </c>
      <c r="H164" s="81">
        <f t="shared" si="5"/>
        <v>223.3</v>
      </c>
      <c r="I164" s="43" t="s">
        <v>25</v>
      </c>
      <c r="J164" s="43"/>
      <c r="K164" s="43"/>
    </row>
    <row r="165" ht="14.25" spans="1:11">
      <c r="A165" s="41">
        <v>45717</v>
      </c>
      <c r="B165" s="43" t="s">
        <v>11</v>
      </c>
      <c r="C165" s="43" t="s">
        <v>711</v>
      </c>
      <c r="D165" s="43" t="s">
        <v>405</v>
      </c>
      <c r="E165" s="43" t="s">
        <v>14</v>
      </c>
      <c r="F165" s="43">
        <v>5100</v>
      </c>
      <c r="G165" s="43">
        <v>1.25</v>
      </c>
      <c r="H165" s="81">
        <f t="shared" ref="H165:H194" si="6">F165*G165</f>
        <v>6375</v>
      </c>
      <c r="I165" s="43" t="s">
        <v>271</v>
      </c>
      <c r="J165" s="43" t="s">
        <v>46</v>
      </c>
      <c r="K165" s="43" t="s">
        <v>701</v>
      </c>
    </row>
    <row r="166" ht="14.25" spans="1:11">
      <c r="A166" s="41">
        <v>45717</v>
      </c>
      <c r="B166" s="43" t="s">
        <v>11</v>
      </c>
      <c r="C166" s="43" t="s">
        <v>711</v>
      </c>
      <c r="D166" s="43" t="s">
        <v>314</v>
      </c>
      <c r="E166" s="43" t="s">
        <v>14</v>
      </c>
      <c r="F166" s="43">
        <v>35000</v>
      </c>
      <c r="G166" s="43">
        <v>1.45</v>
      </c>
      <c r="H166" s="81">
        <f t="shared" si="6"/>
        <v>50750</v>
      </c>
      <c r="I166" s="43" t="s">
        <v>271</v>
      </c>
      <c r="J166" s="43" t="s">
        <v>46</v>
      </c>
      <c r="K166" s="43" t="s">
        <v>701</v>
      </c>
    </row>
    <row r="167" ht="14.25" spans="1:11">
      <c r="A167" s="41">
        <v>45720</v>
      </c>
      <c r="B167" s="43" t="s">
        <v>11</v>
      </c>
      <c r="C167" s="43" t="s">
        <v>712</v>
      </c>
      <c r="D167" s="43" t="s">
        <v>713</v>
      </c>
      <c r="E167" s="43" t="s">
        <v>14</v>
      </c>
      <c r="F167" s="43">
        <v>105</v>
      </c>
      <c r="G167" s="43">
        <v>1</v>
      </c>
      <c r="H167" s="81">
        <f t="shared" si="6"/>
        <v>105</v>
      </c>
      <c r="I167" s="43" t="s">
        <v>415</v>
      </c>
      <c r="J167" s="43" t="s">
        <v>16</v>
      </c>
      <c r="K167" s="43"/>
    </row>
    <row r="168" ht="14.25" spans="1:11">
      <c r="A168" s="41">
        <v>45723</v>
      </c>
      <c r="B168" s="43" t="s">
        <v>11</v>
      </c>
      <c r="C168" s="43" t="s">
        <v>714</v>
      </c>
      <c r="D168" s="43" t="s">
        <v>405</v>
      </c>
      <c r="E168" s="43" t="s">
        <v>14</v>
      </c>
      <c r="F168" s="43">
        <v>43240</v>
      </c>
      <c r="G168" s="43">
        <v>1.25</v>
      </c>
      <c r="H168" s="81">
        <f t="shared" si="6"/>
        <v>54050</v>
      </c>
      <c r="I168" s="43" t="s">
        <v>271</v>
      </c>
      <c r="J168" s="43" t="s">
        <v>46</v>
      </c>
      <c r="K168" s="43" t="s">
        <v>715</v>
      </c>
    </row>
    <row r="169" ht="14.25" spans="1:11">
      <c r="A169" s="41">
        <v>45724</v>
      </c>
      <c r="B169" s="43" t="s">
        <v>11</v>
      </c>
      <c r="C169" s="43" t="s">
        <v>716</v>
      </c>
      <c r="D169" s="43" t="s">
        <v>84</v>
      </c>
      <c r="E169" s="43" t="s">
        <v>14</v>
      </c>
      <c r="F169" s="43">
        <v>300</v>
      </c>
      <c r="G169" s="43">
        <v>1</v>
      </c>
      <c r="H169" s="81">
        <f t="shared" si="6"/>
        <v>300</v>
      </c>
      <c r="I169" s="43" t="s">
        <v>61</v>
      </c>
      <c r="J169" s="43" t="s">
        <v>16</v>
      </c>
      <c r="K169" s="43"/>
    </row>
    <row r="170" ht="14.25" spans="1:11">
      <c r="A170" s="41">
        <v>45724</v>
      </c>
      <c r="B170" s="43" t="s">
        <v>11</v>
      </c>
      <c r="C170" s="43" t="s">
        <v>717</v>
      </c>
      <c r="D170" s="43" t="s">
        <v>306</v>
      </c>
      <c r="E170" s="43" t="s">
        <v>14</v>
      </c>
      <c r="F170" s="43">
        <v>10</v>
      </c>
      <c r="G170" s="43">
        <v>1.1</v>
      </c>
      <c r="H170" s="81">
        <f t="shared" si="6"/>
        <v>11</v>
      </c>
      <c r="I170" s="43" t="s">
        <v>32</v>
      </c>
      <c r="J170" s="43"/>
      <c r="K170" s="43"/>
    </row>
    <row r="171" ht="14.25" spans="1:11">
      <c r="A171" s="41">
        <v>45724</v>
      </c>
      <c r="B171" s="43" t="s">
        <v>11</v>
      </c>
      <c r="C171" s="43" t="s">
        <v>717</v>
      </c>
      <c r="D171" s="43" t="s">
        <v>718</v>
      </c>
      <c r="E171" s="43" t="s">
        <v>14</v>
      </c>
      <c r="F171" s="43">
        <v>20</v>
      </c>
      <c r="G171" s="43">
        <v>1.2</v>
      </c>
      <c r="H171" s="81">
        <f t="shared" si="6"/>
        <v>24</v>
      </c>
      <c r="I171" s="43" t="s">
        <v>32</v>
      </c>
      <c r="J171" s="43"/>
      <c r="K171" s="43"/>
    </row>
    <row r="172" ht="14.25" spans="1:11">
      <c r="A172" s="41">
        <v>45735</v>
      </c>
      <c r="B172" s="43" t="s">
        <v>11</v>
      </c>
      <c r="C172" s="43" t="s">
        <v>719</v>
      </c>
      <c r="D172" s="43" t="s">
        <v>720</v>
      </c>
      <c r="E172" s="43" t="s">
        <v>14</v>
      </c>
      <c r="F172" s="43">
        <v>13</v>
      </c>
      <c r="G172" s="43">
        <v>1.1</v>
      </c>
      <c r="H172" s="81">
        <f t="shared" si="6"/>
        <v>14.3</v>
      </c>
      <c r="I172" s="43" t="s">
        <v>32</v>
      </c>
      <c r="J172" s="43"/>
      <c r="K172" s="43"/>
    </row>
    <row r="173" ht="14.25" spans="1:11">
      <c r="A173" s="41">
        <v>45736</v>
      </c>
      <c r="B173" s="43" t="s">
        <v>11</v>
      </c>
      <c r="C173" s="43" t="s">
        <v>721</v>
      </c>
      <c r="D173" s="43" t="s">
        <v>47</v>
      </c>
      <c r="E173" s="43" t="s">
        <v>14</v>
      </c>
      <c r="F173" s="43">
        <v>15</v>
      </c>
      <c r="G173" s="43">
        <v>1.1</v>
      </c>
      <c r="H173" s="81">
        <f t="shared" si="6"/>
        <v>16.5</v>
      </c>
      <c r="I173" s="43" t="s">
        <v>35</v>
      </c>
      <c r="J173" s="43"/>
      <c r="K173" s="43"/>
    </row>
    <row r="174" ht="14.25" spans="1:11">
      <c r="A174" s="41">
        <v>45737</v>
      </c>
      <c r="B174" s="43" t="s">
        <v>11</v>
      </c>
      <c r="C174" s="43" t="s">
        <v>722</v>
      </c>
      <c r="D174" s="43" t="s">
        <v>723</v>
      </c>
      <c r="E174" s="43" t="s">
        <v>14</v>
      </c>
      <c r="F174" s="43">
        <v>1020</v>
      </c>
      <c r="G174" s="43">
        <v>1.9</v>
      </c>
      <c r="H174" s="81">
        <f t="shared" si="6"/>
        <v>1938</v>
      </c>
      <c r="I174" s="43" t="s">
        <v>587</v>
      </c>
      <c r="J174" s="43"/>
      <c r="K174" s="43"/>
    </row>
    <row r="175" ht="14.25" spans="1:11">
      <c r="A175" s="41">
        <v>45742</v>
      </c>
      <c r="B175" s="43" t="s">
        <v>11</v>
      </c>
      <c r="C175" s="43" t="s">
        <v>724</v>
      </c>
      <c r="D175" s="43" t="s">
        <v>725</v>
      </c>
      <c r="E175" s="43" t="s">
        <v>14</v>
      </c>
      <c r="F175" s="43">
        <v>53</v>
      </c>
      <c r="G175" s="43">
        <v>0.9</v>
      </c>
      <c r="H175" s="81">
        <f t="shared" si="6"/>
        <v>47.7</v>
      </c>
      <c r="I175" s="43" t="s">
        <v>28</v>
      </c>
      <c r="J175" s="43"/>
      <c r="K175" s="43"/>
    </row>
    <row r="176" ht="14.25" spans="1:11">
      <c r="A176" s="41">
        <v>45742</v>
      </c>
      <c r="B176" s="43" t="s">
        <v>11</v>
      </c>
      <c r="C176" s="43" t="s">
        <v>726</v>
      </c>
      <c r="D176" s="43" t="s">
        <v>390</v>
      </c>
      <c r="E176" s="43" t="s">
        <v>14</v>
      </c>
      <c r="F176" s="43">
        <v>10</v>
      </c>
      <c r="G176" s="43">
        <v>1.2</v>
      </c>
      <c r="H176" s="81">
        <f t="shared" si="6"/>
        <v>12</v>
      </c>
      <c r="I176" s="43" t="s">
        <v>32</v>
      </c>
      <c r="J176" s="43"/>
      <c r="K176" s="43"/>
    </row>
    <row r="177" ht="14.25" spans="1:12">
      <c r="A177" s="41">
        <v>45742</v>
      </c>
      <c r="B177" s="43" t="s">
        <v>11</v>
      </c>
      <c r="C177" s="43" t="s">
        <v>726</v>
      </c>
      <c r="D177" s="43" t="s">
        <v>727</v>
      </c>
      <c r="E177" s="43" t="s">
        <v>14</v>
      </c>
      <c r="F177" s="43">
        <v>10</v>
      </c>
      <c r="G177" s="43">
        <v>1.6</v>
      </c>
      <c r="H177" s="81">
        <f t="shared" si="6"/>
        <v>16</v>
      </c>
      <c r="I177" s="43" t="s">
        <v>32</v>
      </c>
      <c r="J177" s="43"/>
      <c r="K177" s="43"/>
    </row>
    <row r="178" ht="14.25" spans="1:12">
      <c r="A178" s="41">
        <v>45742</v>
      </c>
      <c r="B178" s="43" t="s">
        <v>11</v>
      </c>
      <c r="C178" s="43" t="s">
        <v>726</v>
      </c>
      <c r="D178" s="43" t="s">
        <v>728</v>
      </c>
      <c r="E178" s="43" t="s">
        <v>14</v>
      </c>
      <c r="F178" s="43">
        <v>10</v>
      </c>
      <c r="G178" s="43">
        <v>1.2</v>
      </c>
      <c r="H178" s="81">
        <f t="shared" si="6"/>
        <v>12</v>
      </c>
      <c r="I178" s="43" t="s">
        <v>32</v>
      </c>
      <c r="J178" s="43"/>
      <c r="K178" s="43"/>
    </row>
    <row r="179" s="35" customFormat="1" ht="14.25" spans="1:12">
      <c r="A179" s="44">
        <v>45719</v>
      </c>
      <c r="B179" s="45" t="s">
        <v>194</v>
      </c>
      <c r="C179" s="45"/>
      <c r="D179" s="45" t="s">
        <v>209</v>
      </c>
      <c r="E179" s="45" t="s">
        <v>207</v>
      </c>
      <c r="F179" s="45">
        <v>5016</v>
      </c>
      <c r="G179" s="45">
        <v>1.02</v>
      </c>
      <c r="H179" s="80">
        <f t="shared" si="6"/>
        <v>5116.32</v>
      </c>
      <c r="I179" s="45" t="s">
        <v>208</v>
      </c>
      <c r="J179" s="45"/>
      <c r="K179" s="45"/>
    </row>
    <row r="180" s="35" customFormat="1" ht="14.25" spans="1:12">
      <c r="A180" s="44">
        <v>45719</v>
      </c>
      <c r="B180" s="45" t="s">
        <v>194</v>
      </c>
      <c r="C180" s="45"/>
      <c r="D180" s="45" t="s">
        <v>195</v>
      </c>
      <c r="E180" s="45" t="s">
        <v>123</v>
      </c>
      <c r="F180" s="45">
        <v>30194</v>
      </c>
      <c r="G180" s="45">
        <v>0.73</v>
      </c>
      <c r="H180" s="80">
        <f t="shared" si="6"/>
        <v>22041.62</v>
      </c>
      <c r="I180" s="45" t="s">
        <v>126</v>
      </c>
      <c r="J180" s="45"/>
      <c r="K180" s="45"/>
      <c r="L180" s="82"/>
    </row>
    <row r="181" s="35" customFormat="1" ht="14.25" spans="1:12">
      <c r="A181" s="44">
        <v>45719</v>
      </c>
      <c r="B181" s="45" t="s">
        <v>194</v>
      </c>
      <c r="C181" s="45"/>
      <c r="D181" s="45" t="s">
        <v>729</v>
      </c>
      <c r="E181" s="45" t="s">
        <v>99</v>
      </c>
      <c r="F181" s="45">
        <v>60</v>
      </c>
      <c r="G181" s="45">
        <v>0.83</v>
      </c>
      <c r="H181" s="80">
        <f t="shared" si="6"/>
        <v>49.8</v>
      </c>
      <c r="I181" s="45" t="s">
        <v>28</v>
      </c>
      <c r="J181" s="45" t="s">
        <v>90</v>
      </c>
      <c r="K181" s="45">
        <v>1</v>
      </c>
    </row>
    <row r="182" s="35" customFormat="1" ht="14.25" spans="1:12">
      <c r="A182" s="44">
        <v>45719</v>
      </c>
      <c r="B182" s="45" t="s">
        <v>194</v>
      </c>
      <c r="C182" s="45"/>
      <c r="D182" s="45" t="s">
        <v>417</v>
      </c>
      <c r="E182" s="45" t="s">
        <v>420</v>
      </c>
      <c r="F182" s="45">
        <v>2003</v>
      </c>
      <c r="G182" s="45">
        <v>2.23</v>
      </c>
      <c r="H182" s="80">
        <f t="shared" si="6"/>
        <v>4466.69</v>
      </c>
      <c r="I182" s="45" t="s">
        <v>77</v>
      </c>
      <c r="J182" s="45" t="s">
        <v>90</v>
      </c>
      <c r="K182" s="45">
        <v>2.4</v>
      </c>
    </row>
    <row r="183" s="35" customFormat="1" ht="14.25" spans="1:12">
      <c r="A183" s="44">
        <v>45719</v>
      </c>
      <c r="B183" s="45" t="s">
        <v>194</v>
      </c>
      <c r="C183" s="45"/>
      <c r="D183" s="45" t="s">
        <v>413</v>
      </c>
      <c r="E183" s="45" t="s">
        <v>14</v>
      </c>
      <c r="F183" s="45">
        <v>100000</v>
      </c>
      <c r="G183" s="45">
        <v>0.5</v>
      </c>
      <c r="H183" s="80">
        <f t="shared" si="6"/>
        <v>50000</v>
      </c>
      <c r="I183" s="45" t="s">
        <v>396</v>
      </c>
      <c r="J183" s="45" t="s">
        <v>730</v>
      </c>
      <c r="K183" s="45"/>
    </row>
    <row r="184" s="35" customFormat="1" ht="14.25" spans="1:12">
      <c r="A184" s="44">
        <v>45720</v>
      </c>
      <c r="B184" s="45" t="s">
        <v>194</v>
      </c>
      <c r="C184" s="45"/>
      <c r="D184" s="45" t="s">
        <v>196</v>
      </c>
      <c r="E184" s="45" t="s">
        <v>197</v>
      </c>
      <c r="F184" s="45">
        <v>4016</v>
      </c>
      <c r="G184" s="45">
        <v>0.82</v>
      </c>
      <c r="H184" s="80">
        <f t="shared" si="6"/>
        <v>3293.12</v>
      </c>
      <c r="I184" s="45" t="s">
        <v>56</v>
      </c>
      <c r="J184" s="45"/>
      <c r="K184" s="45"/>
    </row>
    <row r="185" s="35" customFormat="1" ht="14.25" spans="1:12">
      <c r="A185" s="44">
        <v>45723</v>
      </c>
      <c r="B185" s="45" t="s">
        <v>194</v>
      </c>
      <c r="C185" s="45"/>
      <c r="D185" s="45" t="s">
        <v>198</v>
      </c>
      <c r="E185" s="45" t="s">
        <v>85</v>
      </c>
      <c r="F185" s="45">
        <v>6012</v>
      </c>
      <c r="G185" s="45">
        <v>1.12</v>
      </c>
      <c r="H185" s="80">
        <f t="shared" si="6"/>
        <v>6733.44</v>
      </c>
      <c r="I185" s="45" t="s">
        <v>193</v>
      </c>
      <c r="J185" s="45" t="s">
        <v>90</v>
      </c>
      <c r="K185" s="45"/>
    </row>
    <row r="186" s="35" customFormat="1" ht="14.25" spans="1:12">
      <c r="A186" s="44">
        <v>45723</v>
      </c>
      <c r="B186" s="45" t="s">
        <v>194</v>
      </c>
      <c r="C186" s="45"/>
      <c r="D186" s="45" t="s">
        <v>195</v>
      </c>
      <c r="E186" s="45" t="s">
        <v>60</v>
      </c>
      <c r="F186" s="45">
        <v>4045</v>
      </c>
      <c r="G186" s="45">
        <v>0.73</v>
      </c>
      <c r="H186" s="80">
        <f t="shared" si="6"/>
        <v>2952.85</v>
      </c>
      <c r="I186" s="45" t="s">
        <v>126</v>
      </c>
      <c r="J186" s="45"/>
      <c r="K186" s="45"/>
    </row>
    <row r="187" s="35" customFormat="1" ht="14.25" spans="1:12">
      <c r="A187" s="44">
        <v>45723</v>
      </c>
      <c r="B187" s="45" t="s">
        <v>194</v>
      </c>
      <c r="C187" s="45"/>
      <c r="D187" s="45" t="s">
        <v>195</v>
      </c>
      <c r="E187" s="45" t="s">
        <v>99</v>
      </c>
      <c r="F187" s="45">
        <v>1010</v>
      </c>
      <c r="G187" s="45">
        <v>0.83</v>
      </c>
      <c r="H187" s="80">
        <f t="shared" si="6"/>
        <v>838.3</v>
      </c>
      <c r="I187" s="45" t="s">
        <v>206</v>
      </c>
      <c r="J187" s="45" t="s">
        <v>90</v>
      </c>
      <c r="K187" s="45">
        <v>1</v>
      </c>
    </row>
    <row r="188" s="35" customFormat="1" ht="14.25" spans="1:12">
      <c r="A188" s="44">
        <v>45723</v>
      </c>
      <c r="B188" s="45" t="s">
        <v>194</v>
      </c>
      <c r="C188" s="45"/>
      <c r="D188" s="45" t="s">
        <v>198</v>
      </c>
      <c r="E188" s="45" t="s">
        <v>124</v>
      </c>
      <c r="F188" s="45">
        <v>10020</v>
      </c>
      <c r="G188" s="45">
        <v>1.05</v>
      </c>
      <c r="H188" s="80">
        <f t="shared" si="6"/>
        <v>10521</v>
      </c>
      <c r="I188" s="45" t="s">
        <v>193</v>
      </c>
      <c r="J188" s="45"/>
      <c r="K188" s="45"/>
    </row>
    <row r="189" s="35" customFormat="1" ht="14.25" spans="1:12">
      <c r="A189" s="44">
        <v>45727</v>
      </c>
      <c r="B189" s="45" t="s">
        <v>194</v>
      </c>
      <c r="C189" s="45"/>
      <c r="D189" s="45" t="s">
        <v>198</v>
      </c>
      <c r="E189" s="45" t="s">
        <v>346</v>
      </c>
      <c r="F189" s="45">
        <v>17650</v>
      </c>
      <c r="G189" s="45">
        <v>1.05</v>
      </c>
      <c r="H189" s="80">
        <f t="shared" si="6"/>
        <v>18532.5</v>
      </c>
      <c r="I189" s="45" t="s">
        <v>193</v>
      </c>
      <c r="J189" s="45"/>
      <c r="K189" s="45"/>
    </row>
    <row r="190" s="35" customFormat="1" ht="14.25" spans="1:12">
      <c r="A190" s="44">
        <v>45727</v>
      </c>
      <c r="B190" s="45" t="s">
        <v>194</v>
      </c>
      <c r="C190" s="45"/>
      <c r="D190" s="45" t="s">
        <v>195</v>
      </c>
      <c r="E190" s="45" t="s">
        <v>60</v>
      </c>
      <c r="F190" s="45">
        <v>2021</v>
      </c>
      <c r="G190" s="45">
        <v>0.73</v>
      </c>
      <c r="H190" s="80">
        <f t="shared" si="6"/>
        <v>1475.33</v>
      </c>
      <c r="I190" s="45" t="s">
        <v>126</v>
      </c>
      <c r="J190" s="45"/>
      <c r="K190" s="45"/>
    </row>
    <row r="191" s="35" customFormat="1" ht="14.25" spans="1:12">
      <c r="A191" s="44">
        <v>45727</v>
      </c>
      <c r="B191" s="45" t="s">
        <v>194</v>
      </c>
      <c r="C191" s="45"/>
      <c r="D191" s="45" t="s">
        <v>203</v>
      </c>
      <c r="E191" s="45" t="s">
        <v>123</v>
      </c>
      <c r="F191" s="45">
        <v>12219</v>
      </c>
      <c r="G191" s="45">
        <v>0.79</v>
      </c>
      <c r="H191" s="80">
        <f t="shared" si="6"/>
        <v>9653.01</v>
      </c>
      <c r="I191" s="45" t="s">
        <v>126</v>
      </c>
      <c r="J191" s="45"/>
      <c r="K191" s="45"/>
    </row>
    <row r="192" s="35" customFormat="1" ht="14.25" spans="1:12">
      <c r="A192" s="44">
        <v>45727</v>
      </c>
      <c r="B192" s="45" t="s">
        <v>194</v>
      </c>
      <c r="C192" s="45"/>
      <c r="D192" s="45" t="s">
        <v>731</v>
      </c>
      <c r="E192" s="45" t="s">
        <v>732</v>
      </c>
      <c r="F192" s="45">
        <v>6052</v>
      </c>
      <c r="G192" s="45">
        <v>0.85</v>
      </c>
      <c r="H192" s="80">
        <f t="shared" si="6"/>
        <v>5144.2</v>
      </c>
      <c r="I192" s="45" t="s">
        <v>286</v>
      </c>
      <c r="J192" s="45" t="s">
        <v>90</v>
      </c>
      <c r="K192" s="45">
        <v>0.97</v>
      </c>
    </row>
    <row r="193" s="35" customFormat="1" ht="14.25" spans="1:11">
      <c r="A193" s="44">
        <v>45728</v>
      </c>
      <c r="B193" s="45" t="s">
        <v>194</v>
      </c>
      <c r="C193" s="45"/>
      <c r="D193" s="45" t="s">
        <v>195</v>
      </c>
      <c r="E193" s="45" t="s">
        <v>99</v>
      </c>
      <c r="F193" s="45">
        <v>1010</v>
      </c>
      <c r="G193" s="45">
        <v>0.83</v>
      </c>
      <c r="H193" s="80">
        <f t="shared" si="6"/>
        <v>838.3</v>
      </c>
      <c r="I193" s="45" t="s">
        <v>206</v>
      </c>
      <c r="J193" s="45" t="s">
        <v>90</v>
      </c>
      <c r="K193" s="45">
        <v>1</v>
      </c>
    </row>
    <row r="194" s="35" customFormat="1" ht="14.25" spans="1:11">
      <c r="A194" s="44">
        <v>45728</v>
      </c>
      <c r="B194" s="45" t="s">
        <v>194</v>
      </c>
      <c r="C194" s="45"/>
      <c r="D194" s="45" t="s">
        <v>417</v>
      </c>
      <c r="E194" s="45" t="s">
        <v>420</v>
      </c>
      <c r="F194" s="45">
        <v>2004</v>
      </c>
      <c r="G194" s="45">
        <v>2.23</v>
      </c>
      <c r="H194" s="80">
        <f t="shared" si="6"/>
        <v>4468.92</v>
      </c>
      <c r="I194" s="45" t="s">
        <v>77</v>
      </c>
      <c r="J194" s="45" t="s">
        <v>90</v>
      </c>
      <c r="K194" s="45">
        <v>2.4</v>
      </c>
    </row>
    <row r="195" s="35" customFormat="1" ht="14.25" spans="1:11">
      <c r="A195" s="44">
        <v>45734</v>
      </c>
      <c r="B195" s="45" t="s">
        <v>194</v>
      </c>
      <c r="C195" s="45"/>
      <c r="D195" s="45" t="s">
        <v>209</v>
      </c>
      <c r="E195" s="45" t="s">
        <v>99</v>
      </c>
      <c r="F195" s="45">
        <v>111</v>
      </c>
      <c r="G195" s="45">
        <v>1.02</v>
      </c>
      <c r="H195" s="80">
        <f t="shared" ref="H195:H238" si="7">F195*G195</f>
        <v>113.22</v>
      </c>
      <c r="I195" s="45" t="s">
        <v>733</v>
      </c>
      <c r="J195" s="45" t="s">
        <v>455</v>
      </c>
      <c r="K195" s="45">
        <v>1.19</v>
      </c>
    </row>
    <row r="196" s="35" customFormat="1" ht="14.25" spans="1:11">
      <c r="A196" s="44">
        <v>45741</v>
      </c>
      <c r="B196" s="45" t="s">
        <v>194</v>
      </c>
      <c r="C196" s="45"/>
      <c r="D196" s="45" t="s">
        <v>203</v>
      </c>
      <c r="E196" s="45" t="s">
        <v>123</v>
      </c>
      <c r="F196" s="45">
        <v>12540</v>
      </c>
      <c r="G196" s="45">
        <v>0.79</v>
      </c>
      <c r="H196" s="80">
        <f t="shared" si="7"/>
        <v>9906.6</v>
      </c>
      <c r="I196" s="45" t="s">
        <v>126</v>
      </c>
      <c r="J196" s="45"/>
      <c r="K196" s="45"/>
    </row>
    <row r="197" s="35" customFormat="1" ht="14.25" spans="1:11">
      <c r="A197" s="44">
        <v>45741</v>
      </c>
      <c r="B197" s="45" t="s">
        <v>194</v>
      </c>
      <c r="C197" s="45"/>
      <c r="D197" s="45" t="s">
        <v>195</v>
      </c>
      <c r="E197" s="45" t="s">
        <v>99</v>
      </c>
      <c r="F197" s="45">
        <v>1507</v>
      </c>
      <c r="G197" s="45">
        <v>0.83</v>
      </c>
      <c r="H197" s="80">
        <f t="shared" si="7"/>
        <v>1250.81</v>
      </c>
      <c r="I197" s="45" t="s">
        <v>734</v>
      </c>
      <c r="J197" s="45"/>
      <c r="K197" s="45"/>
    </row>
    <row r="198" s="35" customFormat="1" ht="14.25" spans="1:11">
      <c r="A198" s="44">
        <v>45741</v>
      </c>
      <c r="B198" s="45" t="s">
        <v>194</v>
      </c>
      <c r="C198" s="45"/>
      <c r="D198" s="45" t="s">
        <v>735</v>
      </c>
      <c r="E198" s="45" t="s">
        <v>14</v>
      </c>
      <c r="F198" s="45">
        <v>3200</v>
      </c>
      <c r="G198" s="45">
        <v>0.75</v>
      </c>
      <c r="H198" s="80">
        <f t="shared" si="7"/>
        <v>2400</v>
      </c>
      <c r="I198" s="45" t="s">
        <v>19</v>
      </c>
      <c r="J198" s="45"/>
      <c r="K198" s="45"/>
    </row>
    <row r="199" s="35" customFormat="1" ht="14.25" spans="1:11">
      <c r="A199" s="44">
        <v>45741</v>
      </c>
      <c r="B199" s="45" t="s">
        <v>194</v>
      </c>
      <c r="C199" s="45"/>
      <c r="D199" s="45" t="s">
        <v>736</v>
      </c>
      <c r="E199" s="45" t="s">
        <v>99</v>
      </c>
      <c r="F199" s="45">
        <v>2063</v>
      </c>
      <c r="G199" s="45">
        <v>1.1</v>
      </c>
      <c r="H199" s="80">
        <f t="shared" si="7"/>
        <v>2269.3</v>
      </c>
      <c r="I199" s="45" t="s">
        <v>166</v>
      </c>
      <c r="J199" s="45" t="s">
        <v>90</v>
      </c>
      <c r="K199" s="45">
        <v>1.27</v>
      </c>
    </row>
    <row r="200" ht="14.25" spans="1:11">
      <c r="A200" s="41">
        <v>45741</v>
      </c>
      <c r="B200" s="43" t="s">
        <v>194</v>
      </c>
      <c r="C200" s="43"/>
      <c r="D200" s="43" t="s">
        <v>737</v>
      </c>
      <c r="E200" s="43" t="s">
        <v>123</v>
      </c>
      <c r="F200" s="43">
        <v>510</v>
      </c>
      <c r="G200" s="43">
        <v>0.9</v>
      </c>
      <c r="H200" s="81">
        <f t="shared" si="7"/>
        <v>459</v>
      </c>
      <c r="I200" s="43" t="s">
        <v>738</v>
      </c>
      <c r="J200" s="43"/>
      <c r="K200" s="43"/>
    </row>
    <row r="201" ht="14.25" spans="1:11">
      <c r="A201" s="41">
        <v>45743</v>
      </c>
      <c r="B201" s="43" t="s">
        <v>194</v>
      </c>
      <c r="C201" s="43"/>
      <c r="D201" s="43" t="s">
        <v>198</v>
      </c>
      <c r="E201" s="43" t="s">
        <v>739</v>
      </c>
      <c r="F201" s="43">
        <v>6023</v>
      </c>
      <c r="G201" s="43">
        <v>1.05</v>
      </c>
      <c r="H201" s="81">
        <f t="shared" si="7"/>
        <v>6324.15</v>
      </c>
      <c r="I201" s="43" t="s">
        <v>193</v>
      </c>
      <c r="J201" s="43"/>
      <c r="K201" s="43"/>
    </row>
    <row r="202" ht="14.25" spans="1:11">
      <c r="A202" s="41">
        <v>45743</v>
      </c>
      <c r="B202" s="43" t="s">
        <v>194</v>
      </c>
      <c r="C202" s="43"/>
      <c r="D202" s="43" t="s">
        <v>203</v>
      </c>
      <c r="E202" s="43" t="s">
        <v>124</v>
      </c>
      <c r="F202" s="43">
        <v>140</v>
      </c>
      <c r="G202" s="43">
        <v>0.9</v>
      </c>
      <c r="H202" s="81">
        <f t="shared" si="7"/>
        <v>126</v>
      </c>
      <c r="I202" s="43" t="s">
        <v>740</v>
      </c>
      <c r="J202" s="43"/>
      <c r="K202" s="43"/>
    </row>
    <row r="203" ht="14.25" spans="1:11">
      <c r="A203" s="41">
        <v>45718</v>
      </c>
      <c r="B203" s="43" t="s">
        <v>225</v>
      </c>
      <c r="C203" s="43"/>
      <c r="D203" s="43" t="s">
        <v>227</v>
      </c>
      <c r="E203" s="43" t="s">
        <v>123</v>
      </c>
      <c r="F203" s="43">
        <v>1016</v>
      </c>
      <c r="G203" s="43">
        <v>0.7</v>
      </c>
      <c r="H203" s="81">
        <f t="shared" si="7"/>
        <v>711.2</v>
      </c>
      <c r="I203" s="43" t="s">
        <v>208</v>
      </c>
      <c r="J203" s="43"/>
      <c r="K203" s="43"/>
    </row>
    <row r="204" ht="14.25" spans="1:11">
      <c r="A204" s="41">
        <v>45720</v>
      </c>
      <c r="B204" s="43" t="s">
        <v>225</v>
      </c>
      <c r="C204" s="43"/>
      <c r="D204" s="43" t="s">
        <v>122</v>
      </c>
      <c r="E204" s="43" t="s">
        <v>99</v>
      </c>
      <c r="F204" s="43">
        <v>2139</v>
      </c>
      <c r="G204" s="43">
        <v>0.78</v>
      </c>
      <c r="H204" s="81">
        <f t="shared" si="7"/>
        <v>1668.42</v>
      </c>
      <c r="I204" s="43" t="s">
        <v>741</v>
      </c>
      <c r="J204" s="43" t="s">
        <v>90</v>
      </c>
      <c r="K204" s="43">
        <v>0.95</v>
      </c>
    </row>
    <row r="205" ht="14.25" spans="1:11">
      <c r="A205" s="41">
        <v>45720</v>
      </c>
      <c r="B205" s="43" t="s">
        <v>225</v>
      </c>
      <c r="C205" s="43"/>
      <c r="D205" s="43" t="s">
        <v>227</v>
      </c>
      <c r="E205" s="43" t="s">
        <v>123</v>
      </c>
      <c r="F205" s="43">
        <v>6097</v>
      </c>
      <c r="G205" s="43">
        <v>0.68</v>
      </c>
      <c r="H205" s="81">
        <f t="shared" si="7"/>
        <v>4145.96</v>
      </c>
      <c r="I205" s="43" t="s">
        <v>742</v>
      </c>
      <c r="J205" s="43"/>
      <c r="K205" s="43"/>
    </row>
    <row r="206" ht="14.25" spans="1:11">
      <c r="A206" s="41">
        <v>45722</v>
      </c>
      <c r="B206" s="43" t="s">
        <v>225</v>
      </c>
      <c r="C206" s="87" t="s">
        <v>743</v>
      </c>
      <c r="D206" s="43" t="s">
        <v>227</v>
      </c>
      <c r="E206" s="43" t="s">
        <v>62</v>
      </c>
      <c r="F206" s="43">
        <v>10307</v>
      </c>
      <c r="G206" s="43">
        <v>0.61</v>
      </c>
      <c r="H206" s="81">
        <f t="shared" si="7"/>
        <v>6287.27</v>
      </c>
      <c r="I206" s="43" t="s">
        <v>356</v>
      </c>
      <c r="J206" s="43"/>
      <c r="K206" s="43"/>
    </row>
    <row r="207" ht="14.25" spans="1:11">
      <c r="A207" s="41">
        <v>45725</v>
      </c>
      <c r="B207" s="43" t="s">
        <v>225</v>
      </c>
      <c r="C207" s="87" t="s">
        <v>744</v>
      </c>
      <c r="D207" s="43" t="s">
        <v>227</v>
      </c>
      <c r="E207" s="43" t="s">
        <v>123</v>
      </c>
      <c r="F207" s="43">
        <v>6077</v>
      </c>
      <c r="G207" s="43">
        <v>0.68</v>
      </c>
      <c r="H207" s="81">
        <f t="shared" si="7"/>
        <v>4132.36</v>
      </c>
      <c r="I207" s="43" t="s">
        <v>437</v>
      </c>
      <c r="J207" s="43"/>
      <c r="K207" s="43"/>
    </row>
    <row r="208" ht="14.25" spans="1:11">
      <c r="A208" s="41">
        <v>45729</v>
      </c>
      <c r="B208" s="43" t="s">
        <v>225</v>
      </c>
      <c r="C208" s="87" t="s">
        <v>745</v>
      </c>
      <c r="D208" s="43" t="s">
        <v>76</v>
      </c>
      <c r="E208" s="43" t="s">
        <v>365</v>
      </c>
      <c r="F208" s="43">
        <v>12017</v>
      </c>
      <c r="G208" s="43">
        <v>0.7</v>
      </c>
      <c r="H208" s="81">
        <f t="shared" si="7"/>
        <v>8411.9</v>
      </c>
      <c r="I208" s="43" t="s">
        <v>746</v>
      </c>
      <c r="J208" s="43" t="s">
        <v>371</v>
      </c>
      <c r="K208" s="43">
        <v>0.86</v>
      </c>
    </row>
    <row r="209" ht="14.25" spans="1:11">
      <c r="A209" s="41">
        <v>45730</v>
      </c>
      <c r="B209" s="43" t="s">
        <v>225</v>
      </c>
      <c r="C209" s="87" t="s">
        <v>747</v>
      </c>
      <c r="D209" s="43" t="s">
        <v>76</v>
      </c>
      <c r="E209" s="43" t="s">
        <v>365</v>
      </c>
      <c r="F209" s="43">
        <v>62</v>
      </c>
      <c r="G209" s="43">
        <v>0.7</v>
      </c>
      <c r="H209" s="81">
        <f t="shared" si="7"/>
        <v>43.4</v>
      </c>
      <c r="I209" s="43" t="s">
        <v>746</v>
      </c>
      <c r="J209" s="43" t="s">
        <v>371</v>
      </c>
      <c r="K209" s="43">
        <v>0.86</v>
      </c>
    </row>
    <row r="210" ht="14.25" spans="1:11">
      <c r="A210" s="41">
        <v>45737</v>
      </c>
      <c r="B210" s="43" t="s">
        <v>225</v>
      </c>
      <c r="C210" s="87" t="s">
        <v>748</v>
      </c>
      <c r="D210" s="43" t="s">
        <v>227</v>
      </c>
      <c r="E210" s="43" t="s">
        <v>123</v>
      </c>
      <c r="F210" s="43">
        <v>1022</v>
      </c>
      <c r="G210" s="43">
        <v>0.7</v>
      </c>
      <c r="H210" s="81">
        <f t="shared" si="7"/>
        <v>715.4</v>
      </c>
      <c r="I210" s="43" t="s">
        <v>208</v>
      </c>
      <c r="J210" s="43"/>
      <c r="K210" s="43"/>
    </row>
    <row r="211" ht="14.25" spans="1:11">
      <c r="A211" s="41">
        <v>45743</v>
      </c>
      <c r="B211" s="43" t="s">
        <v>225</v>
      </c>
      <c r="C211" s="87" t="s">
        <v>749</v>
      </c>
      <c r="D211" s="43" t="s">
        <v>122</v>
      </c>
      <c r="E211" s="43" t="s">
        <v>732</v>
      </c>
      <c r="F211" s="43">
        <v>3047</v>
      </c>
      <c r="G211" s="43">
        <v>0.78</v>
      </c>
      <c r="H211" s="81">
        <f t="shared" si="7"/>
        <v>2376.66</v>
      </c>
      <c r="I211" s="43" t="s">
        <v>741</v>
      </c>
      <c r="J211" s="43" t="s">
        <v>90</v>
      </c>
      <c r="K211" s="43">
        <v>0.95</v>
      </c>
    </row>
    <row r="212" ht="14.25" spans="1:11">
      <c r="A212" s="41">
        <v>45718</v>
      </c>
      <c r="B212" s="43" t="s">
        <v>101</v>
      </c>
      <c r="C212" s="43">
        <v>20250301</v>
      </c>
      <c r="D212" s="43" t="s">
        <v>104</v>
      </c>
      <c r="E212" s="43" t="s">
        <v>361</v>
      </c>
      <c r="F212" s="43">
        <v>4000</v>
      </c>
      <c r="G212" s="43">
        <v>0.98</v>
      </c>
      <c r="H212" s="81">
        <f t="shared" si="7"/>
        <v>3920</v>
      </c>
      <c r="I212" s="43" t="s">
        <v>105</v>
      </c>
      <c r="J212" s="43"/>
      <c r="K212" s="43"/>
    </row>
    <row r="213" ht="14.25" spans="1:11">
      <c r="A213" s="41">
        <v>45718</v>
      </c>
      <c r="B213" s="43" t="s">
        <v>101</v>
      </c>
      <c r="C213" s="43">
        <v>20250301</v>
      </c>
      <c r="D213" s="43" t="s">
        <v>107</v>
      </c>
      <c r="E213" s="43" t="s">
        <v>60</v>
      </c>
      <c r="F213" s="43">
        <v>12907</v>
      </c>
      <c r="G213" s="43">
        <v>0.82</v>
      </c>
      <c r="H213" s="81">
        <f t="shared" si="7"/>
        <v>10583.74</v>
      </c>
      <c r="I213" s="43" t="s">
        <v>45</v>
      </c>
      <c r="J213" s="43"/>
      <c r="K213" s="43"/>
    </row>
    <row r="214" ht="14.25" spans="1:11">
      <c r="A214" s="41">
        <v>45719</v>
      </c>
      <c r="B214" s="43" t="s">
        <v>101</v>
      </c>
      <c r="C214" s="43">
        <v>20250302</v>
      </c>
      <c r="D214" s="43" t="s">
        <v>750</v>
      </c>
      <c r="E214" s="43" t="s">
        <v>14</v>
      </c>
      <c r="F214" s="43">
        <v>640939</v>
      </c>
      <c r="G214" s="43">
        <v>0.9</v>
      </c>
      <c r="H214" s="81">
        <f t="shared" si="7"/>
        <v>576845.1</v>
      </c>
      <c r="I214" s="43" t="s">
        <v>61</v>
      </c>
      <c r="J214" s="43" t="s">
        <v>46</v>
      </c>
      <c r="K214" s="43"/>
    </row>
    <row r="215" ht="14.25" spans="1:11">
      <c r="A215" s="41">
        <v>45721</v>
      </c>
      <c r="B215" s="43" t="s">
        <v>101</v>
      </c>
      <c r="C215" s="43">
        <v>20250303</v>
      </c>
      <c r="D215" s="43" t="s">
        <v>115</v>
      </c>
      <c r="E215" s="43" t="s">
        <v>123</v>
      </c>
      <c r="F215" s="43">
        <v>18168</v>
      </c>
      <c r="G215" s="43">
        <v>0.52</v>
      </c>
      <c r="H215" s="81">
        <f t="shared" si="7"/>
        <v>9447.36</v>
      </c>
      <c r="I215" s="43" t="s">
        <v>117</v>
      </c>
      <c r="J215" s="43"/>
      <c r="K215" s="43"/>
    </row>
    <row r="216" ht="14.25" spans="1:11">
      <c r="A216" s="41">
        <v>45721</v>
      </c>
      <c r="B216" s="43" t="s">
        <v>101</v>
      </c>
      <c r="C216" s="43">
        <v>20250303</v>
      </c>
      <c r="D216" s="43" t="s">
        <v>84</v>
      </c>
      <c r="E216" s="43" t="s">
        <v>85</v>
      </c>
      <c r="F216" s="43">
        <v>3020</v>
      </c>
      <c r="G216" s="43">
        <v>1.2</v>
      </c>
      <c r="H216" s="81">
        <f t="shared" si="7"/>
        <v>3624</v>
      </c>
      <c r="I216" s="43" t="s">
        <v>106</v>
      </c>
      <c r="J216" s="43"/>
      <c r="K216" s="43"/>
    </row>
    <row r="217" ht="14.25" spans="1:11">
      <c r="A217" s="41">
        <v>45723</v>
      </c>
      <c r="B217" s="43" t="s">
        <v>101</v>
      </c>
      <c r="C217" s="43">
        <v>20250304</v>
      </c>
      <c r="D217" s="43" t="s">
        <v>751</v>
      </c>
      <c r="E217" s="43" t="s">
        <v>99</v>
      </c>
      <c r="F217" s="43">
        <v>2010</v>
      </c>
      <c r="G217" s="43">
        <v>0.95</v>
      </c>
      <c r="H217" s="81">
        <f t="shared" si="7"/>
        <v>1909.5</v>
      </c>
      <c r="I217" s="43" t="s">
        <v>631</v>
      </c>
      <c r="J217" s="43"/>
      <c r="K217" s="43"/>
    </row>
    <row r="218" ht="14.25" spans="1:11">
      <c r="A218" s="41">
        <v>45729</v>
      </c>
      <c r="B218" s="43" t="s">
        <v>101</v>
      </c>
      <c r="C218" s="43">
        <v>20250305</v>
      </c>
      <c r="D218" s="43" t="s">
        <v>362</v>
      </c>
      <c r="E218" s="43" t="s">
        <v>85</v>
      </c>
      <c r="F218" s="43">
        <v>20000</v>
      </c>
      <c r="G218" s="43">
        <v>0.95</v>
      </c>
      <c r="H218" s="81">
        <f t="shared" si="7"/>
        <v>19000</v>
      </c>
      <c r="I218" s="43" t="s">
        <v>363</v>
      </c>
      <c r="J218" s="43" t="s">
        <v>369</v>
      </c>
      <c r="K218" s="43"/>
    </row>
    <row r="219" ht="14.25" spans="1:11">
      <c r="A219" s="41">
        <v>45729</v>
      </c>
      <c r="B219" s="43" t="s">
        <v>101</v>
      </c>
      <c r="C219" s="43">
        <v>20250305</v>
      </c>
      <c r="D219" s="43" t="s">
        <v>752</v>
      </c>
      <c r="E219" s="43" t="s">
        <v>124</v>
      </c>
      <c r="F219" s="43">
        <v>40000</v>
      </c>
      <c r="G219" s="43">
        <v>0.57</v>
      </c>
      <c r="H219" s="81">
        <f t="shared" si="7"/>
        <v>22800</v>
      </c>
      <c r="I219" s="43" t="s">
        <v>396</v>
      </c>
      <c r="J219" s="43"/>
      <c r="K219" s="43"/>
    </row>
    <row r="220" ht="14.25" spans="1:11">
      <c r="A220" s="41">
        <v>45731</v>
      </c>
      <c r="B220" s="43" t="s">
        <v>101</v>
      </c>
      <c r="C220" s="43">
        <v>20250306</v>
      </c>
      <c r="D220" s="43" t="s">
        <v>362</v>
      </c>
      <c r="E220" s="43" t="s">
        <v>99</v>
      </c>
      <c r="F220" s="43">
        <v>6102</v>
      </c>
      <c r="G220" s="43">
        <v>0.97</v>
      </c>
      <c r="H220" s="81">
        <f t="shared" si="7"/>
        <v>5918.94</v>
      </c>
      <c r="I220" s="43" t="s">
        <v>503</v>
      </c>
      <c r="J220" s="43"/>
      <c r="K220" s="43"/>
    </row>
    <row r="221" ht="14.25" spans="1:11">
      <c r="A221" s="41">
        <v>45731</v>
      </c>
      <c r="B221" s="43" t="s">
        <v>101</v>
      </c>
      <c r="C221" s="43">
        <v>20250306</v>
      </c>
      <c r="D221" s="43" t="s">
        <v>752</v>
      </c>
      <c r="E221" s="43" t="s">
        <v>116</v>
      </c>
      <c r="F221" s="43">
        <v>30000</v>
      </c>
      <c r="G221" s="43">
        <v>0.57</v>
      </c>
      <c r="H221" s="81">
        <f t="shared" si="7"/>
        <v>17100</v>
      </c>
      <c r="I221" s="43" t="s">
        <v>396</v>
      </c>
      <c r="J221" s="43"/>
      <c r="K221" s="43"/>
    </row>
    <row r="222" ht="14.25" spans="1:11">
      <c r="A222" s="41">
        <v>45733</v>
      </c>
      <c r="B222" s="43" t="s">
        <v>101</v>
      </c>
      <c r="C222" s="43">
        <v>20250307</v>
      </c>
      <c r="D222" s="43" t="s">
        <v>752</v>
      </c>
      <c r="E222" s="43" t="s">
        <v>116</v>
      </c>
      <c r="F222" s="43">
        <v>40000</v>
      </c>
      <c r="G222" s="43">
        <v>0.57</v>
      </c>
      <c r="H222" s="81">
        <f t="shared" si="7"/>
        <v>22800</v>
      </c>
      <c r="I222" s="43" t="s">
        <v>396</v>
      </c>
      <c r="J222" s="43"/>
      <c r="K222" s="43"/>
    </row>
    <row r="223" ht="14.25" spans="1:11">
      <c r="A223" s="41">
        <v>45735</v>
      </c>
      <c r="B223" s="43" t="s">
        <v>101</v>
      </c>
      <c r="C223" s="43">
        <v>20250308</v>
      </c>
      <c r="D223" s="43" t="s">
        <v>362</v>
      </c>
      <c r="E223" s="43" t="s">
        <v>99</v>
      </c>
      <c r="F223" s="43">
        <v>63</v>
      </c>
      <c r="G223" s="43">
        <v>0.97</v>
      </c>
      <c r="H223" s="81">
        <f t="shared" si="7"/>
        <v>61.11</v>
      </c>
      <c r="I223" s="43" t="s">
        <v>193</v>
      </c>
      <c r="J223" s="43"/>
      <c r="K223" s="43"/>
    </row>
    <row r="224" ht="14.25" spans="1:11">
      <c r="A224" s="41">
        <v>45735</v>
      </c>
      <c r="B224" s="43" t="s">
        <v>101</v>
      </c>
      <c r="C224" s="43">
        <v>20250308</v>
      </c>
      <c r="D224" s="43" t="s">
        <v>104</v>
      </c>
      <c r="E224" s="43" t="s">
        <v>753</v>
      </c>
      <c r="F224" s="43">
        <v>20000</v>
      </c>
      <c r="G224" s="43">
        <v>0.98</v>
      </c>
      <c r="H224" s="81">
        <f t="shared" si="7"/>
        <v>19600</v>
      </c>
      <c r="I224" s="43" t="s">
        <v>105</v>
      </c>
      <c r="J224" s="43"/>
      <c r="K224" s="43"/>
    </row>
    <row r="225" ht="14.25" spans="1:11">
      <c r="A225" s="41">
        <v>45735</v>
      </c>
      <c r="B225" s="43" t="s">
        <v>101</v>
      </c>
      <c r="C225" s="43">
        <v>20250308</v>
      </c>
      <c r="D225" s="43" t="s">
        <v>752</v>
      </c>
      <c r="E225" s="43" t="s">
        <v>124</v>
      </c>
      <c r="F225" s="43">
        <v>60100</v>
      </c>
      <c r="G225" s="43">
        <v>0.57</v>
      </c>
      <c r="H225" s="81">
        <f t="shared" si="7"/>
        <v>34257</v>
      </c>
      <c r="I225" s="43" t="s">
        <v>396</v>
      </c>
      <c r="J225" s="43"/>
      <c r="K225" s="43"/>
    </row>
    <row r="226" ht="14.25" spans="1:11">
      <c r="A226" s="41">
        <v>45737</v>
      </c>
      <c r="B226" s="43" t="s">
        <v>101</v>
      </c>
      <c r="C226" s="43">
        <v>20250309</v>
      </c>
      <c r="D226" s="43" t="s">
        <v>754</v>
      </c>
      <c r="E226" s="43" t="s">
        <v>85</v>
      </c>
      <c r="F226" s="43">
        <v>900</v>
      </c>
      <c r="G226" s="43">
        <v>1.1</v>
      </c>
      <c r="H226" s="81">
        <f t="shared" si="7"/>
        <v>990</v>
      </c>
      <c r="I226" s="43" t="s">
        <v>106</v>
      </c>
      <c r="J226" s="43"/>
      <c r="K226" s="43"/>
    </row>
    <row r="227" ht="14.25" spans="1:11">
      <c r="A227" s="41">
        <v>45737</v>
      </c>
      <c r="B227" s="43" t="s">
        <v>101</v>
      </c>
      <c r="C227" s="43">
        <v>20250309</v>
      </c>
      <c r="D227" s="43" t="s">
        <v>84</v>
      </c>
      <c r="E227" s="43" t="s">
        <v>85</v>
      </c>
      <c r="F227" s="43">
        <v>3020</v>
      </c>
      <c r="G227" s="43">
        <v>1.2</v>
      </c>
      <c r="H227" s="81">
        <f t="shared" si="7"/>
        <v>3624</v>
      </c>
      <c r="I227" s="43" t="s">
        <v>106</v>
      </c>
      <c r="J227" s="43"/>
      <c r="K227" s="43"/>
    </row>
    <row r="228" ht="14.25" spans="1:11">
      <c r="A228" s="41">
        <v>45740</v>
      </c>
      <c r="B228" s="43" t="s">
        <v>101</v>
      </c>
      <c r="C228" s="43">
        <v>20250310</v>
      </c>
      <c r="D228" s="43" t="s">
        <v>752</v>
      </c>
      <c r="E228" s="43" t="s">
        <v>124</v>
      </c>
      <c r="F228" s="43">
        <v>50000</v>
      </c>
      <c r="G228" s="43">
        <v>0.57</v>
      </c>
      <c r="H228" s="81">
        <f t="shared" si="7"/>
        <v>28500</v>
      </c>
      <c r="I228" s="43" t="s">
        <v>396</v>
      </c>
      <c r="J228" s="43"/>
      <c r="K228" s="43"/>
    </row>
    <row r="229" ht="14.25" spans="1:11">
      <c r="A229" s="41">
        <v>45742</v>
      </c>
      <c r="B229" s="43" t="s">
        <v>101</v>
      </c>
      <c r="C229" s="43">
        <v>20250311</v>
      </c>
      <c r="D229" s="43" t="s">
        <v>752</v>
      </c>
      <c r="E229" s="43" t="s">
        <v>124</v>
      </c>
      <c r="F229" s="43">
        <v>50000</v>
      </c>
      <c r="G229" s="43">
        <v>0.57</v>
      </c>
      <c r="H229" s="81">
        <f t="shared" si="7"/>
        <v>28500</v>
      </c>
      <c r="I229" s="43" t="s">
        <v>396</v>
      </c>
      <c r="J229" s="43"/>
      <c r="K229" s="43"/>
    </row>
    <row r="230" ht="14.25" spans="1:11">
      <c r="A230" s="41">
        <v>45743</v>
      </c>
      <c r="B230" s="43" t="s">
        <v>101</v>
      </c>
      <c r="C230" s="43">
        <v>20250312</v>
      </c>
      <c r="D230" s="43" t="s">
        <v>755</v>
      </c>
      <c r="E230" s="43" t="s">
        <v>99</v>
      </c>
      <c r="F230" s="43">
        <v>15000</v>
      </c>
      <c r="G230" s="43">
        <v>0.98</v>
      </c>
      <c r="H230" s="81">
        <f t="shared" si="7"/>
        <v>14700</v>
      </c>
      <c r="I230" s="43" t="s">
        <v>213</v>
      </c>
      <c r="J230" s="43"/>
      <c r="K230" s="43"/>
    </row>
    <row r="231" ht="14.25" spans="1:11">
      <c r="A231" s="41">
        <v>45743</v>
      </c>
      <c r="B231" s="43" t="s">
        <v>101</v>
      </c>
      <c r="C231" s="43">
        <v>20250312</v>
      </c>
      <c r="D231" s="43" t="s">
        <v>752</v>
      </c>
      <c r="E231" s="43" t="s">
        <v>116</v>
      </c>
      <c r="F231" s="43">
        <v>20000</v>
      </c>
      <c r="G231" s="43">
        <v>0.57</v>
      </c>
      <c r="H231" s="81">
        <f t="shared" si="7"/>
        <v>11400</v>
      </c>
      <c r="I231" s="43" t="s">
        <v>396</v>
      </c>
      <c r="J231" s="43"/>
      <c r="K231" s="43"/>
    </row>
    <row r="232" ht="14.25" spans="1:11">
      <c r="A232" s="41">
        <v>45743</v>
      </c>
      <c r="B232" s="43" t="s">
        <v>101</v>
      </c>
      <c r="C232" s="43">
        <v>20250312</v>
      </c>
      <c r="D232" s="43" t="s">
        <v>102</v>
      </c>
      <c r="E232" s="43" t="s">
        <v>60</v>
      </c>
      <c r="F232" s="43">
        <v>4010</v>
      </c>
      <c r="G232" s="43">
        <v>0.8</v>
      </c>
      <c r="H232" s="81">
        <f t="shared" si="7"/>
        <v>3208</v>
      </c>
      <c r="I232" s="43" t="s">
        <v>103</v>
      </c>
      <c r="J232" s="43"/>
      <c r="K232" s="43"/>
    </row>
    <row r="233" ht="14.25" spans="1:11">
      <c r="A233" s="41">
        <v>45743</v>
      </c>
      <c r="B233" s="43" t="s">
        <v>101</v>
      </c>
      <c r="C233" s="43">
        <v>20250312</v>
      </c>
      <c r="D233" s="43" t="s">
        <v>107</v>
      </c>
      <c r="E233" s="43" t="s">
        <v>60</v>
      </c>
      <c r="F233" s="43">
        <v>19280</v>
      </c>
      <c r="G233" s="43">
        <v>0.8</v>
      </c>
      <c r="H233" s="81">
        <f t="shared" si="7"/>
        <v>15424</v>
      </c>
      <c r="I233" s="43" t="s">
        <v>35</v>
      </c>
      <c r="J233" s="43"/>
      <c r="K233" s="43"/>
    </row>
    <row r="234" ht="14.25" spans="1:11">
      <c r="A234" s="41">
        <v>45745</v>
      </c>
      <c r="B234" s="43" t="s">
        <v>101</v>
      </c>
      <c r="C234" s="43">
        <v>20250313</v>
      </c>
      <c r="D234" s="43" t="s">
        <v>752</v>
      </c>
      <c r="E234" s="43" t="s">
        <v>124</v>
      </c>
      <c r="F234" s="43">
        <v>30000</v>
      </c>
      <c r="G234" s="43">
        <v>0.57</v>
      </c>
      <c r="H234" s="81">
        <f t="shared" si="7"/>
        <v>17100</v>
      </c>
      <c r="I234" s="43" t="s">
        <v>396</v>
      </c>
      <c r="J234" s="43"/>
      <c r="K234" s="43"/>
    </row>
    <row r="235" ht="14.25" spans="1:11">
      <c r="A235" s="41">
        <v>45746</v>
      </c>
      <c r="B235" s="43" t="s">
        <v>101</v>
      </c>
      <c r="C235" s="43">
        <v>20250314</v>
      </c>
      <c r="D235" s="43" t="s">
        <v>755</v>
      </c>
      <c r="E235" s="43" t="s">
        <v>99</v>
      </c>
      <c r="F235" s="43">
        <v>30135</v>
      </c>
      <c r="G235" s="43">
        <v>0.98</v>
      </c>
      <c r="H235" s="81">
        <f t="shared" si="7"/>
        <v>29532.3</v>
      </c>
      <c r="I235" s="43" t="s">
        <v>213</v>
      </c>
      <c r="J235" s="43"/>
      <c r="K235" s="43"/>
    </row>
    <row r="236" ht="14.25" spans="1:11">
      <c r="A236" s="41">
        <v>45746</v>
      </c>
      <c r="B236" s="43" t="s">
        <v>101</v>
      </c>
      <c r="C236" s="43">
        <v>20250314</v>
      </c>
      <c r="D236" s="43" t="s">
        <v>752</v>
      </c>
      <c r="E236" s="43" t="s">
        <v>124</v>
      </c>
      <c r="F236" s="43">
        <v>30000</v>
      </c>
      <c r="G236" s="43">
        <v>0.57</v>
      </c>
      <c r="H236" s="81">
        <f t="shared" si="7"/>
        <v>17100</v>
      </c>
      <c r="I236" s="43" t="s">
        <v>396</v>
      </c>
      <c r="J236" s="43"/>
      <c r="K236" s="43"/>
    </row>
    <row r="237" ht="14.25" spans="1:11">
      <c r="A237" s="41">
        <v>45746</v>
      </c>
      <c r="B237" s="43" t="s">
        <v>101</v>
      </c>
      <c r="C237" s="43">
        <v>20250314</v>
      </c>
      <c r="D237" s="43" t="s">
        <v>107</v>
      </c>
      <c r="E237" s="43" t="s">
        <v>60</v>
      </c>
      <c r="F237" s="43">
        <v>50</v>
      </c>
      <c r="G237" s="43">
        <v>0</v>
      </c>
      <c r="H237" s="81">
        <f t="shared" si="7"/>
        <v>0</v>
      </c>
      <c r="I237" s="43" t="s">
        <v>35</v>
      </c>
      <c r="J237" s="43"/>
      <c r="K237" s="43"/>
    </row>
    <row r="238" customFormat="1" ht="14.25" spans="1:11">
      <c r="A238" s="41">
        <v>45747</v>
      </c>
      <c r="B238" s="43" t="s">
        <v>101</v>
      </c>
      <c r="C238" s="43">
        <v>20250315</v>
      </c>
      <c r="D238" s="43" t="s">
        <v>752</v>
      </c>
      <c r="E238" s="43" t="s">
        <v>124</v>
      </c>
      <c r="F238" s="43">
        <v>20000</v>
      </c>
      <c r="G238" s="43">
        <v>0.57</v>
      </c>
      <c r="H238" s="81">
        <f t="shared" si="7"/>
        <v>11400</v>
      </c>
      <c r="I238" s="43" t="s">
        <v>396</v>
      </c>
      <c r="J238" s="43"/>
      <c r="K238" s="43"/>
    </row>
    <row r="239" s="35" customFormat="1" ht="14.25" spans="1:11">
      <c r="A239" s="44">
        <v>45719</v>
      </c>
      <c r="B239" s="45" t="s">
        <v>121</v>
      </c>
      <c r="C239" s="45"/>
      <c r="D239" s="45" t="s">
        <v>76</v>
      </c>
      <c r="E239" s="45" t="s">
        <v>370</v>
      </c>
      <c r="F239" s="45">
        <v>12076</v>
      </c>
      <c r="G239" s="45">
        <v>0.57</v>
      </c>
      <c r="H239" s="80">
        <f t="shared" ref="H239:H284" si="8">F239*G239</f>
        <v>6883.32</v>
      </c>
      <c r="I239" s="45" t="s">
        <v>746</v>
      </c>
      <c r="J239" s="45" t="s">
        <v>371</v>
      </c>
      <c r="K239" s="45">
        <v>0.73</v>
      </c>
    </row>
    <row r="240" s="35" customFormat="1" ht="14.25" spans="1:11">
      <c r="A240" s="44">
        <v>45719</v>
      </c>
      <c r="B240" s="45" t="s">
        <v>121</v>
      </c>
      <c r="C240" s="45"/>
      <c r="D240" s="45" t="s">
        <v>122</v>
      </c>
      <c r="E240" s="45" t="s">
        <v>123</v>
      </c>
      <c r="F240" s="45">
        <v>5322</v>
      </c>
      <c r="G240" s="45">
        <v>0.56</v>
      </c>
      <c r="H240" s="80">
        <f t="shared" si="8"/>
        <v>2980.32</v>
      </c>
      <c r="I240" s="45" t="s">
        <v>117</v>
      </c>
      <c r="J240" s="45"/>
      <c r="K240" s="45"/>
    </row>
    <row r="241" s="35" customFormat="1" ht="14.25" spans="1:11">
      <c r="A241" s="44">
        <v>45719</v>
      </c>
      <c r="B241" s="45" t="s">
        <v>121</v>
      </c>
      <c r="C241" s="45"/>
      <c r="D241" s="45" t="s">
        <v>130</v>
      </c>
      <c r="E241" s="45" t="s">
        <v>127</v>
      </c>
      <c r="F241" s="45">
        <v>11279</v>
      </c>
      <c r="G241" s="45">
        <v>0.53</v>
      </c>
      <c r="H241" s="80">
        <f t="shared" si="8"/>
        <v>5977.87</v>
      </c>
      <c r="I241" s="45" t="s">
        <v>232</v>
      </c>
      <c r="J241" s="45"/>
      <c r="K241" s="45"/>
    </row>
    <row r="242" s="35" customFormat="1" ht="14.25" spans="1:11">
      <c r="A242" s="44">
        <v>45719</v>
      </c>
      <c r="B242" s="45" t="s">
        <v>121</v>
      </c>
      <c r="C242" s="45"/>
      <c r="D242" s="45" t="s">
        <v>76</v>
      </c>
      <c r="E242" s="45" t="s">
        <v>127</v>
      </c>
      <c r="F242" s="45">
        <v>11221</v>
      </c>
      <c r="G242" s="45">
        <v>0.55</v>
      </c>
      <c r="H242" s="80">
        <f t="shared" si="8"/>
        <v>6171.55</v>
      </c>
      <c r="I242" s="45" t="s">
        <v>756</v>
      </c>
      <c r="J242" s="45"/>
      <c r="K242" s="45"/>
    </row>
    <row r="243" s="35" customFormat="1" ht="14.25" spans="1:11">
      <c r="A243" s="44">
        <v>45720</v>
      </c>
      <c r="B243" s="45" t="s">
        <v>121</v>
      </c>
      <c r="C243" s="45"/>
      <c r="D243" s="45" t="s">
        <v>757</v>
      </c>
      <c r="E243" s="45" t="s">
        <v>99</v>
      </c>
      <c r="F243" s="45">
        <v>3040</v>
      </c>
      <c r="G243" s="45">
        <v>1.25</v>
      </c>
      <c r="H243" s="80">
        <f t="shared" si="8"/>
        <v>3800</v>
      </c>
      <c r="I243" s="45" t="s">
        <v>63</v>
      </c>
      <c r="J243" s="45"/>
      <c r="K243" s="45"/>
    </row>
    <row r="244" s="35" customFormat="1" ht="14.25" spans="1:11">
      <c r="A244" s="44">
        <v>45720</v>
      </c>
      <c r="B244" s="45" t="s">
        <v>121</v>
      </c>
      <c r="C244" s="45"/>
      <c r="D244" s="45" t="s">
        <v>70</v>
      </c>
      <c r="E244" s="45" t="s">
        <v>136</v>
      </c>
      <c r="F244" s="45">
        <v>12500</v>
      </c>
      <c r="G244" s="45">
        <v>0.57</v>
      </c>
      <c r="H244" s="80">
        <f t="shared" si="8"/>
        <v>7125</v>
      </c>
      <c r="I244" s="45" t="s">
        <v>45</v>
      </c>
      <c r="J244" s="45"/>
      <c r="K244" s="45"/>
    </row>
    <row r="245" s="35" customFormat="1" ht="14.25" spans="1:11">
      <c r="A245" s="44">
        <v>45720</v>
      </c>
      <c r="B245" s="45" t="s">
        <v>121</v>
      </c>
      <c r="C245" s="45"/>
      <c r="D245" s="45" t="s">
        <v>122</v>
      </c>
      <c r="E245" s="45" t="s">
        <v>62</v>
      </c>
      <c r="F245" s="45">
        <v>4100</v>
      </c>
      <c r="G245" s="45">
        <v>0.53</v>
      </c>
      <c r="H245" s="80">
        <f t="shared" si="8"/>
        <v>2173</v>
      </c>
      <c r="I245" s="45" t="s">
        <v>35</v>
      </c>
      <c r="J245" s="45"/>
      <c r="K245" s="45"/>
    </row>
    <row r="246" s="35" customFormat="1" ht="14.25" spans="1:11">
      <c r="A246" s="44">
        <v>45722</v>
      </c>
      <c r="B246" s="45" t="s">
        <v>121</v>
      </c>
      <c r="C246" s="45"/>
      <c r="D246" s="45" t="s">
        <v>76</v>
      </c>
      <c r="E246" s="45" t="s">
        <v>60</v>
      </c>
      <c r="F246" s="45">
        <v>6430</v>
      </c>
      <c r="G246" s="45">
        <v>0.48</v>
      </c>
      <c r="H246" s="80">
        <f t="shared" si="8"/>
        <v>3086.4</v>
      </c>
      <c r="I246" s="45" t="s">
        <v>189</v>
      </c>
      <c r="J246" s="45"/>
      <c r="K246" s="45"/>
    </row>
    <row r="247" s="35" customFormat="1" ht="14.25" spans="1:11">
      <c r="A247" s="44">
        <v>45722</v>
      </c>
      <c r="B247" s="45" t="s">
        <v>121</v>
      </c>
      <c r="C247" s="45"/>
      <c r="D247" s="45" t="s">
        <v>131</v>
      </c>
      <c r="E247" s="45" t="s">
        <v>132</v>
      </c>
      <c r="F247" s="45">
        <v>604</v>
      </c>
      <c r="G247" s="45">
        <v>1.03</v>
      </c>
      <c r="H247" s="80">
        <f t="shared" si="8"/>
        <v>622.12</v>
      </c>
      <c r="I247" s="45" t="s">
        <v>133</v>
      </c>
      <c r="J247" s="45"/>
      <c r="K247" s="45"/>
    </row>
    <row r="248" s="35" customFormat="1" ht="14.25" spans="1:11">
      <c r="A248" s="44">
        <v>45723</v>
      </c>
      <c r="B248" s="45" t="s">
        <v>121</v>
      </c>
      <c r="C248" s="45"/>
      <c r="D248" s="45" t="s">
        <v>758</v>
      </c>
      <c r="E248" s="45" t="s">
        <v>99</v>
      </c>
      <c r="F248" s="45">
        <v>53</v>
      </c>
      <c r="G248" s="45">
        <v>0.93</v>
      </c>
      <c r="H248" s="80">
        <f t="shared" si="8"/>
        <v>49.29</v>
      </c>
      <c r="I248" s="45" t="s">
        <v>28</v>
      </c>
      <c r="J248" s="45"/>
      <c r="K248" s="45"/>
    </row>
    <row r="249" s="35" customFormat="1" ht="14.25" spans="1:11">
      <c r="A249" s="44">
        <v>45724</v>
      </c>
      <c r="B249" s="45" t="s">
        <v>121</v>
      </c>
      <c r="C249" s="45"/>
      <c r="D249" s="45" t="s">
        <v>76</v>
      </c>
      <c r="E249" s="45" t="s">
        <v>60</v>
      </c>
      <c r="F249" s="45">
        <v>16520</v>
      </c>
      <c r="G249" s="45">
        <v>0.5</v>
      </c>
      <c r="H249" s="80">
        <f t="shared" si="8"/>
        <v>8260</v>
      </c>
      <c r="I249" s="45" t="s">
        <v>633</v>
      </c>
      <c r="J249" s="45"/>
      <c r="K249" s="45"/>
    </row>
    <row r="250" s="35" customFormat="1" ht="14.25" spans="1:11">
      <c r="A250" s="44">
        <v>45724</v>
      </c>
      <c r="B250" s="45" t="s">
        <v>121</v>
      </c>
      <c r="C250" s="45"/>
      <c r="D250" s="45" t="s">
        <v>128</v>
      </c>
      <c r="E250" s="45" t="s">
        <v>759</v>
      </c>
      <c r="F250" s="45">
        <v>26477</v>
      </c>
      <c r="G250" s="45">
        <v>0.54</v>
      </c>
      <c r="H250" s="80">
        <f t="shared" si="8"/>
        <v>14297.58</v>
      </c>
      <c r="I250" s="45" t="s">
        <v>117</v>
      </c>
      <c r="J250" s="45"/>
      <c r="K250" s="45"/>
    </row>
    <row r="251" s="35" customFormat="1" ht="14.25" spans="1:11">
      <c r="A251" s="44">
        <v>45724</v>
      </c>
      <c r="B251" s="45" t="s">
        <v>121</v>
      </c>
      <c r="C251" s="45"/>
      <c r="D251" s="45" t="s">
        <v>70</v>
      </c>
      <c r="E251" s="45" t="s">
        <v>136</v>
      </c>
      <c r="F251" s="45">
        <v>4335</v>
      </c>
      <c r="G251" s="45">
        <v>0.57</v>
      </c>
      <c r="H251" s="80">
        <f t="shared" si="8"/>
        <v>2470.95</v>
      </c>
      <c r="I251" s="45" t="s">
        <v>45</v>
      </c>
      <c r="J251" s="45"/>
      <c r="K251" s="45"/>
    </row>
    <row r="252" s="35" customFormat="1" ht="14.25" spans="1:11">
      <c r="A252" s="44">
        <v>45726</v>
      </c>
      <c r="B252" s="45" t="s">
        <v>121</v>
      </c>
      <c r="C252" s="45"/>
      <c r="D252" s="45" t="s">
        <v>76</v>
      </c>
      <c r="E252" s="45" t="s">
        <v>60</v>
      </c>
      <c r="F252" s="45">
        <v>2436</v>
      </c>
      <c r="G252" s="45">
        <v>0.48</v>
      </c>
      <c r="H252" s="80">
        <f t="shared" si="8"/>
        <v>1169.28</v>
      </c>
      <c r="I252" s="45" t="s">
        <v>322</v>
      </c>
      <c r="J252" s="45"/>
      <c r="K252" s="45"/>
    </row>
    <row r="253" s="35" customFormat="1" ht="14.25" spans="1:11">
      <c r="A253" s="44">
        <v>45726</v>
      </c>
      <c r="B253" s="45" t="s">
        <v>121</v>
      </c>
      <c r="C253" s="45"/>
      <c r="D253" s="45" t="s">
        <v>76</v>
      </c>
      <c r="E253" s="45" t="s">
        <v>760</v>
      </c>
      <c r="F253" s="45">
        <v>1210</v>
      </c>
      <c r="G253" s="45">
        <v>0.53</v>
      </c>
      <c r="H253" s="80">
        <f t="shared" si="8"/>
        <v>641.3</v>
      </c>
      <c r="I253" s="45" t="s">
        <v>322</v>
      </c>
      <c r="J253" s="45"/>
      <c r="K253" s="45"/>
    </row>
    <row r="254" s="35" customFormat="1" ht="14.25" spans="1:11">
      <c r="A254" s="44">
        <v>45726</v>
      </c>
      <c r="B254" s="45" t="s">
        <v>121</v>
      </c>
      <c r="C254" s="45"/>
      <c r="D254" s="45" t="s">
        <v>122</v>
      </c>
      <c r="E254" s="45" t="s">
        <v>124</v>
      </c>
      <c r="F254" s="45">
        <v>6546</v>
      </c>
      <c r="G254" s="45">
        <v>0.54</v>
      </c>
      <c r="H254" s="80">
        <f t="shared" si="8"/>
        <v>3534.84</v>
      </c>
      <c r="I254" s="45" t="s">
        <v>761</v>
      </c>
      <c r="J254" s="45"/>
      <c r="K254" s="45"/>
    </row>
    <row r="255" s="35" customFormat="1" ht="14.25" spans="1:11">
      <c r="A255" s="44">
        <v>45726</v>
      </c>
      <c r="B255" s="45" t="s">
        <v>121</v>
      </c>
      <c r="C255" s="45"/>
      <c r="D255" s="45" t="s">
        <v>130</v>
      </c>
      <c r="E255" s="45" t="s">
        <v>62</v>
      </c>
      <c r="F255" s="45">
        <v>508</v>
      </c>
      <c r="G255" s="45">
        <v>0.48</v>
      </c>
      <c r="H255" s="80">
        <f t="shared" si="8"/>
        <v>243.84</v>
      </c>
      <c r="I255" s="45" t="s">
        <v>65</v>
      </c>
      <c r="J255" s="45"/>
      <c r="K255" s="45"/>
    </row>
    <row r="256" s="35" customFormat="1" ht="14.25" spans="1:11">
      <c r="A256" s="44">
        <v>45726</v>
      </c>
      <c r="B256" s="45" t="s">
        <v>121</v>
      </c>
      <c r="C256" s="45"/>
      <c r="D256" s="45" t="s">
        <v>122</v>
      </c>
      <c r="E256" s="45" t="s">
        <v>62</v>
      </c>
      <c r="F256" s="45">
        <v>9056</v>
      </c>
      <c r="G256" s="45">
        <v>0.53</v>
      </c>
      <c r="H256" s="80">
        <f t="shared" si="8"/>
        <v>4799.68</v>
      </c>
      <c r="I256" s="45" t="s">
        <v>35</v>
      </c>
      <c r="J256" s="45"/>
      <c r="K256" s="45"/>
    </row>
    <row r="257" s="35" customFormat="1" ht="14.25" spans="1:11">
      <c r="A257" s="44">
        <v>45726</v>
      </c>
      <c r="B257" s="45" t="s">
        <v>121</v>
      </c>
      <c r="C257" s="45"/>
      <c r="D257" s="45" t="s">
        <v>70</v>
      </c>
      <c r="E257" s="45" t="s">
        <v>136</v>
      </c>
      <c r="F257" s="45">
        <v>17500</v>
      </c>
      <c r="G257" s="45">
        <v>0.57</v>
      </c>
      <c r="H257" s="80">
        <f t="shared" si="8"/>
        <v>9975</v>
      </c>
      <c r="I257" s="45" t="s">
        <v>45</v>
      </c>
      <c r="J257" s="45"/>
      <c r="K257" s="45"/>
    </row>
    <row r="258" s="35" customFormat="1" ht="14.25" spans="1:11">
      <c r="A258" s="44">
        <v>45726</v>
      </c>
      <c r="B258" s="45" t="s">
        <v>121</v>
      </c>
      <c r="C258" s="45"/>
      <c r="D258" s="45" t="s">
        <v>752</v>
      </c>
      <c r="E258" s="45" t="s">
        <v>60</v>
      </c>
      <c r="F258" s="45">
        <v>12230</v>
      </c>
      <c r="G258" s="45">
        <v>0.59</v>
      </c>
      <c r="H258" s="80">
        <f t="shared" si="8"/>
        <v>7215.7</v>
      </c>
      <c r="I258" s="45" t="s">
        <v>232</v>
      </c>
      <c r="J258" s="45"/>
      <c r="K258" s="45"/>
    </row>
    <row r="259" s="35" customFormat="1" ht="14.25" spans="1:11">
      <c r="A259" s="44">
        <v>45728</v>
      </c>
      <c r="B259" s="45" t="s">
        <v>121</v>
      </c>
      <c r="C259" s="45"/>
      <c r="D259" s="45" t="s">
        <v>76</v>
      </c>
      <c r="E259" s="45" t="s">
        <v>62</v>
      </c>
      <c r="F259" s="45">
        <v>414</v>
      </c>
      <c r="G259" s="45">
        <v>0.5</v>
      </c>
      <c r="H259" s="80">
        <f t="shared" si="8"/>
        <v>207</v>
      </c>
      <c r="I259" s="45" t="s">
        <v>65</v>
      </c>
      <c r="J259" s="45"/>
      <c r="K259" s="45"/>
    </row>
    <row r="260" s="35" customFormat="1" ht="14.25" spans="1:11">
      <c r="A260" s="83">
        <v>45728</v>
      </c>
      <c r="B260" s="70" t="s">
        <v>121</v>
      </c>
      <c r="C260" s="70"/>
      <c r="D260" s="70" t="s">
        <v>76</v>
      </c>
      <c r="E260" s="70" t="s">
        <v>127</v>
      </c>
      <c r="F260" s="70">
        <v>4048</v>
      </c>
      <c r="G260" s="70">
        <v>0.55</v>
      </c>
      <c r="H260" s="80">
        <f t="shared" si="8"/>
        <v>2226.4</v>
      </c>
      <c r="I260" s="70" t="s">
        <v>756</v>
      </c>
      <c r="J260" s="70"/>
      <c r="K260" s="70"/>
    </row>
    <row r="261" s="35" customFormat="1" ht="14.25" spans="1:11">
      <c r="A261" s="83">
        <v>45728</v>
      </c>
      <c r="B261" s="45" t="s">
        <v>121</v>
      </c>
      <c r="C261" s="45"/>
      <c r="D261" s="45" t="s">
        <v>128</v>
      </c>
      <c r="E261" s="45" t="s">
        <v>62</v>
      </c>
      <c r="F261" s="45">
        <v>10227</v>
      </c>
      <c r="G261" s="45">
        <v>0.53</v>
      </c>
      <c r="H261" s="80">
        <f t="shared" si="8"/>
        <v>5420.31</v>
      </c>
      <c r="I261" s="45" t="s">
        <v>65</v>
      </c>
      <c r="J261" s="45"/>
      <c r="K261" s="45"/>
    </row>
    <row r="262" s="35" customFormat="1" ht="14.25" spans="1:11">
      <c r="A262" s="83">
        <v>45728</v>
      </c>
      <c r="B262" s="45" t="s">
        <v>121</v>
      </c>
      <c r="C262" s="45"/>
      <c r="D262" s="45" t="s">
        <v>70</v>
      </c>
      <c r="E262" s="45" t="s">
        <v>136</v>
      </c>
      <c r="F262" s="45">
        <v>30000</v>
      </c>
      <c r="G262" s="45">
        <v>0.57</v>
      </c>
      <c r="H262" s="80">
        <f t="shared" si="8"/>
        <v>17100</v>
      </c>
      <c r="I262" s="45" t="s">
        <v>45</v>
      </c>
      <c r="J262" s="45"/>
      <c r="K262" s="45"/>
    </row>
    <row r="263" s="35" customFormat="1" ht="14.25" spans="1:11">
      <c r="A263" s="44">
        <v>45729</v>
      </c>
      <c r="B263" s="45" t="s">
        <v>121</v>
      </c>
      <c r="C263" s="45"/>
      <c r="D263" s="45" t="s">
        <v>130</v>
      </c>
      <c r="E263" s="45" t="s">
        <v>127</v>
      </c>
      <c r="F263" s="45">
        <v>20037</v>
      </c>
      <c r="G263" s="45">
        <v>0.53</v>
      </c>
      <c r="H263" s="80">
        <f t="shared" si="8"/>
        <v>10619.61</v>
      </c>
      <c r="I263" s="45" t="s">
        <v>232</v>
      </c>
      <c r="J263" s="45"/>
      <c r="K263" s="45"/>
    </row>
    <row r="264" s="35" customFormat="1" ht="14.25" spans="1:11">
      <c r="A264" s="44">
        <v>45729</v>
      </c>
      <c r="B264" s="45" t="s">
        <v>121</v>
      </c>
      <c r="C264" s="45"/>
      <c r="D264" s="45" t="s">
        <v>76</v>
      </c>
      <c r="E264" s="45" t="s">
        <v>62</v>
      </c>
      <c r="F264" s="45">
        <v>8234</v>
      </c>
      <c r="G264" s="45">
        <v>0.5</v>
      </c>
      <c r="H264" s="80">
        <f t="shared" si="8"/>
        <v>4117</v>
      </c>
      <c r="I264" s="45" t="s">
        <v>71</v>
      </c>
      <c r="J264" s="45"/>
      <c r="K264" s="45"/>
    </row>
    <row r="265" s="35" customFormat="1" ht="14.25" spans="1:11">
      <c r="A265" s="44">
        <v>45732</v>
      </c>
      <c r="B265" s="45" t="s">
        <v>121</v>
      </c>
      <c r="C265" s="45"/>
      <c r="D265" s="45" t="s">
        <v>762</v>
      </c>
      <c r="E265" s="45" t="s">
        <v>99</v>
      </c>
      <c r="F265" s="45">
        <v>7205</v>
      </c>
      <c r="G265" s="45">
        <v>1.35</v>
      </c>
      <c r="H265" s="80">
        <f t="shared" si="8"/>
        <v>9726.75</v>
      </c>
      <c r="I265" s="45" t="s">
        <v>570</v>
      </c>
      <c r="J265" s="45" t="s">
        <v>369</v>
      </c>
      <c r="K265" s="45"/>
    </row>
    <row r="266" s="35" customFormat="1" ht="14.25" spans="1:11">
      <c r="A266" s="44">
        <v>45735</v>
      </c>
      <c r="B266" s="45" t="s">
        <v>121</v>
      </c>
      <c r="C266" s="45"/>
      <c r="D266" s="45" t="s">
        <v>241</v>
      </c>
      <c r="E266" s="45" t="s">
        <v>14</v>
      </c>
      <c r="F266" s="45">
        <v>33735</v>
      </c>
      <c r="G266" s="45">
        <v>0.82</v>
      </c>
      <c r="H266" s="80">
        <f t="shared" si="8"/>
        <v>27662.7</v>
      </c>
      <c r="I266" s="45" t="s">
        <v>763</v>
      </c>
      <c r="J266" s="45" t="s">
        <v>46</v>
      </c>
      <c r="K266" s="45"/>
    </row>
    <row r="267" s="35" customFormat="1" ht="14.25" spans="1:11">
      <c r="A267" s="44">
        <v>45736</v>
      </c>
      <c r="B267" s="45" t="s">
        <v>121</v>
      </c>
      <c r="C267" s="45"/>
      <c r="D267" s="45" t="s">
        <v>122</v>
      </c>
      <c r="E267" s="45" t="s">
        <v>62</v>
      </c>
      <c r="F267" s="45">
        <v>10132</v>
      </c>
      <c r="G267" s="45">
        <v>0.53</v>
      </c>
      <c r="H267" s="80">
        <f t="shared" si="8"/>
        <v>5369.96</v>
      </c>
      <c r="I267" s="45" t="s">
        <v>125</v>
      </c>
      <c r="J267" s="45"/>
      <c r="K267" s="45"/>
    </row>
    <row r="268" s="35" customFormat="1" ht="14.25" spans="1:11">
      <c r="A268" s="44">
        <v>45736</v>
      </c>
      <c r="B268" s="45" t="s">
        <v>121</v>
      </c>
      <c r="C268" s="45"/>
      <c r="D268" s="45" t="s">
        <v>70</v>
      </c>
      <c r="E268" s="45" t="s">
        <v>136</v>
      </c>
      <c r="F268" s="45">
        <v>30521</v>
      </c>
      <c r="G268" s="45">
        <v>0.57</v>
      </c>
      <c r="H268" s="80">
        <f t="shared" si="8"/>
        <v>17396.97</v>
      </c>
      <c r="I268" s="45" t="s">
        <v>45</v>
      </c>
      <c r="J268" s="45"/>
      <c r="K268" s="45"/>
    </row>
    <row r="269" s="35" customFormat="1" ht="14.25" spans="1:11">
      <c r="A269" s="44">
        <v>45740</v>
      </c>
      <c r="B269" s="45" t="s">
        <v>121</v>
      </c>
      <c r="C269" s="45"/>
      <c r="D269" s="45" t="s">
        <v>70</v>
      </c>
      <c r="E269" s="45" t="s">
        <v>124</v>
      </c>
      <c r="F269" s="45">
        <v>4029</v>
      </c>
      <c r="G269" s="45">
        <v>0.54</v>
      </c>
      <c r="H269" s="80">
        <f t="shared" si="8"/>
        <v>2175.66</v>
      </c>
      <c r="I269" s="45" t="s">
        <v>79</v>
      </c>
      <c r="J269" s="45"/>
      <c r="K269" s="45"/>
    </row>
    <row r="270" s="35" customFormat="1" ht="14.25" spans="1:11">
      <c r="A270" s="44">
        <v>45740</v>
      </c>
      <c r="B270" s="45" t="s">
        <v>121</v>
      </c>
      <c r="C270" s="45"/>
      <c r="D270" s="45" t="s">
        <v>76</v>
      </c>
      <c r="E270" s="45" t="s">
        <v>123</v>
      </c>
      <c r="F270" s="45">
        <v>362</v>
      </c>
      <c r="G270" s="45">
        <v>0.53</v>
      </c>
      <c r="H270" s="80">
        <f t="shared" si="8"/>
        <v>191.86</v>
      </c>
      <c r="I270" s="45" t="s">
        <v>63</v>
      </c>
      <c r="J270" s="45"/>
      <c r="K270" s="45"/>
    </row>
    <row r="271" s="35" customFormat="1" ht="14.25" spans="1:11">
      <c r="A271" s="44">
        <v>45741</v>
      </c>
      <c r="B271" s="45" t="s">
        <v>121</v>
      </c>
      <c r="C271" s="45"/>
      <c r="D271" s="45" t="s">
        <v>122</v>
      </c>
      <c r="E271" s="45" t="s">
        <v>123</v>
      </c>
      <c r="F271" s="45">
        <v>20000</v>
      </c>
      <c r="G271" s="45">
        <v>0.56</v>
      </c>
      <c r="H271" s="80">
        <f t="shared" si="8"/>
        <v>11200</v>
      </c>
      <c r="I271" s="45" t="s">
        <v>117</v>
      </c>
      <c r="J271" s="45"/>
      <c r="K271" s="45"/>
    </row>
    <row r="272" ht="14.25" spans="1:11">
      <c r="A272" s="41">
        <v>45742</v>
      </c>
      <c r="B272" s="43" t="s">
        <v>121</v>
      </c>
      <c r="C272" s="43"/>
      <c r="D272" s="43" t="s">
        <v>201</v>
      </c>
      <c r="E272" s="43" t="s">
        <v>14</v>
      </c>
      <c r="F272" s="43">
        <v>50000</v>
      </c>
      <c r="G272" s="43">
        <v>0.85</v>
      </c>
      <c r="H272" s="81">
        <f t="shared" si="8"/>
        <v>42500</v>
      </c>
      <c r="I272" s="43" t="s">
        <v>61</v>
      </c>
      <c r="J272" s="43" t="s">
        <v>46</v>
      </c>
      <c r="K272" s="43"/>
    </row>
    <row r="273" ht="14.25" spans="1:11">
      <c r="A273" s="41">
        <v>45746</v>
      </c>
      <c r="B273" s="43" t="s">
        <v>121</v>
      </c>
      <c r="C273" s="43"/>
      <c r="D273" s="43" t="s">
        <v>122</v>
      </c>
      <c r="E273" s="43" t="s">
        <v>124</v>
      </c>
      <c r="F273" s="43">
        <v>6544</v>
      </c>
      <c r="G273" s="43">
        <v>0.54</v>
      </c>
      <c r="H273" s="81">
        <f t="shared" si="8"/>
        <v>3533.76</v>
      </c>
      <c r="I273" s="43" t="s">
        <v>761</v>
      </c>
      <c r="J273" s="43"/>
      <c r="K273" s="43"/>
    </row>
    <row r="274" ht="14.25" spans="1:11">
      <c r="A274" s="41">
        <v>45746</v>
      </c>
      <c r="B274" s="43" t="s">
        <v>121</v>
      </c>
      <c r="C274" s="43"/>
      <c r="D274" s="43" t="s">
        <v>128</v>
      </c>
      <c r="E274" s="43" t="s">
        <v>62</v>
      </c>
      <c r="F274" s="43">
        <v>4415</v>
      </c>
      <c r="G274" s="43">
        <v>0.53</v>
      </c>
      <c r="H274" s="81">
        <f t="shared" si="8"/>
        <v>2339.95</v>
      </c>
      <c r="I274" s="43" t="s">
        <v>65</v>
      </c>
      <c r="J274" s="43"/>
      <c r="K274" s="43"/>
    </row>
    <row r="275" ht="14.25" spans="1:11">
      <c r="A275" s="41">
        <v>45746</v>
      </c>
      <c r="B275" s="43" t="s">
        <v>121</v>
      </c>
      <c r="C275" s="43"/>
      <c r="D275" s="43" t="s">
        <v>122</v>
      </c>
      <c r="E275" s="43" t="s">
        <v>365</v>
      </c>
      <c r="F275" s="43">
        <v>2139</v>
      </c>
      <c r="G275" s="43">
        <v>0.6</v>
      </c>
      <c r="H275" s="81">
        <f t="shared" si="8"/>
        <v>1283.4</v>
      </c>
      <c r="I275" s="43" t="s">
        <v>166</v>
      </c>
      <c r="J275" s="43" t="s">
        <v>764</v>
      </c>
      <c r="K275" s="43">
        <v>0.77</v>
      </c>
    </row>
    <row r="276" ht="14.25" spans="1:11">
      <c r="A276" s="41">
        <v>45717</v>
      </c>
      <c r="B276" s="43" t="s">
        <v>263</v>
      </c>
      <c r="C276" s="43"/>
      <c r="D276" s="43" t="s">
        <v>268</v>
      </c>
      <c r="E276" s="43" t="s">
        <v>461</v>
      </c>
      <c r="F276" s="43">
        <v>50000</v>
      </c>
      <c r="G276" s="43">
        <v>0.145</v>
      </c>
      <c r="H276" s="81">
        <f t="shared" si="8"/>
        <v>7250</v>
      </c>
      <c r="I276" s="43" t="s">
        <v>509</v>
      </c>
      <c r="J276" s="43"/>
      <c r="K276" s="43"/>
    </row>
    <row r="277" ht="14.25" spans="1:11">
      <c r="A277" s="41">
        <v>45722</v>
      </c>
      <c r="B277" s="43" t="s">
        <v>765</v>
      </c>
      <c r="C277" s="87" t="s">
        <v>766</v>
      </c>
      <c r="D277" s="43" t="s">
        <v>59</v>
      </c>
      <c r="E277" s="43" t="s">
        <v>60</v>
      </c>
      <c r="F277" s="43">
        <v>8120</v>
      </c>
      <c r="G277" s="43">
        <v>0.5</v>
      </c>
      <c r="H277" s="81">
        <f t="shared" si="8"/>
        <v>4060</v>
      </c>
      <c r="I277" s="43" t="s">
        <v>63</v>
      </c>
      <c r="J277" s="43"/>
      <c r="K277" s="43"/>
    </row>
    <row r="278" ht="14.25" spans="1:11">
      <c r="A278" s="41">
        <v>45727</v>
      </c>
      <c r="B278" s="43" t="s">
        <v>765</v>
      </c>
      <c r="C278" s="87" t="s">
        <v>767</v>
      </c>
      <c r="D278" s="43" t="s">
        <v>76</v>
      </c>
      <c r="E278" s="43" t="s">
        <v>62</v>
      </c>
      <c r="F278" s="43">
        <v>100</v>
      </c>
      <c r="G278" s="43">
        <v>0.52</v>
      </c>
      <c r="H278" s="81">
        <f t="shared" si="8"/>
        <v>52</v>
      </c>
      <c r="I278" s="43" t="s">
        <v>35</v>
      </c>
      <c r="J278" s="43"/>
      <c r="K278" s="43"/>
    </row>
    <row r="279" ht="14.25" spans="1:11">
      <c r="A279" s="41">
        <v>45724</v>
      </c>
      <c r="B279" s="43" t="s">
        <v>77</v>
      </c>
      <c r="C279" s="43" t="s">
        <v>768</v>
      </c>
      <c r="D279" s="43" t="s">
        <v>76</v>
      </c>
      <c r="E279" s="43" t="s">
        <v>60</v>
      </c>
      <c r="F279" s="43">
        <v>12022</v>
      </c>
      <c r="G279" s="43">
        <v>0.63</v>
      </c>
      <c r="H279" s="81">
        <f t="shared" si="8"/>
        <v>7573.86</v>
      </c>
      <c r="I279" s="43" t="s">
        <v>77</v>
      </c>
      <c r="J279" s="43"/>
      <c r="K279" s="43"/>
    </row>
    <row r="280" ht="14.25" spans="1:11">
      <c r="A280" s="41">
        <v>45722</v>
      </c>
      <c r="B280" s="43" t="s">
        <v>82</v>
      </c>
      <c r="C280" s="43" t="s">
        <v>769</v>
      </c>
      <c r="D280" s="43" t="s">
        <v>307</v>
      </c>
      <c r="E280" s="43" t="s">
        <v>99</v>
      </c>
      <c r="F280" s="43">
        <v>53</v>
      </c>
      <c r="G280" s="43">
        <v>1.54</v>
      </c>
      <c r="H280" s="81">
        <f t="shared" si="8"/>
        <v>81.62</v>
      </c>
      <c r="I280" s="43" t="s">
        <v>28</v>
      </c>
      <c r="J280" s="43"/>
      <c r="K280" s="43"/>
    </row>
    <row r="281" ht="14.25" spans="1:11">
      <c r="A281" s="41">
        <v>45723</v>
      </c>
      <c r="B281" s="43" t="s">
        <v>82</v>
      </c>
      <c r="C281" s="43" t="s">
        <v>770</v>
      </c>
      <c r="D281" s="43" t="s">
        <v>84</v>
      </c>
      <c r="E281" s="43" t="s">
        <v>14</v>
      </c>
      <c r="F281" s="43">
        <v>2761</v>
      </c>
      <c r="G281" s="43">
        <v>0.9</v>
      </c>
      <c r="H281" s="81">
        <f t="shared" si="8"/>
        <v>2484.9</v>
      </c>
      <c r="I281" s="43" t="s">
        <v>509</v>
      </c>
      <c r="J281" s="43" t="s">
        <v>46</v>
      </c>
      <c r="K281" s="43"/>
    </row>
    <row r="282" ht="14.25" spans="1:11">
      <c r="A282" s="41">
        <v>45727</v>
      </c>
      <c r="B282" s="43" t="s">
        <v>82</v>
      </c>
      <c r="C282" s="43" t="s">
        <v>771</v>
      </c>
      <c r="D282" s="43" t="s">
        <v>680</v>
      </c>
      <c r="E282" s="43" t="s">
        <v>14</v>
      </c>
      <c r="F282" s="43">
        <v>45650</v>
      </c>
      <c r="G282" s="43">
        <v>1.2</v>
      </c>
      <c r="H282" s="81">
        <f t="shared" si="8"/>
        <v>54780</v>
      </c>
      <c r="I282" s="43" t="s">
        <v>271</v>
      </c>
      <c r="J282" s="43" t="s">
        <v>46</v>
      </c>
      <c r="K282" s="43"/>
    </row>
    <row r="283" ht="14.25" spans="1:11">
      <c r="A283" s="41">
        <v>45727</v>
      </c>
      <c r="B283" s="43" t="s">
        <v>82</v>
      </c>
      <c r="C283" s="43" t="s">
        <v>771</v>
      </c>
      <c r="D283" s="43" t="s">
        <v>772</v>
      </c>
      <c r="E283" s="43" t="s">
        <v>14</v>
      </c>
      <c r="F283" s="43">
        <v>850</v>
      </c>
      <c r="G283" s="43">
        <v>1.2</v>
      </c>
      <c r="H283" s="81">
        <f t="shared" si="8"/>
        <v>1020</v>
      </c>
      <c r="I283" s="43" t="s">
        <v>271</v>
      </c>
      <c r="J283" s="43" t="s">
        <v>46</v>
      </c>
      <c r="K283" s="43"/>
    </row>
    <row r="284" ht="14.25" spans="1:11">
      <c r="A284" s="41">
        <v>45740</v>
      </c>
      <c r="B284" s="43" t="s">
        <v>82</v>
      </c>
      <c r="C284" s="43" t="s">
        <v>773</v>
      </c>
      <c r="D284" s="43" t="s">
        <v>18</v>
      </c>
      <c r="E284" s="43" t="s">
        <v>14</v>
      </c>
      <c r="F284" s="43">
        <v>50000</v>
      </c>
      <c r="G284" s="43">
        <v>0.8</v>
      </c>
      <c r="H284" s="81">
        <f t="shared" si="8"/>
        <v>40000</v>
      </c>
      <c r="I284" s="43" t="s">
        <v>61</v>
      </c>
      <c r="J284" s="43" t="s">
        <v>46</v>
      </c>
      <c r="K284" s="43"/>
    </row>
    <row r="285" ht="14.25" spans="1:11">
      <c r="A285" s="41">
        <v>45743</v>
      </c>
      <c r="B285" s="43" t="s">
        <v>82</v>
      </c>
      <c r="C285" s="43" t="s">
        <v>774</v>
      </c>
      <c r="D285" s="43" t="s">
        <v>18</v>
      </c>
      <c r="E285" s="43" t="s">
        <v>14</v>
      </c>
      <c r="F285" s="43">
        <v>50000</v>
      </c>
      <c r="G285" s="43">
        <v>0.8</v>
      </c>
      <c r="H285" s="81">
        <f t="shared" ref="H285:H291" si="9">F285*G285</f>
        <v>40000</v>
      </c>
      <c r="I285" s="43" t="s">
        <v>61</v>
      </c>
      <c r="J285" s="43" t="s">
        <v>46</v>
      </c>
      <c r="K285" s="43"/>
    </row>
    <row r="286" ht="14.25" spans="1:11">
      <c r="A286" s="41">
        <v>45743</v>
      </c>
      <c r="B286" s="43" t="s">
        <v>82</v>
      </c>
      <c r="C286" s="43" t="s">
        <v>774</v>
      </c>
      <c r="D286" s="43" t="s">
        <v>47</v>
      </c>
      <c r="E286" s="43" t="s">
        <v>14</v>
      </c>
      <c r="F286" s="43">
        <v>30000</v>
      </c>
      <c r="G286" s="43">
        <v>1</v>
      </c>
      <c r="H286" s="81">
        <f t="shared" si="9"/>
        <v>30000</v>
      </c>
      <c r="I286" s="43" t="s">
        <v>61</v>
      </c>
      <c r="J286" s="43" t="s">
        <v>46</v>
      </c>
      <c r="K286" s="43"/>
    </row>
    <row r="287" ht="14.25" spans="1:11">
      <c r="A287" s="41">
        <v>45743</v>
      </c>
      <c r="B287" s="43" t="s">
        <v>82</v>
      </c>
      <c r="C287" s="43" t="s">
        <v>774</v>
      </c>
      <c r="D287" s="43" t="s">
        <v>775</v>
      </c>
      <c r="E287" s="43" t="s">
        <v>14</v>
      </c>
      <c r="F287" s="43">
        <v>5000</v>
      </c>
      <c r="G287" s="43">
        <v>0.9</v>
      </c>
      <c r="H287" s="81">
        <f t="shared" si="9"/>
        <v>4500</v>
      </c>
      <c r="I287" s="43" t="s">
        <v>363</v>
      </c>
      <c r="J287" s="43" t="s">
        <v>46</v>
      </c>
      <c r="K287" s="43"/>
    </row>
    <row r="288" ht="14.25" spans="1:11">
      <c r="A288" s="41">
        <v>45721</v>
      </c>
      <c r="B288" s="43" t="s">
        <v>97</v>
      </c>
      <c r="C288" s="43"/>
      <c r="D288" s="43" t="s">
        <v>224</v>
      </c>
      <c r="E288" s="43" t="s">
        <v>207</v>
      </c>
      <c r="F288" s="43">
        <v>3010</v>
      </c>
      <c r="G288" s="43">
        <v>0.95</v>
      </c>
      <c r="H288" s="81">
        <f t="shared" si="9"/>
        <v>2859.5</v>
      </c>
      <c r="I288" s="43" t="s">
        <v>208</v>
      </c>
      <c r="J288" s="43"/>
      <c r="K288" s="43"/>
    </row>
    <row r="289" ht="14.25" spans="1:11">
      <c r="A289" s="41">
        <v>45727</v>
      </c>
      <c r="B289" s="43" t="s">
        <v>97</v>
      </c>
      <c r="C289" s="43"/>
      <c r="D289" s="43" t="s">
        <v>98</v>
      </c>
      <c r="E289" s="43" t="s">
        <v>99</v>
      </c>
      <c r="F289" s="43">
        <v>505</v>
      </c>
      <c r="G289" s="43">
        <v>0.83</v>
      </c>
      <c r="H289" s="81">
        <f t="shared" si="9"/>
        <v>419.15</v>
      </c>
      <c r="I289" s="43" t="s">
        <v>637</v>
      </c>
      <c r="J289" s="43" t="s">
        <v>369</v>
      </c>
      <c r="K289" s="43"/>
    </row>
    <row r="290" ht="14.25" spans="1:11">
      <c r="A290" s="41">
        <v>45729</v>
      </c>
      <c r="B290" s="43" t="s">
        <v>97</v>
      </c>
      <c r="C290" s="43"/>
      <c r="D290" s="43" t="s">
        <v>211</v>
      </c>
      <c r="E290" s="43" t="s">
        <v>454</v>
      </c>
      <c r="F290" s="43">
        <v>22000</v>
      </c>
      <c r="G290" s="43">
        <v>0.8</v>
      </c>
      <c r="H290" s="81">
        <f t="shared" si="9"/>
        <v>17600</v>
      </c>
      <c r="I290" s="43" t="s">
        <v>213</v>
      </c>
      <c r="J290" s="43" t="s">
        <v>455</v>
      </c>
      <c r="K290" s="43">
        <v>0.95</v>
      </c>
    </row>
    <row r="291" ht="14.25" spans="1:11">
      <c r="A291" s="41">
        <v>45744</v>
      </c>
      <c r="B291" s="43" t="s">
        <v>97</v>
      </c>
      <c r="C291" s="43"/>
      <c r="D291" s="43" t="s">
        <v>211</v>
      </c>
      <c r="E291" s="43" t="s">
        <v>776</v>
      </c>
      <c r="F291" s="43">
        <v>10000</v>
      </c>
      <c r="G291" s="43">
        <v>0.8</v>
      </c>
      <c r="H291" s="81">
        <f t="shared" si="9"/>
        <v>8000</v>
      </c>
      <c r="I291" s="43" t="s">
        <v>213</v>
      </c>
      <c r="J291" s="43" t="s">
        <v>455</v>
      </c>
      <c r="K291" s="43">
        <v>0.95</v>
      </c>
    </row>
    <row r="292" ht="14.25" spans="1:11">
      <c r="A292" s="41">
        <v>45738</v>
      </c>
      <c r="B292" s="43" t="s">
        <v>97</v>
      </c>
      <c r="C292" s="43"/>
      <c r="D292" s="43" t="s">
        <v>224</v>
      </c>
      <c r="E292" s="43" t="s">
        <v>207</v>
      </c>
      <c r="F292" s="43">
        <v>3005</v>
      </c>
      <c r="G292" s="43">
        <v>0.95</v>
      </c>
      <c r="H292" s="81">
        <f t="shared" ref="H292:H317" si="10">F292*G292</f>
        <v>2854.75</v>
      </c>
      <c r="I292" s="43" t="s">
        <v>208</v>
      </c>
      <c r="J292" s="43"/>
      <c r="K292" s="43"/>
    </row>
    <row r="293" ht="14.25" spans="1:11">
      <c r="A293" s="41">
        <v>45720</v>
      </c>
      <c r="B293" s="43" t="s">
        <v>162</v>
      </c>
      <c r="C293" s="43" t="s">
        <v>777</v>
      </c>
      <c r="D293" s="43" t="s">
        <v>669</v>
      </c>
      <c r="E293" s="43" t="s">
        <v>158</v>
      </c>
      <c r="F293" s="43">
        <v>40000</v>
      </c>
      <c r="G293" s="43">
        <v>0.17</v>
      </c>
      <c r="H293" s="81">
        <f t="shared" si="10"/>
        <v>6800</v>
      </c>
      <c r="I293" s="43" t="s">
        <v>61</v>
      </c>
      <c r="J293" s="43" t="s">
        <v>46</v>
      </c>
      <c r="K293" s="43"/>
    </row>
    <row r="294" ht="14.25" spans="1:11">
      <c r="A294" s="41">
        <v>45722</v>
      </c>
      <c r="B294" s="43" t="s">
        <v>162</v>
      </c>
      <c r="C294" s="43" t="s">
        <v>778</v>
      </c>
      <c r="D294" s="43" t="s">
        <v>669</v>
      </c>
      <c r="E294" s="43" t="s">
        <v>158</v>
      </c>
      <c r="F294" s="43">
        <v>60000</v>
      </c>
      <c r="G294" s="43">
        <v>0.17</v>
      </c>
      <c r="H294" s="81">
        <f t="shared" si="10"/>
        <v>10200</v>
      </c>
      <c r="I294" s="43" t="s">
        <v>61</v>
      </c>
      <c r="J294" s="43" t="s">
        <v>46</v>
      </c>
      <c r="K294" s="43"/>
    </row>
    <row r="295" ht="14.25" spans="1:11">
      <c r="A295" s="41">
        <v>45722</v>
      </c>
      <c r="B295" s="43" t="s">
        <v>162</v>
      </c>
      <c r="C295" s="43" t="s">
        <v>779</v>
      </c>
      <c r="D295" s="43" t="s">
        <v>168</v>
      </c>
      <c r="E295" s="43" t="s">
        <v>158</v>
      </c>
      <c r="F295" s="43">
        <v>3000</v>
      </c>
      <c r="G295" s="43">
        <v>0.24</v>
      </c>
      <c r="H295" s="81">
        <f t="shared" si="10"/>
        <v>720</v>
      </c>
      <c r="I295" s="43" t="s">
        <v>94</v>
      </c>
      <c r="J295" s="43"/>
      <c r="K295" s="43"/>
    </row>
    <row r="296" ht="14.25" spans="1:11">
      <c r="A296" s="41">
        <v>45722</v>
      </c>
      <c r="B296" s="43" t="s">
        <v>162</v>
      </c>
      <c r="C296" s="43" t="s">
        <v>779</v>
      </c>
      <c r="D296" s="43" t="s">
        <v>462</v>
      </c>
      <c r="E296" s="43" t="s">
        <v>780</v>
      </c>
      <c r="F296" s="43">
        <v>200</v>
      </c>
      <c r="G296" s="43">
        <v>0.33</v>
      </c>
      <c r="H296" s="81">
        <f t="shared" si="10"/>
        <v>66</v>
      </c>
      <c r="I296" s="43" t="s">
        <v>287</v>
      </c>
      <c r="J296" s="43"/>
      <c r="K296" s="43"/>
    </row>
    <row r="297" s="52" customFormat="1" ht="14.25" spans="1:11">
      <c r="A297" s="46">
        <v>45723</v>
      </c>
      <c r="B297" s="42" t="s">
        <v>162</v>
      </c>
      <c r="C297" s="42" t="s">
        <v>781</v>
      </c>
      <c r="D297" s="42" t="s">
        <v>462</v>
      </c>
      <c r="E297" s="42" t="s">
        <v>782</v>
      </c>
      <c r="F297" s="42">
        <v>10000</v>
      </c>
      <c r="G297" s="42">
        <v>0.24</v>
      </c>
      <c r="H297" s="81">
        <f t="shared" si="10"/>
        <v>2400</v>
      </c>
      <c r="I297" s="42" t="s">
        <v>143</v>
      </c>
      <c r="J297" s="42"/>
      <c r="K297" s="42"/>
    </row>
    <row r="298" ht="14.25" spans="1:11">
      <c r="A298" s="41">
        <v>45727</v>
      </c>
      <c r="B298" s="43" t="s">
        <v>162</v>
      </c>
      <c r="C298" s="43" t="s">
        <v>783</v>
      </c>
      <c r="D298" s="43" t="s">
        <v>784</v>
      </c>
      <c r="E298" s="43" t="s">
        <v>785</v>
      </c>
      <c r="F298" s="43">
        <v>1000</v>
      </c>
      <c r="G298" s="43">
        <v>0.25</v>
      </c>
      <c r="H298" s="81">
        <f t="shared" si="10"/>
        <v>250</v>
      </c>
      <c r="I298" s="43" t="s">
        <v>786</v>
      </c>
      <c r="J298" s="43"/>
      <c r="K298" s="43"/>
    </row>
    <row r="299" ht="14.25" spans="1:11">
      <c r="A299" s="41">
        <v>45728</v>
      </c>
      <c r="B299" s="43" t="s">
        <v>162</v>
      </c>
      <c r="C299" s="43" t="s">
        <v>787</v>
      </c>
      <c r="D299" s="43" t="s">
        <v>170</v>
      </c>
      <c r="E299" s="43" t="s">
        <v>158</v>
      </c>
      <c r="F299" s="43">
        <v>50000</v>
      </c>
      <c r="G299" s="43">
        <v>0.17</v>
      </c>
      <c r="H299" s="81">
        <f t="shared" si="10"/>
        <v>8500</v>
      </c>
      <c r="I299" s="43" t="s">
        <v>61</v>
      </c>
      <c r="J299" s="43" t="s">
        <v>46</v>
      </c>
      <c r="K299" s="43"/>
    </row>
    <row r="300" ht="14.25" spans="1:11">
      <c r="A300" s="41">
        <v>45728</v>
      </c>
      <c r="B300" s="43" t="s">
        <v>162</v>
      </c>
      <c r="C300" s="43" t="s">
        <v>788</v>
      </c>
      <c r="D300" s="43" t="s">
        <v>168</v>
      </c>
      <c r="E300" s="43" t="s">
        <v>789</v>
      </c>
      <c r="F300" s="43">
        <v>1000</v>
      </c>
      <c r="G300" s="43">
        <v>0.24</v>
      </c>
      <c r="H300" s="81">
        <f t="shared" si="10"/>
        <v>240</v>
      </c>
      <c r="I300" s="43" t="s">
        <v>94</v>
      </c>
      <c r="J300" s="43"/>
      <c r="K300" s="43"/>
    </row>
    <row r="301" ht="14.25" spans="1:11">
      <c r="A301" s="41">
        <v>45734</v>
      </c>
      <c r="B301" s="43" t="s">
        <v>162</v>
      </c>
      <c r="C301" s="43" t="s">
        <v>790</v>
      </c>
      <c r="D301" s="43" t="s">
        <v>468</v>
      </c>
      <c r="E301" s="43" t="s">
        <v>789</v>
      </c>
      <c r="F301" s="43">
        <v>20000</v>
      </c>
      <c r="G301" s="43">
        <v>0.24</v>
      </c>
      <c r="H301" s="81">
        <f t="shared" si="10"/>
        <v>4800</v>
      </c>
      <c r="I301" s="43" t="s">
        <v>94</v>
      </c>
      <c r="J301" s="43"/>
      <c r="K301" s="43"/>
    </row>
    <row r="302" ht="14.25" spans="1:11">
      <c r="A302" s="41">
        <v>45734</v>
      </c>
      <c r="B302" s="43" t="s">
        <v>162</v>
      </c>
      <c r="C302" s="43" t="s">
        <v>790</v>
      </c>
      <c r="D302" s="43" t="s">
        <v>168</v>
      </c>
      <c r="E302" s="43" t="s">
        <v>789</v>
      </c>
      <c r="F302" s="43">
        <v>20000</v>
      </c>
      <c r="G302" s="43">
        <v>0.24</v>
      </c>
      <c r="H302" s="81">
        <f t="shared" si="10"/>
        <v>4800</v>
      </c>
      <c r="I302" s="43" t="s">
        <v>791</v>
      </c>
      <c r="J302" s="43"/>
      <c r="K302" s="43"/>
    </row>
    <row r="303" ht="14.25" spans="1:11">
      <c r="A303" s="41">
        <v>45735</v>
      </c>
      <c r="B303" s="43" t="s">
        <v>162</v>
      </c>
      <c r="C303" s="43" t="s">
        <v>792</v>
      </c>
      <c r="D303" s="43" t="s">
        <v>168</v>
      </c>
      <c r="E303" s="43" t="s">
        <v>789</v>
      </c>
      <c r="F303" s="43">
        <v>10000</v>
      </c>
      <c r="G303" s="43">
        <v>0.24</v>
      </c>
      <c r="H303" s="81">
        <f t="shared" si="10"/>
        <v>2400</v>
      </c>
      <c r="I303" s="43" t="s">
        <v>61</v>
      </c>
      <c r="J303" s="43" t="s">
        <v>46</v>
      </c>
      <c r="K303" s="43"/>
    </row>
    <row r="304" ht="14.25" spans="1:11">
      <c r="A304" s="41">
        <v>45737</v>
      </c>
      <c r="B304" s="43" t="s">
        <v>162</v>
      </c>
      <c r="C304" s="43" t="s">
        <v>793</v>
      </c>
      <c r="D304" s="43" t="s">
        <v>794</v>
      </c>
      <c r="E304" s="43" t="s">
        <v>158</v>
      </c>
      <c r="F304" s="43">
        <v>10000</v>
      </c>
      <c r="G304" s="43">
        <v>0.25</v>
      </c>
      <c r="H304" s="81">
        <f t="shared" si="10"/>
        <v>2500</v>
      </c>
      <c r="I304" s="43" t="s">
        <v>61</v>
      </c>
      <c r="J304" s="43" t="s">
        <v>795</v>
      </c>
      <c r="K304" s="43"/>
    </row>
    <row r="305" ht="14.25" spans="1:11">
      <c r="A305" s="41">
        <v>45740</v>
      </c>
      <c r="B305" s="43" t="s">
        <v>162</v>
      </c>
      <c r="C305" s="43" t="s">
        <v>796</v>
      </c>
      <c r="D305" s="43" t="s">
        <v>468</v>
      </c>
      <c r="E305" s="43" t="s">
        <v>158</v>
      </c>
      <c r="F305" s="43">
        <v>15000</v>
      </c>
      <c r="G305" s="43">
        <v>0.24</v>
      </c>
      <c r="H305" s="81">
        <f t="shared" si="10"/>
        <v>3600</v>
      </c>
      <c r="I305" s="43" t="s">
        <v>94</v>
      </c>
      <c r="J305" s="43"/>
      <c r="K305" s="43"/>
    </row>
    <row r="306" ht="14.25" spans="1:11">
      <c r="A306" s="41">
        <v>45740</v>
      </c>
      <c r="B306" s="43" t="s">
        <v>162</v>
      </c>
      <c r="C306" s="43" t="s">
        <v>796</v>
      </c>
      <c r="D306" s="43" t="s">
        <v>168</v>
      </c>
      <c r="E306" s="43" t="s">
        <v>158</v>
      </c>
      <c r="F306" s="43">
        <v>15000</v>
      </c>
      <c r="G306" s="43">
        <v>0.24</v>
      </c>
      <c r="H306" s="81">
        <f t="shared" si="10"/>
        <v>3600</v>
      </c>
      <c r="I306" s="43" t="s">
        <v>94</v>
      </c>
      <c r="J306" s="43"/>
      <c r="K306" s="43"/>
    </row>
    <row r="307" ht="14.25" spans="1:11">
      <c r="A307" s="41">
        <v>45742</v>
      </c>
      <c r="B307" s="43" t="s">
        <v>162</v>
      </c>
      <c r="C307" s="43" t="s">
        <v>797</v>
      </c>
      <c r="D307" s="43" t="s">
        <v>669</v>
      </c>
      <c r="E307" s="43" t="s">
        <v>158</v>
      </c>
      <c r="F307" s="43">
        <v>18050</v>
      </c>
      <c r="G307" s="43">
        <v>0.17</v>
      </c>
      <c r="H307" s="81">
        <f t="shared" si="10"/>
        <v>3068.5</v>
      </c>
      <c r="I307" s="43" t="s">
        <v>286</v>
      </c>
      <c r="J307" s="43"/>
      <c r="K307" s="43"/>
    </row>
    <row r="308" ht="14.25" spans="1:11">
      <c r="A308" s="41">
        <v>45742</v>
      </c>
      <c r="B308" s="43" t="s">
        <v>162</v>
      </c>
      <c r="C308" s="43" t="s">
        <v>798</v>
      </c>
      <c r="D308" s="43" t="s">
        <v>799</v>
      </c>
      <c r="E308" s="43" t="s">
        <v>158</v>
      </c>
      <c r="F308" s="43">
        <v>17000</v>
      </c>
      <c r="G308" s="43">
        <v>0.17</v>
      </c>
      <c r="H308" s="81">
        <f t="shared" si="10"/>
        <v>2890</v>
      </c>
      <c r="I308" s="43" t="s">
        <v>61</v>
      </c>
      <c r="J308" s="43" t="s">
        <v>46</v>
      </c>
      <c r="K308" s="43"/>
    </row>
    <row r="309" ht="14.25" spans="1:11">
      <c r="A309" s="41">
        <v>45746</v>
      </c>
      <c r="B309" s="43" t="s">
        <v>162</v>
      </c>
      <c r="C309" s="43" t="s">
        <v>800</v>
      </c>
      <c r="D309" s="43" t="s">
        <v>801</v>
      </c>
      <c r="E309" s="43" t="s">
        <v>158</v>
      </c>
      <c r="F309" s="43">
        <v>260</v>
      </c>
      <c r="G309" s="43">
        <v>0.28</v>
      </c>
      <c r="H309" s="81">
        <f t="shared" si="10"/>
        <v>72.8</v>
      </c>
      <c r="I309" s="43" t="s">
        <v>287</v>
      </c>
      <c r="J309" s="43"/>
      <c r="K309" s="43"/>
    </row>
    <row r="310" ht="14.25" spans="1:11">
      <c r="A310" s="41">
        <v>45723</v>
      </c>
      <c r="B310" s="43" t="s">
        <v>765</v>
      </c>
      <c r="C310" s="87" t="s">
        <v>802</v>
      </c>
      <c r="D310" s="43" t="s">
        <v>76</v>
      </c>
      <c r="E310" s="43" t="s">
        <v>62</v>
      </c>
      <c r="F310" s="43">
        <v>18650</v>
      </c>
      <c r="G310" s="43">
        <v>0.52</v>
      </c>
      <c r="H310" s="81">
        <f t="shared" si="10"/>
        <v>9698</v>
      </c>
      <c r="I310" s="43" t="s">
        <v>278</v>
      </c>
      <c r="J310" s="43"/>
      <c r="K310" s="43"/>
    </row>
    <row r="311" ht="14.25" spans="1:11">
      <c r="A311" s="41">
        <v>45725</v>
      </c>
      <c r="B311" s="43" t="s">
        <v>765</v>
      </c>
      <c r="C311" s="87" t="s">
        <v>803</v>
      </c>
      <c r="D311" s="43" t="s">
        <v>130</v>
      </c>
      <c r="E311" s="43" t="s">
        <v>123</v>
      </c>
      <c r="F311" s="43">
        <v>24620</v>
      </c>
      <c r="G311" s="43">
        <v>0.52</v>
      </c>
      <c r="H311" s="81">
        <f t="shared" si="10"/>
        <v>12802.4</v>
      </c>
      <c r="I311" s="43" t="s">
        <v>433</v>
      </c>
      <c r="J311" s="43"/>
      <c r="K311" s="43"/>
    </row>
    <row r="312" ht="14.25" spans="1:11">
      <c r="A312" s="41">
        <v>45740</v>
      </c>
      <c r="B312" s="43" t="s">
        <v>765</v>
      </c>
      <c r="C312" s="87" t="s">
        <v>804</v>
      </c>
      <c r="D312" s="43" t="s">
        <v>115</v>
      </c>
      <c r="E312" s="43" t="s">
        <v>123</v>
      </c>
      <c r="F312" s="43">
        <v>8430</v>
      </c>
      <c r="G312" s="43">
        <v>0.53</v>
      </c>
      <c r="H312" s="81">
        <f t="shared" si="10"/>
        <v>4467.9</v>
      </c>
      <c r="I312" s="43" t="s">
        <v>805</v>
      </c>
      <c r="J312" s="43"/>
      <c r="K312" s="43"/>
    </row>
    <row r="313" ht="14.25" spans="1:11">
      <c r="A313" s="41">
        <v>45740</v>
      </c>
      <c r="B313" s="43" t="s">
        <v>765</v>
      </c>
      <c r="C313" s="87" t="s">
        <v>804</v>
      </c>
      <c r="D313" s="43" t="s">
        <v>130</v>
      </c>
      <c r="E313" s="43" t="s">
        <v>60</v>
      </c>
      <c r="F313" s="43">
        <v>4100</v>
      </c>
      <c r="G313" s="43">
        <v>0.48</v>
      </c>
      <c r="H313" s="81">
        <f t="shared" si="10"/>
        <v>1968</v>
      </c>
      <c r="I313" s="43" t="s">
        <v>432</v>
      </c>
      <c r="J313" s="43"/>
      <c r="K313" s="43"/>
    </row>
    <row r="314" s="35" customFormat="1" ht="14.25" spans="1:11">
      <c r="A314" s="44">
        <v>45743</v>
      </c>
      <c r="B314" s="45" t="s">
        <v>765</v>
      </c>
      <c r="C314" s="86" t="s">
        <v>806</v>
      </c>
      <c r="D314" s="45" t="s">
        <v>59</v>
      </c>
      <c r="E314" s="45" t="s">
        <v>123</v>
      </c>
      <c r="F314" s="45">
        <v>16860</v>
      </c>
      <c r="G314" s="45">
        <v>0.54</v>
      </c>
      <c r="H314" s="80">
        <f t="shared" si="10"/>
        <v>9104.4</v>
      </c>
      <c r="I314" s="45" t="s">
        <v>35</v>
      </c>
      <c r="J314" s="45"/>
      <c r="K314" s="45"/>
    </row>
    <row r="315" s="35" customFormat="1" ht="14.25" spans="1:11">
      <c r="A315" s="44">
        <v>45746</v>
      </c>
      <c r="B315" s="45" t="s">
        <v>765</v>
      </c>
      <c r="C315" s="86" t="s">
        <v>807</v>
      </c>
      <c r="D315" s="45" t="s">
        <v>76</v>
      </c>
      <c r="E315" s="45" t="s">
        <v>60</v>
      </c>
      <c r="F315" s="45">
        <v>6060</v>
      </c>
      <c r="G315" s="45">
        <v>0.5</v>
      </c>
      <c r="H315" s="80">
        <f t="shared" si="10"/>
        <v>3030</v>
      </c>
      <c r="I315" s="45" t="s">
        <v>432</v>
      </c>
      <c r="J315" s="45"/>
      <c r="K315" s="45"/>
    </row>
    <row r="316" ht="14.25" spans="1:11">
      <c r="A316" s="41">
        <v>45724</v>
      </c>
      <c r="B316" s="43" t="s">
        <v>808</v>
      </c>
      <c r="C316" s="43"/>
      <c r="D316" s="43" t="s">
        <v>523</v>
      </c>
      <c r="E316" s="43" t="s">
        <v>14</v>
      </c>
      <c r="F316" s="43">
        <v>1010</v>
      </c>
      <c r="G316" s="43">
        <v>0.75</v>
      </c>
      <c r="H316" s="81">
        <f t="shared" si="10"/>
        <v>757.5</v>
      </c>
      <c r="I316" s="43" t="s">
        <v>631</v>
      </c>
      <c r="J316" s="43" t="s">
        <v>701</v>
      </c>
      <c r="K316" s="43"/>
    </row>
    <row r="317" ht="14.25" spans="1:11">
      <c r="A317" s="41">
        <v>45725</v>
      </c>
      <c r="B317" s="43" t="s">
        <v>809</v>
      </c>
      <c r="C317" s="43" t="s">
        <v>810</v>
      </c>
      <c r="D317" s="43" t="s">
        <v>811</v>
      </c>
      <c r="E317" s="43" t="s">
        <v>14</v>
      </c>
      <c r="F317" s="43">
        <v>1000</v>
      </c>
      <c r="G317" s="43">
        <v>0.8</v>
      </c>
      <c r="H317" s="81">
        <f t="shared" si="10"/>
        <v>800</v>
      </c>
      <c r="I317" s="43" t="s">
        <v>637</v>
      </c>
      <c r="J317" s="43"/>
      <c r="K317" s="43"/>
    </row>
    <row r="318" ht="14.25" spans="1:11">
      <c r="A318" s="41">
        <v>45727</v>
      </c>
      <c r="B318" s="43" t="s">
        <v>221</v>
      </c>
      <c r="C318" s="43">
        <v>20250311001</v>
      </c>
      <c r="D318" s="43" t="s">
        <v>812</v>
      </c>
      <c r="E318" s="43" t="s">
        <v>14</v>
      </c>
      <c r="F318" s="43">
        <v>20010</v>
      </c>
      <c r="G318" s="43">
        <v>0.92</v>
      </c>
      <c r="H318" s="81">
        <f t="shared" ref="H318:H334" si="11">F318*G318</f>
        <v>18409.2</v>
      </c>
      <c r="I318" s="43" t="s">
        <v>330</v>
      </c>
      <c r="J318" s="43" t="s">
        <v>813</v>
      </c>
      <c r="K318" s="43"/>
    </row>
    <row r="319" ht="14.25" spans="1:11">
      <c r="A319" s="41">
        <v>45728</v>
      </c>
      <c r="B319" s="43" t="s">
        <v>215</v>
      </c>
      <c r="C319" s="43" t="s">
        <v>814</v>
      </c>
      <c r="D319" s="43" t="s">
        <v>217</v>
      </c>
      <c r="E319" s="43" t="s">
        <v>220</v>
      </c>
      <c r="F319" s="43">
        <v>100</v>
      </c>
      <c r="G319" s="43">
        <v>2.5</v>
      </c>
      <c r="H319" s="81">
        <f t="shared" si="11"/>
        <v>250</v>
      </c>
      <c r="I319" s="43" t="s">
        <v>61</v>
      </c>
      <c r="J319" s="43"/>
      <c r="K319" s="43"/>
    </row>
    <row r="320" ht="14.25" spans="1:11">
      <c r="A320" s="41">
        <v>45733</v>
      </c>
      <c r="B320" s="43" t="s">
        <v>215</v>
      </c>
      <c r="C320" s="43" t="s">
        <v>815</v>
      </c>
      <c r="D320" s="43" t="s">
        <v>217</v>
      </c>
      <c r="E320" s="43" t="s">
        <v>816</v>
      </c>
      <c r="F320" s="43">
        <v>100</v>
      </c>
      <c r="G320" s="43">
        <v>3.7</v>
      </c>
      <c r="H320" s="81">
        <f t="shared" si="11"/>
        <v>370</v>
      </c>
      <c r="I320" s="43" t="s">
        <v>61</v>
      </c>
      <c r="J320" s="43"/>
      <c r="K320" s="43"/>
    </row>
    <row r="321" ht="14.25" spans="1:11">
      <c r="A321" s="41">
        <v>45733</v>
      </c>
      <c r="B321" s="43" t="s">
        <v>215</v>
      </c>
      <c r="C321" s="43" t="s">
        <v>815</v>
      </c>
      <c r="D321" s="43" t="s">
        <v>217</v>
      </c>
      <c r="E321" s="43" t="s">
        <v>817</v>
      </c>
      <c r="F321" s="43">
        <v>200</v>
      </c>
      <c r="G321" s="43">
        <v>2.8</v>
      </c>
      <c r="H321" s="81">
        <f t="shared" si="11"/>
        <v>560</v>
      </c>
      <c r="I321" s="43" t="s">
        <v>271</v>
      </c>
      <c r="J321" s="43"/>
      <c r="K321" s="43"/>
    </row>
    <row r="322" ht="14.25" spans="1:11">
      <c r="A322" s="41">
        <v>45733</v>
      </c>
      <c r="B322" s="43" t="s">
        <v>215</v>
      </c>
      <c r="C322" s="43" t="s">
        <v>815</v>
      </c>
      <c r="D322" s="43" t="s">
        <v>217</v>
      </c>
      <c r="E322" s="45" t="s">
        <v>218</v>
      </c>
      <c r="F322" s="43">
        <v>200</v>
      </c>
      <c r="G322" s="43">
        <v>2.5</v>
      </c>
      <c r="H322" s="81">
        <f t="shared" si="11"/>
        <v>500</v>
      </c>
      <c r="I322" s="43" t="s">
        <v>271</v>
      </c>
      <c r="J322" s="43"/>
      <c r="K322" s="43"/>
    </row>
    <row r="323" ht="14.25" spans="1:11">
      <c r="A323" s="41">
        <v>45733</v>
      </c>
      <c r="B323" s="43" t="s">
        <v>215</v>
      </c>
      <c r="C323" s="43" t="s">
        <v>815</v>
      </c>
      <c r="D323" s="43" t="s">
        <v>217</v>
      </c>
      <c r="E323" s="43" t="s">
        <v>818</v>
      </c>
      <c r="F323" s="43">
        <v>100</v>
      </c>
      <c r="G323" s="43">
        <v>2.2</v>
      </c>
      <c r="H323" s="81">
        <f t="shared" si="11"/>
        <v>220</v>
      </c>
      <c r="I323" s="43" t="s">
        <v>271</v>
      </c>
      <c r="J323" s="43"/>
      <c r="K323" s="43"/>
    </row>
    <row r="324" ht="14.25" spans="1:11">
      <c r="A324" s="41">
        <v>45733</v>
      </c>
      <c r="B324" s="43" t="s">
        <v>215</v>
      </c>
      <c r="C324" s="43" t="s">
        <v>815</v>
      </c>
      <c r="D324" s="43" t="s">
        <v>217</v>
      </c>
      <c r="E324" s="43" t="s">
        <v>819</v>
      </c>
      <c r="F324" s="43">
        <v>100</v>
      </c>
      <c r="G324" s="43">
        <v>2.9</v>
      </c>
      <c r="H324" s="81">
        <f t="shared" si="11"/>
        <v>290</v>
      </c>
      <c r="I324" s="43" t="s">
        <v>271</v>
      </c>
      <c r="J324" s="43"/>
      <c r="K324" s="43"/>
    </row>
    <row r="325" ht="14.25" spans="1:11">
      <c r="A325" s="41">
        <v>45744</v>
      </c>
      <c r="B325" s="43" t="s">
        <v>215</v>
      </c>
      <c r="C325" s="43" t="s">
        <v>820</v>
      </c>
      <c r="D325" s="43" t="s">
        <v>217</v>
      </c>
      <c r="E325" s="45" t="s">
        <v>220</v>
      </c>
      <c r="F325" s="43">
        <v>200</v>
      </c>
      <c r="G325" s="43">
        <v>2.5</v>
      </c>
      <c r="H325" s="81">
        <f t="shared" si="11"/>
        <v>500</v>
      </c>
      <c r="I325" s="43" t="s">
        <v>61</v>
      </c>
      <c r="J325" s="43"/>
      <c r="K325" s="43"/>
    </row>
    <row r="326" ht="14.25" spans="1:11">
      <c r="A326" s="41">
        <v>45730</v>
      </c>
      <c r="B326" s="43" t="s">
        <v>821</v>
      </c>
      <c r="C326" s="87" t="s">
        <v>822</v>
      </c>
      <c r="D326" s="43" t="s">
        <v>823</v>
      </c>
      <c r="E326" s="43" t="s">
        <v>824</v>
      </c>
      <c r="F326" s="43">
        <v>500</v>
      </c>
      <c r="G326" s="43">
        <v>0.4</v>
      </c>
      <c r="H326" s="81">
        <f t="shared" si="11"/>
        <v>200</v>
      </c>
      <c r="I326" s="43" t="s">
        <v>271</v>
      </c>
      <c r="J326" s="43" t="s">
        <v>46</v>
      </c>
      <c r="K326" s="43"/>
    </row>
    <row r="327" ht="14.25" spans="1:11">
      <c r="A327" s="41">
        <v>45730</v>
      </c>
      <c r="B327" s="43" t="s">
        <v>821</v>
      </c>
      <c r="C327" s="87" t="s">
        <v>822</v>
      </c>
      <c r="D327" s="43" t="s">
        <v>823</v>
      </c>
      <c r="E327" s="43" t="s">
        <v>824</v>
      </c>
      <c r="F327" s="43">
        <v>2000</v>
      </c>
      <c r="G327" s="43">
        <v>0.32</v>
      </c>
      <c r="H327" s="81">
        <f t="shared" si="11"/>
        <v>640</v>
      </c>
      <c r="I327" s="43" t="s">
        <v>271</v>
      </c>
      <c r="J327" s="43" t="s">
        <v>46</v>
      </c>
      <c r="K327" s="43"/>
    </row>
    <row r="328" ht="14.25" spans="1:11">
      <c r="A328" s="41">
        <v>45718</v>
      </c>
      <c r="B328" s="43" t="s">
        <v>825</v>
      </c>
      <c r="C328" s="87" t="s">
        <v>826</v>
      </c>
      <c r="D328" s="43" t="s">
        <v>493</v>
      </c>
      <c r="E328" s="43" t="s">
        <v>824</v>
      </c>
      <c r="F328" s="43">
        <v>5000</v>
      </c>
      <c r="G328" s="43">
        <v>0.32</v>
      </c>
      <c r="H328" s="81">
        <f t="shared" si="11"/>
        <v>1600</v>
      </c>
      <c r="I328" s="43" t="s">
        <v>271</v>
      </c>
      <c r="J328" s="43" t="s">
        <v>46</v>
      </c>
      <c r="K328" s="43"/>
    </row>
    <row r="329" ht="14.25" spans="1:11">
      <c r="A329" s="41">
        <v>45723</v>
      </c>
      <c r="B329" s="43" t="s">
        <v>439</v>
      </c>
      <c r="C329" s="43" t="s">
        <v>827</v>
      </c>
      <c r="D329" s="43" t="s">
        <v>828</v>
      </c>
      <c r="E329" s="43" t="s">
        <v>158</v>
      </c>
      <c r="F329" s="43">
        <v>100000</v>
      </c>
      <c r="G329" s="43">
        <v>0.125</v>
      </c>
      <c r="H329" s="81">
        <f t="shared" si="11"/>
        <v>12500</v>
      </c>
      <c r="I329" s="43" t="s">
        <v>61</v>
      </c>
      <c r="J329" s="43" t="s">
        <v>46</v>
      </c>
      <c r="K329" s="43"/>
    </row>
    <row r="330" ht="14.25" spans="1:11">
      <c r="A330" s="41">
        <v>45722</v>
      </c>
      <c r="B330" s="43" t="s">
        <v>504</v>
      </c>
      <c r="C330" s="87" t="s">
        <v>829</v>
      </c>
      <c r="D330" s="43" t="s">
        <v>772</v>
      </c>
      <c r="E330" s="43" t="s">
        <v>14</v>
      </c>
      <c r="F330" s="43">
        <v>50000</v>
      </c>
      <c r="G330" s="43">
        <v>1</v>
      </c>
      <c r="H330" s="81">
        <f t="shared" si="11"/>
        <v>50000</v>
      </c>
      <c r="I330" s="43" t="s">
        <v>271</v>
      </c>
      <c r="J330" s="43" t="s">
        <v>46</v>
      </c>
      <c r="K330" s="43"/>
    </row>
    <row r="331" ht="14.25" spans="1:11">
      <c r="A331" s="41">
        <v>45718</v>
      </c>
      <c r="B331" s="43" t="s">
        <v>269</v>
      </c>
      <c r="C331" s="43"/>
      <c r="D331" s="43" t="s">
        <v>270</v>
      </c>
      <c r="E331" s="43" t="s">
        <v>14</v>
      </c>
      <c r="F331" s="43">
        <v>30506</v>
      </c>
      <c r="G331" s="43">
        <v>1.2</v>
      </c>
      <c r="H331" s="81">
        <f t="shared" si="11"/>
        <v>36607.2</v>
      </c>
      <c r="I331" s="43" t="s">
        <v>61</v>
      </c>
      <c r="J331" s="43" t="s">
        <v>46</v>
      </c>
      <c r="K331" s="43"/>
    </row>
    <row r="332" ht="14.25" spans="1:11">
      <c r="A332" s="41">
        <v>45720</v>
      </c>
      <c r="B332" s="43" t="s">
        <v>269</v>
      </c>
      <c r="C332" s="43"/>
      <c r="D332" s="43" t="s">
        <v>543</v>
      </c>
      <c r="E332" s="43" t="s">
        <v>14</v>
      </c>
      <c r="F332" s="43">
        <v>25725</v>
      </c>
      <c r="G332" s="43">
        <v>1.25</v>
      </c>
      <c r="H332" s="81">
        <f t="shared" si="11"/>
        <v>32156.25</v>
      </c>
      <c r="I332" s="43" t="s">
        <v>61</v>
      </c>
      <c r="J332" s="43" t="s">
        <v>46</v>
      </c>
      <c r="K332" s="43"/>
    </row>
    <row r="333" ht="14.25" spans="1:11">
      <c r="A333" s="41">
        <v>45739</v>
      </c>
      <c r="B333" s="43" t="s">
        <v>269</v>
      </c>
      <c r="C333" s="43"/>
      <c r="D333" s="43" t="s">
        <v>38</v>
      </c>
      <c r="E333" s="43" t="s">
        <v>14</v>
      </c>
      <c r="F333" s="43">
        <v>21675</v>
      </c>
      <c r="G333" s="43">
        <v>1.3</v>
      </c>
      <c r="H333" s="81">
        <f t="shared" si="11"/>
        <v>28177.5</v>
      </c>
      <c r="I333" s="43" t="s">
        <v>830</v>
      </c>
      <c r="J333" s="43" t="s">
        <v>46</v>
      </c>
      <c r="K333" s="43"/>
    </row>
    <row r="334" ht="14.25" spans="1:11">
      <c r="A334" s="41">
        <v>45734</v>
      </c>
      <c r="B334" s="43" t="s">
        <v>91</v>
      </c>
      <c r="C334" s="43" t="s">
        <v>831</v>
      </c>
      <c r="D334" s="43" t="s">
        <v>95</v>
      </c>
      <c r="E334" s="43" t="s">
        <v>14</v>
      </c>
      <c r="F334" s="43">
        <v>6400</v>
      </c>
      <c r="G334" s="43">
        <v>4.5</v>
      </c>
      <c r="H334" s="81">
        <f t="shared" si="11"/>
        <v>28800</v>
      </c>
      <c r="I334" s="43" t="s">
        <v>94</v>
      </c>
      <c r="J334" s="43"/>
      <c r="K334" s="43"/>
    </row>
    <row r="335" ht="14.25" spans="1:11">
      <c r="A335" s="41">
        <v>45733</v>
      </c>
      <c r="B335" s="43" t="s">
        <v>832</v>
      </c>
      <c r="C335" s="43" t="s">
        <v>833</v>
      </c>
      <c r="D335" s="43" t="s">
        <v>834</v>
      </c>
      <c r="E335" s="43" t="s">
        <v>158</v>
      </c>
      <c r="F335" s="43">
        <v>1048</v>
      </c>
      <c r="G335" s="43">
        <v>0.22</v>
      </c>
      <c r="H335" s="81">
        <f t="shared" ref="H335:H359" si="12">F335*G335</f>
        <v>230.56</v>
      </c>
      <c r="I335" s="43" t="s">
        <v>432</v>
      </c>
      <c r="J335" s="43"/>
      <c r="K335" s="43"/>
    </row>
    <row r="336" ht="14.25" spans="1:11">
      <c r="A336" s="41">
        <v>45733</v>
      </c>
      <c r="B336" s="43" t="s">
        <v>832</v>
      </c>
      <c r="C336" s="43" t="s">
        <v>833</v>
      </c>
      <c r="D336" s="43" t="s">
        <v>835</v>
      </c>
      <c r="E336" s="43" t="s">
        <v>158</v>
      </c>
      <c r="F336" s="43">
        <v>1220</v>
      </c>
      <c r="G336" s="43">
        <v>0.25</v>
      </c>
      <c r="H336" s="81">
        <f t="shared" si="12"/>
        <v>305</v>
      </c>
      <c r="I336" s="43" t="s">
        <v>278</v>
      </c>
      <c r="J336" s="43"/>
      <c r="K336" s="43"/>
    </row>
    <row r="337" ht="14.25" spans="1:11">
      <c r="A337" s="41">
        <v>45732</v>
      </c>
      <c r="B337" s="43" t="s">
        <v>190</v>
      </c>
      <c r="C337" s="43" t="s">
        <v>836</v>
      </c>
      <c r="D337" s="43" t="s">
        <v>837</v>
      </c>
      <c r="E337" s="43" t="s">
        <v>732</v>
      </c>
      <c r="F337" s="43">
        <v>865</v>
      </c>
      <c r="G337" s="43">
        <v>1.9</v>
      </c>
      <c r="H337" s="81">
        <f t="shared" si="12"/>
        <v>1643.5</v>
      </c>
      <c r="I337" s="43" t="s">
        <v>786</v>
      </c>
      <c r="J337" s="43" t="s">
        <v>838</v>
      </c>
      <c r="K337" s="43">
        <v>2.15</v>
      </c>
    </row>
    <row r="338" ht="14.25" spans="1:11">
      <c r="A338" s="41">
        <v>45737</v>
      </c>
      <c r="B338" s="43" t="s">
        <v>190</v>
      </c>
      <c r="C338" s="43" t="s">
        <v>839</v>
      </c>
      <c r="D338" s="43" t="s">
        <v>837</v>
      </c>
      <c r="E338" s="43" t="s">
        <v>840</v>
      </c>
      <c r="F338" s="43">
        <v>860</v>
      </c>
      <c r="G338" s="43">
        <v>1.9</v>
      </c>
      <c r="H338" s="81">
        <f t="shared" si="12"/>
        <v>1634</v>
      </c>
      <c r="I338" s="43" t="s">
        <v>786</v>
      </c>
      <c r="J338" s="43"/>
      <c r="K338" s="43"/>
    </row>
    <row r="339" ht="14.25" spans="1:11">
      <c r="A339" s="41">
        <v>45737</v>
      </c>
      <c r="B339" s="43" t="s">
        <v>190</v>
      </c>
      <c r="C339" s="43" t="s">
        <v>839</v>
      </c>
      <c r="D339" s="43" t="s">
        <v>179</v>
      </c>
      <c r="E339" s="43" t="s">
        <v>99</v>
      </c>
      <c r="F339" s="43">
        <v>3301</v>
      </c>
      <c r="G339" s="43">
        <v>1.15</v>
      </c>
      <c r="H339" s="81">
        <f t="shared" si="12"/>
        <v>3796.15</v>
      </c>
      <c r="I339" s="43" t="s">
        <v>214</v>
      </c>
      <c r="J339" s="43"/>
      <c r="K339" s="43"/>
    </row>
    <row r="340" ht="14.25" spans="1:11">
      <c r="A340" s="41">
        <v>45737</v>
      </c>
      <c r="B340" s="43" t="s">
        <v>190</v>
      </c>
      <c r="C340" s="43" t="s">
        <v>839</v>
      </c>
      <c r="D340" s="43" t="s">
        <v>179</v>
      </c>
      <c r="E340" s="43" t="s">
        <v>99</v>
      </c>
      <c r="F340" s="43">
        <v>5105</v>
      </c>
      <c r="G340" s="43">
        <v>1.15</v>
      </c>
      <c r="H340" s="81">
        <f t="shared" si="12"/>
        <v>5870.75</v>
      </c>
      <c r="I340" s="43" t="s">
        <v>214</v>
      </c>
      <c r="J340" s="43"/>
      <c r="K340" s="43"/>
    </row>
    <row r="341" ht="14.25" spans="1:11">
      <c r="A341" s="41">
        <v>45742</v>
      </c>
      <c r="B341" s="43" t="s">
        <v>190</v>
      </c>
      <c r="C341" s="43" t="s">
        <v>841</v>
      </c>
      <c r="D341" s="43" t="s">
        <v>387</v>
      </c>
      <c r="E341" s="43" t="s">
        <v>124</v>
      </c>
      <c r="F341" s="43">
        <v>9010</v>
      </c>
      <c r="G341" s="43">
        <v>1.4</v>
      </c>
      <c r="H341" s="81">
        <f t="shared" si="12"/>
        <v>12614</v>
      </c>
      <c r="I341" s="43" t="s">
        <v>235</v>
      </c>
      <c r="J341" s="43" t="s">
        <v>90</v>
      </c>
      <c r="K341" s="43"/>
    </row>
    <row r="342" ht="14.25" spans="1:11">
      <c r="A342" s="41">
        <v>45744</v>
      </c>
      <c r="B342" s="43" t="s">
        <v>190</v>
      </c>
      <c r="C342" s="43" t="s">
        <v>842</v>
      </c>
      <c r="D342" s="43" t="s">
        <v>179</v>
      </c>
      <c r="E342" s="43" t="s">
        <v>843</v>
      </c>
      <c r="F342" s="43">
        <v>16789</v>
      </c>
      <c r="G342" s="43">
        <v>0.77</v>
      </c>
      <c r="H342" s="81">
        <f t="shared" si="12"/>
        <v>12927.53</v>
      </c>
      <c r="I342" s="43" t="s">
        <v>214</v>
      </c>
      <c r="J342" s="43" t="s">
        <v>46</v>
      </c>
      <c r="K342" s="43"/>
    </row>
    <row r="343" ht="14.25" spans="1:11">
      <c r="A343" s="41">
        <v>45744</v>
      </c>
      <c r="B343" s="43" t="s">
        <v>190</v>
      </c>
      <c r="C343" s="43" t="s">
        <v>842</v>
      </c>
      <c r="D343" s="43" t="s">
        <v>179</v>
      </c>
      <c r="E343" s="43" t="s">
        <v>14</v>
      </c>
      <c r="F343" s="43">
        <v>4733</v>
      </c>
      <c r="G343" s="43">
        <v>0.75</v>
      </c>
      <c r="H343" s="81">
        <f t="shared" si="12"/>
        <v>3549.75</v>
      </c>
      <c r="I343" s="43" t="s">
        <v>214</v>
      </c>
      <c r="J343" s="43" t="s">
        <v>46</v>
      </c>
      <c r="K343" s="43"/>
    </row>
    <row r="344" ht="14.25" spans="1:11">
      <c r="A344" s="41">
        <v>45733</v>
      </c>
      <c r="B344" s="43" t="s">
        <v>844</v>
      </c>
      <c r="C344" s="43" t="s">
        <v>845</v>
      </c>
      <c r="D344" s="43" t="s">
        <v>846</v>
      </c>
      <c r="E344" s="43" t="s">
        <v>14</v>
      </c>
      <c r="F344" s="43">
        <v>1030</v>
      </c>
      <c r="G344" s="43">
        <v>2.6</v>
      </c>
      <c r="H344" s="81">
        <f t="shared" si="12"/>
        <v>2678</v>
      </c>
      <c r="I344" s="43" t="s">
        <v>432</v>
      </c>
      <c r="J344" s="43" t="s">
        <v>847</v>
      </c>
      <c r="K344" s="43"/>
    </row>
    <row r="345" ht="14.25" spans="1:11">
      <c r="A345" s="41">
        <v>45729</v>
      </c>
      <c r="B345" s="43" t="s">
        <v>184</v>
      </c>
      <c r="C345" s="43" t="s">
        <v>848</v>
      </c>
      <c r="D345" s="43" t="s">
        <v>38</v>
      </c>
      <c r="E345" s="43" t="s">
        <v>14</v>
      </c>
      <c r="F345" s="43">
        <v>1650</v>
      </c>
      <c r="G345" s="43">
        <v>1.35</v>
      </c>
      <c r="H345" s="81">
        <f t="shared" si="12"/>
        <v>2227.5</v>
      </c>
      <c r="I345" s="43" t="s">
        <v>78</v>
      </c>
      <c r="J345" s="43"/>
      <c r="K345" s="43"/>
    </row>
    <row r="346" ht="14.25" spans="1:11">
      <c r="A346" s="41">
        <v>45734</v>
      </c>
      <c r="B346" s="43" t="s">
        <v>184</v>
      </c>
      <c r="C346" s="43" t="s">
        <v>849</v>
      </c>
      <c r="D346" s="43" t="s">
        <v>50</v>
      </c>
      <c r="E346" s="43" t="s">
        <v>14</v>
      </c>
      <c r="F346" s="43">
        <v>3120</v>
      </c>
      <c r="G346" s="43">
        <v>1.28</v>
      </c>
      <c r="H346" s="81">
        <f t="shared" si="12"/>
        <v>3993.6</v>
      </c>
      <c r="I346" s="43" t="s">
        <v>35</v>
      </c>
      <c r="J346" s="43" t="s">
        <v>46</v>
      </c>
      <c r="K346" s="43"/>
    </row>
    <row r="347" ht="14.25" spans="1:11">
      <c r="A347" s="41">
        <v>45741</v>
      </c>
      <c r="B347" s="43" t="s">
        <v>184</v>
      </c>
      <c r="C347" s="43" t="s">
        <v>850</v>
      </c>
      <c r="D347" s="43" t="s">
        <v>851</v>
      </c>
      <c r="E347" s="43" t="s">
        <v>14</v>
      </c>
      <c r="F347" s="43">
        <v>6</v>
      </c>
      <c r="G347" s="43">
        <v>0</v>
      </c>
      <c r="H347" s="81">
        <f t="shared" si="12"/>
        <v>0</v>
      </c>
      <c r="I347" s="43" t="s">
        <v>32</v>
      </c>
      <c r="J347" s="43"/>
      <c r="K347" s="43"/>
    </row>
    <row r="348" ht="14.25" spans="1:11">
      <c r="A348" s="41">
        <v>45738</v>
      </c>
      <c r="B348" s="43" t="s">
        <v>184</v>
      </c>
      <c r="C348" s="43" t="s">
        <v>852</v>
      </c>
      <c r="D348" s="43" t="s">
        <v>50</v>
      </c>
      <c r="E348" s="43" t="s">
        <v>14</v>
      </c>
      <c r="F348" s="43">
        <v>110</v>
      </c>
      <c r="G348" s="43">
        <v>1.28</v>
      </c>
      <c r="H348" s="81">
        <f t="shared" si="12"/>
        <v>140.8</v>
      </c>
      <c r="I348" s="43" t="s">
        <v>35</v>
      </c>
      <c r="J348" s="43" t="s">
        <v>46</v>
      </c>
      <c r="K348" s="43"/>
    </row>
    <row r="349" ht="14.25" spans="1:11">
      <c r="A349" s="41">
        <v>45738</v>
      </c>
      <c r="B349" s="43" t="s">
        <v>184</v>
      </c>
      <c r="C349" s="43" t="s">
        <v>852</v>
      </c>
      <c r="D349" s="43" t="s">
        <v>234</v>
      </c>
      <c r="E349" s="43" t="s">
        <v>14</v>
      </c>
      <c r="F349" s="43">
        <v>6100</v>
      </c>
      <c r="G349" s="43">
        <v>1.1</v>
      </c>
      <c r="H349" s="81">
        <f t="shared" si="12"/>
        <v>6710</v>
      </c>
      <c r="I349" s="43" t="s">
        <v>235</v>
      </c>
      <c r="J349" s="43" t="s">
        <v>46</v>
      </c>
      <c r="K349" s="43"/>
    </row>
    <row r="350" ht="14.25" spans="1:11">
      <c r="A350" s="41">
        <v>45738</v>
      </c>
      <c r="B350" s="43" t="s">
        <v>184</v>
      </c>
      <c r="C350" s="43" t="s">
        <v>853</v>
      </c>
      <c r="D350" s="43" t="s">
        <v>34</v>
      </c>
      <c r="E350" s="43" t="s">
        <v>14</v>
      </c>
      <c r="F350" s="43">
        <v>6450</v>
      </c>
      <c r="G350" s="43">
        <v>1.1</v>
      </c>
      <c r="H350" s="81">
        <f t="shared" si="12"/>
        <v>7095</v>
      </c>
      <c r="I350" s="43" t="s">
        <v>35</v>
      </c>
      <c r="J350" s="43" t="s">
        <v>46</v>
      </c>
      <c r="K350" s="43"/>
    </row>
    <row r="351" ht="14.25" spans="1:11">
      <c r="A351" s="41">
        <v>45746</v>
      </c>
      <c r="B351" s="43" t="s">
        <v>184</v>
      </c>
      <c r="C351" s="43" t="s">
        <v>854</v>
      </c>
      <c r="D351" s="43" t="s">
        <v>188</v>
      </c>
      <c r="E351" s="43" t="s">
        <v>14</v>
      </c>
      <c r="F351" s="43">
        <v>6500</v>
      </c>
      <c r="G351" s="43">
        <v>1.15</v>
      </c>
      <c r="H351" s="81">
        <f t="shared" si="12"/>
        <v>7475</v>
      </c>
      <c r="I351" s="43" t="s">
        <v>45</v>
      </c>
      <c r="J351" s="43" t="s">
        <v>46</v>
      </c>
      <c r="K351" s="43"/>
    </row>
    <row r="352" ht="14.25" spans="1:11">
      <c r="A352" s="41">
        <v>45729</v>
      </c>
      <c r="B352" s="43" t="s">
        <v>263</v>
      </c>
      <c r="C352" s="43" t="s">
        <v>855</v>
      </c>
      <c r="D352" s="43" t="s">
        <v>856</v>
      </c>
      <c r="E352" s="43" t="s">
        <v>158</v>
      </c>
      <c r="F352" s="43">
        <v>20000</v>
      </c>
      <c r="G352" s="43">
        <v>0.17</v>
      </c>
      <c r="H352" s="81">
        <f t="shared" si="12"/>
        <v>3400</v>
      </c>
      <c r="I352" s="43" t="s">
        <v>857</v>
      </c>
      <c r="J352" s="43"/>
      <c r="K352" s="43"/>
    </row>
    <row r="353" ht="14.25" spans="1:11">
      <c r="A353" s="41">
        <v>45731</v>
      </c>
      <c r="B353" s="43" t="s">
        <v>263</v>
      </c>
      <c r="C353" s="43" t="s">
        <v>858</v>
      </c>
      <c r="D353" s="43" t="s">
        <v>443</v>
      </c>
      <c r="E353" s="43" t="s">
        <v>158</v>
      </c>
      <c r="F353" s="43">
        <v>200000</v>
      </c>
      <c r="G353" s="43">
        <v>0.125</v>
      </c>
      <c r="H353" s="81">
        <f t="shared" si="12"/>
        <v>25000</v>
      </c>
      <c r="I353" s="43" t="s">
        <v>61</v>
      </c>
      <c r="J353" s="43" t="s">
        <v>46</v>
      </c>
      <c r="K353" s="43"/>
    </row>
    <row r="354" ht="14.25" spans="1:11">
      <c r="A354" s="41">
        <v>45727</v>
      </c>
      <c r="B354" s="43" t="s">
        <v>504</v>
      </c>
      <c r="C354" s="87" t="s">
        <v>859</v>
      </c>
      <c r="D354" s="43" t="s">
        <v>772</v>
      </c>
      <c r="E354" s="43" t="s">
        <v>824</v>
      </c>
      <c r="F354" s="43">
        <v>300</v>
      </c>
      <c r="G354" s="43">
        <v>0.5</v>
      </c>
      <c r="H354" s="81">
        <f t="shared" si="12"/>
        <v>150</v>
      </c>
      <c r="I354" s="43" t="s">
        <v>271</v>
      </c>
      <c r="J354" s="43" t="s">
        <v>46</v>
      </c>
      <c r="K354" s="43"/>
    </row>
    <row r="355" ht="14.25" spans="1:11">
      <c r="A355" s="41">
        <v>45723</v>
      </c>
      <c r="B355" s="43" t="s">
        <v>539</v>
      </c>
      <c r="C355" s="43" t="s">
        <v>860</v>
      </c>
      <c r="D355" s="43" t="s">
        <v>368</v>
      </c>
      <c r="E355" s="43" t="s">
        <v>14</v>
      </c>
      <c r="F355" s="43">
        <v>20000</v>
      </c>
      <c r="G355" s="43">
        <v>0.78</v>
      </c>
      <c r="H355" s="81">
        <f t="shared" si="12"/>
        <v>15600</v>
      </c>
      <c r="I355" s="43" t="s">
        <v>61</v>
      </c>
      <c r="J355" s="43" t="s">
        <v>46</v>
      </c>
      <c r="K355" s="43"/>
    </row>
    <row r="356" ht="14.25" spans="1:11">
      <c r="A356" s="41">
        <v>45731</v>
      </c>
      <c r="B356" s="43" t="s">
        <v>272</v>
      </c>
      <c r="C356" s="43">
        <v>20250315</v>
      </c>
      <c r="D356" s="43" t="s">
        <v>252</v>
      </c>
      <c r="E356" s="43" t="s">
        <v>14</v>
      </c>
      <c r="F356" s="43">
        <v>20000</v>
      </c>
      <c r="G356" s="43">
        <v>0.55</v>
      </c>
      <c r="H356" s="81">
        <f t="shared" si="12"/>
        <v>11000</v>
      </c>
      <c r="I356" s="43" t="s">
        <v>149</v>
      </c>
      <c r="J356" s="43" t="s">
        <v>46</v>
      </c>
      <c r="K356" s="43"/>
    </row>
    <row r="357" ht="14.25" spans="1:11">
      <c r="A357" s="41">
        <v>45745</v>
      </c>
      <c r="B357" s="43" t="s">
        <v>272</v>
      </c>
      <c r="C357" s="43">
        <v>20250329</v>
      </c>
      <c r="D357" s="43" t="s">
        <v>252</v>
      </c>
      <c r="E357" s="43" t="s">
        <v>14</v>
      </c>
      <c r="F357" s="43">
        <v>10000</v>
      </c>
      <c r="G357" s="43">
        <v>0.55</v>
      </c>
      <c r="H357" s="81">
        <f t="shared" si="12"/>
        <v>5500</v>
      </c>
      <c r="I357" s="43" t="s">
        <v>149</v>
      </c>
      <c r="J357" s="43" t="s">
        <v>46</v>
      </c>
      <c r="K357" s="43"/>
    </row>
    <row r="358" ht="14.25" spans="1:11">
      <c r="A358" s="41">
        <v>45737</v>
      </c>
      <c r="B358" s="43" t="s">
        <v>861</v>
      </c>
      <c r="C358" s="43" t="s">
        <v>862</v>
      </c>
      <c r="D358" s="43" t="s">
        <v>282</v>
      </c>
      <c r="E358" s="43" t="s">
        <v>14</v>
      </c>
      <c r="F358" s="43">
        <v>2100</v>
      </c>
      <c r="G358" s="43">
        <v>0.85</v>
      </c>
      <c r="H358" s="81">
        <f t="shared" si="12"/>
        <v>1785</v>
      </c>
      <c r="I358" s="43" t="s">
        <v>283</v>
      </c>
      <c r="J358" s="43"/>
      <c r="K358" s="43"/>
    </row>
    <row r="359" ht="14.25" spans="1:11">
      <c r="A359" s="41">
        <v>45745</v>
      </c>
      <c r="B359" s="43" t="s">
        <v>861</v>
      </c>
      <c r="C359" s="43" t="s">
        <v>863</v>
      </c>
      <c r="D359" s="43" t="s">
        <v>282</v>
      </c>
      <c r="E359" s="43" t="s">
        <v>14</v>
      </c>
      <c r="F359" s="43">
        <v>2100</v>
      </c>
      <c r="G359" s="43">
        <v>0.85</v>
      </c>
      <c r="H359" s="81">
        <f t="shared" si="12"/>
        <v>1785</v>
      </c>
      <c r="I359" s="43" t="s">
        <v>283</v>
      </c>
      <c r="J359" s="43"/>
      <c r="K359" s="43"/>
    </row>
    <row r="360" ht="14.25" spans="1:11">
      <c r="A360" s="41">
        <v>45741</v>
      </c>
      <c r="B360" s="43" t="s">
        <v>448</v>
      </c>
      <c r="C360" s="43">
        <v>2025030077</v>
      </c>
      <c r="D360" s="43" t="s">
        <v>195</v>
      </c>
      <c r="E360" s="43" t="s">
        <v>60</v>
      </c>
      <c r="F360" s="43">
        <v>100</v>
      </c>
      <c r="G360" s="43">
        <v>0.8</v>
      </c>
      <c r="H360" s="81">
        <f t="shared" ref="H360:H378" si="13">F360*G360</f>
        <v>80</v>
      </c>
      <c r="I360" s="43" t="s">
        <v>864</v>
      </c>
      <c r="J360" s="43"/>
      <c r="K360" s="43"/>
    </row>
    <row r="361" ht="14.25" spans="1:11">
      <c r="A361" s="41">
        <v>45742</v>
      </c>
      <c r="B361" s="43" t="s">
        <v>448</v>
      </c>
      <c r="C361" s="43">
        <v>2025030081</v>
      </c>
      <c r="D361" s="43" t="s">
        <v>865</v>
      </c>
      <c r="E361" s="43" t="s">
        <v>60</v>
      </c>
      <c r="F361" s="43">
        <v>120</v>
      </c>
      <c r="G361" s="43">
        <v>0.6</v>
      </c>
      <c r="H361" s="81">
        <f t="shared" si="13"/>
        <v>72</v>
      </c>
      <c r="I361" s="43" t="s">
        <v>126</v>
      </c>
      <c r="J361" s="43"/>
      <c r="K361" s="43"/>
    </row>
    <row r="362" ht="14.25" spans="1:11">
      <c r="A362" s="41">
        <v>45743</v>
      </c>
      <c r="B362" s="43" t="s">
        <v>866</v>
      </c>
      <c r="C362" s="43"/>
      <c r="D362" s="43">
        <v>1454</v>
      </c>
      <c r="E362" s="43" t="s">
        <v>867</v>
      </c>
      <c r="F362" s="43">
        <v>2000</v>
      </c>
      <c r="G362" s="43">
        <v>1.9</v>
      </c>
      <c r="H362" s="81">
        <f t="shared" si="13"/>
        <v>3800</v>
      </c>
      <c r="I362" s="43" t="s">
        <v>415</v>
      </c>
      <c r="J362" s="43" t="s">
        <v>868</v>
      </c>
      <c r="K362" s="43"/>
    </row>
    <row r="363" ht="14.25" spans="1:11">
      <c r="A363" s="41">
        <v>45741</v>
      </c>
      <c r="B363" s="43" t="s">
        <v>869</v>
      </c>
      <c r="C363" s="43" t="s">
        <v>870</v>
      </c>
      <c r="D363" s="43" t="s">
        <v>871</v>
      </c>
      <c r="E363" s="43" t="s">
        <v>14</v>
      </c>
      <c r="F363" s="43">
        <v>1600</v>
      </c>
      <c r="G363" s="43">
        <v>3.5</v>
      </c>
      <c r="H363" s="81">
        <f t="shared" si="13"/>
        <v>5600</v>
      </c>
      <c r="I363" s="43" t="s">
        <v>872</v>
      </c>
      <c r="J363" s="43"/>
      <c r="K363" s="43"/>
    </row>
    <row r="364" ht="14.25" spans="1:11">
      <c r="A364" s="41">
        <v>45743</v>
      </c>
      <c r="B364" s="43" t="s">
        <v>869</v>
      </c>
      <c r="C364" s="43" t="s">
        <v>873</v>
      </c>
      <c r="D364" s="43" t="s">
        <v>871</v>
      </c>
      <c r="E364" s="43" t="s">
        <v>14</v>
      </c>
      <c r="F364" s="43">
        <v>2450</v>
      </c>
      <c r="G364" s="43">
        <v>3.5</v>
      </c>
      <c r="H364" s="81">
        <f t="shared" si="13"/>
        <v>8575</v>
      </c>
      <c r="I364" s="43" t="s">
        <v>872</v>
      </c>
      <c r="J364" s="43"/>
      <c r="K364" s="43"/>
    </row>
    <row r="365" ht="14.25" spans="1:11">
      <c r="A365" s="41">
        <v>45744</v>
      </c>
      <c r="B365" s="43" t="s">
        <v>869</v>
      </c>
      <c r="C365" s="43" t="s">
        <v>874</v>
      </c>
      <c r="D365" s="43" t="s">
        <v>875</v>
      </c>
      <c r="E365" s="43" t="s">
        <v>447</v>
      </c>
      <c r="F365" s="43">
        <v>1010</v>
      </c>
      <c r="G365" s="43">
        <v>1.9</v>
      </c>
      <c r="H365" s="81">
        <f t="shared" si="13"/>
        <v>1919</v>
      </c>
      <c r="I365" s="43" t="s">
        <v>202</v>
      </c>
      <c r="J365" s="43"/>
      <c r="K365" s="43"/>
    </row>
    <row r="366" ht="14.25" spans="1:11">
      <c r="A366" s="41">
        <v>45744</v>
      </c>
      <c r="B366" s="43" t="s">
        <v>869</v>
      </c>
      <c r="C366" s="43" t="s">
        <v>874</v>
      </c>
      <c r="D366" s="43" t="s">
        <v>876</v>
      </c>
      <c r="E366" s="43" t="s">
        <v>361</v>
      </c>
      <c r="F366" s="43">
        <v>5</v>
      </c>
      <c r="G366" s="43">
        <v>2.25</v>
      </c>
      <c r="H366" s="81">
        <f t="shared" si="13"/>
        <v>11.25</v>
      </c>
      <c r="I366" s="43" t="s">
        <v>77</v>
      </c>
      <c r="J366" s="43"/>
      <c r="K366" s="43"/>
    </row>
    <row r="367" ht="14.25" spans="1:11">
      <c r="A367" s="41">
        <v>45737</v>
      </c>
      <c r="B367" s="43" t="s">
        <v>551</v>
      </c>
      <c r="C367" s="43" t="s">
        <v>877</v>
      </c>
      <c r="D367" s="43" t="s">
        <v>709</v>
      </c>
      <c r="E367" s="43" t="s">
        <v>99</v>
      </c>
      <c r="F367" s="43">
        <v>10010</v>
      </c>
      <c r="G367" s="43">
        <v>0.85</v>
      </c>
      <c r="H367" s="81">
        <f t="shared" si="13"/>
        <v>8508.5</v>
      </c>
      <c r="I367" s="43" t="s">
        <v>330</v>
      </c>
      <c r="J367" s="43" t="s">
        <v>878</v>
      </c>
      <c r="K367" s="43"/>
    </row>
    <row r="368" ht="14.25" spans="1:11">
      <c r="A368" s="41">
        <v>45738</v>
      </c>
      <c r="B368" s="43" t="s">
        <v>879</v>
      </c>
      <c r="C368" s="43" t="s">
        <v>880</v>
      </c>
      <c r="D368" s="43" t="s">
        <v>881</v>
      </c>
      <c r="E368" s="43" t="s">
        <v>14</v>
      </c>
      <c r="F368" s="43">
        <v>2090</v>
      </c>
      <c r="G368" s="43">
        <v>2.2</v>
      </c>
      <c r="H368" s="81">
        <f t="shared" si="13"/>
        <v>4598</v>
      </c>
      <c r="I368" s="43" t="s">
        <v>437</v>
      </c>
      <c r="J368" s="43"/>
      <c r="K368" s="43"/>
    </row>
    <row r="369" ht="14.25" spans="1:11">
      <c r="A369" s="41">
        <v>45740</v>
      </c>
      <c r="B369" s="43" t="s">
        <v>221</v>
      </c>
      <c r="C369" s="43"/>
      <c r="D369" s="43">
        <v>1054</v>
      </c>
      <c r="E369" s="43" t="s">
        <v>867</v>
      </c>
      <c r="F369" s="43">
        <v>2010</v>
      </c>
      <c r="G369" s="43">
        <v>1.05</v>
      </c>
      <c r="H369" s="81">
        <f t="shared" si="13"/>
        <v>2110.5</v>
      </c>
      <c r="I369" s="43" t="s">
        <v>330</v>
      </c>
      <c r="J369" s="43" t="s">
        <v>882</v>
      </c>
      <c r="K369" s="43"/>
    </row>
    <row r="370" ht="14.25" spans="1:11">
      <c r="A370" s="41">
        <v>45744</v>
      </c>
      <c r="B370" s="43" t="s">
        <v>883</v>
      </c>
      <c r="C370" s="43"/>
      <c r="D370" s="43" t="s">
        <v>884</v>
      </c>
      <c r="E370" s="43" t="s">
        <v>14</v>
      </c>
      <c r="F370" s="43">
        <v>10</v>
      </c>
      <c r="G370" s="43">
        <v>2.1</v>
      </c>
      <c r="H370" s="81">
        <f t="shared" si="13"/>
        <v>21</v>
      </c>
      <c r="I370" s="43" t="s">
        <v>406</v>
      </c>
      <c r="J370" s="43"/>
      <c r="K370" s="43"/>
    </row>
    <row r="371" ht="14.25" spans="1:11">
      <c r="A371" s="41">
        <v>45747</v>
      </c>
      <c r="B371" s="43" t="s">
        <v>885</v>
      </c>
      <c r="C371" s="43" t="s">
        <v>886</v>
      </c>
      <c r="D371" s="43" t="s">
        <v>887</v>
      </c>
      <c r="E371" s="43" t="s">
        <v>14</v>
      </c>
      <c r="F371" s="43">
        <v>5</v>
      </c>
      <c r="G371" s="43">
        <v>3.4</v>
      </c>
      <c r="H371" s="81">
        <f t="shared" si="13"/>
        <v>17</v>
      </c>
      <c r="I371" s="43" t="s">
        <v>888</v>
      </c>
      <c r="J371" s="43"/>
      <c r="K371" s="43"/>
    </row>
    <row r="372" ht="14.25" spans="1:11">
      <c r="A372" s="41">
        <v>45733</v>
      </c>
      <c r="B372" s="43" t="s">
        <v>150</v>
      </c>
      <c r="C372" s="43"/>
      <c r="D372" s="43" t="s">
        <v>493</v>
      </c>
      <c r="E372" s="43" t="s">
        <v>14</v>
      </c>
      <c r="F372" s="43">
        <v>37930</v>
      </c>
      <c r="G372" s="43">
        <v>0.83</v>
      </c>
      <c r="H372" s="81">
        <f t="shared" si="13"/>
        <v>31481.9</v>
      </c>
      <c r="I372" s="43" t="s">
        <v>117</v>
      </c>
      <c r="J372" s="43" t="s">
        <v>46</v>
      </c>
      <c r="K372" s="43"/>
    </row>
    <row r="373" ht="14.25" spans="1:11">
      <c r="A373" s="41">
        <v>45746</v>
      </c>
      <c r="B373" s="43" t="s">
        <v>150</v>
      </c>
      <c r="C373" s="43"/>
      <c r="D373" s="43" t="s">
        <v>493</v>
      </c>
      <c r="E373" s="43" t="s">
        <v>14</v>
      </c>
      <c r="F373" s="43">
        <v>45000</v>
      </c>
      <c r="G373" s="43">
        <v>0.83</v>
      </c>
      <c r="H373" s="81">
        <f t="shared" si="13"/>
        <v>37350</v>
      </c>
      <c r="I373" s="43" t="s">
        <v>61</v>
      </c>
      <c r="J373" s="43" t="s">
        <v>46</v>
      </c>
      <c r="K373" s="43"/>
    </row>
    <row r="374" ht="14.25" spans="1:11">
      <c r="A374" s="41">
        <v>45745</v>
      </c>
      <c r="B374" s="43" t="s">
        <v>889</v>
      </c>
      <c r="C374" s="43" t="s">
        <v>890</v>
      </c>
      <c r="D374" s="43" t="s">
        <v>277</v>
      </c>
      <c r="E374" s="43" t="s">
        <v>14</v>
      </c>
      <c r="F374" s="43">
        <v>20000</v>
      </c>
      <c r="G374" s="43">
        <v>0.9</v>
      </c>
      <c r="H374" s="81">
        <f t="shared" si="13"/>
        <v>18000</v>
      </c>
      <c r="I374" s="43" t="s">
        <v>61</v>
      </c>
      <c r="J374" s="43" t="s">
        <v>46</v>
      </c>
      <c r="K374" s="43"/>
    </row>
    <row r="375" ht="14.25" spans="1:11">
      <c r="A375" s="41">
        <v>45743</v>
      </c>
      <c r="B375" s="43" t="s">
        <v>889</v>
      </c>
      <c r="C375" s="43"/>
      <c r="D375" s="43" t="s">
        <v>277</v>
      </c>
      <c r="E375" s="43" t="s">
        <v>14</v>
      </c>
      <c r="F375" s="43">
        <v>20000</v>
      </c>
      <c r="G375" s="43">
        <v>0.9</v>
      </c>
      <c r="H375" s="81">
        <f t="shared" si="13"/>
        <v>18000</v>
      </c>
      <c r="I375" s="43" t="s">
        <v>891</v>
      </c>
      <c r="J375" s="43" t="s">
        <v>46</v>
      </c>
      <c r="K375" s="43"/>
    </row>
    <row r="376" ht="14.25" spans="1:11">
      <c r="A376" s="41">
        <v>45739</v>
      </c>
      <c r="B376" s="43" t="s">
        <v>889</v>
      </c>
      <c r="C376" s="43" t="s">
        <v>892</v>
      </c>
      <c r="D376" s="43" t="s">
        <v>277</v>
      </c>
      <c r="E376" s="43" t="s">
        <v>14</v>
      </c>
      <c r="F376" s="43">
        <v>3500</v>
      </c>
      <c r="G376" s="43">
        <v>0.9</v>
      </c>
      <c r="H376" s="81">
        <f t="shared" si="13"/>
        <v>3150</v>
      </c>
      <c r="I376" s="43" t="s">
        <v>278</v>
      </c>
      <c r="J376" s="43" t="s">
        <v>46</v>
      </c>
      <c r="K376" s="43"/>
    </row>
    <row r="377" ht="14.25" spans="1:11">
      <c r="A377" s="41">
        <v>45745</v>
      </c>
      <c r="B377" s="43" t="s">
        <v>174</v>
      </c>
      <c r="C377" s="87" t="s">
        <v>893</v>
      </c>
      <c r="D377" s="43" t="s">
        <v>130</v>
      </c>
      <c r="E377" s="43" t="s">
        <v>60</v>
      </c>
      <c r="F377" s="43">
        <v>60400</v>
      </c>
      <c r="G377" s="43">
        <v>0.455</v>
      </c>
      <c r="H377" s="81">
        <f t="shared" si="13"/>
        <v>27482</v>
      </c>
      <c r="I377" s="43" t="s">
        <v>149</v>
      </c>
      <c r="J377" s="43"/>
      <c r="K377" s="43"/>
    </row>
    <row r="378" ht="14.25" spans="1:11">
      <c r="A378" s="84">
        <v>45719</v>
      </c>
      <c r="B378" s="43" t="s">
        <v>138</v>
      </c>
      <c r="C378" s="43">
        <v>2025304</v>
      </c>
      <c r="D378" s="43" t="s">
        <v>557</v>
      </c>
      <c r="E378" s="43" t="s">
        <v>558</v>
      </c>
      <c r="F378" s="43">
        <v>20000</v>
      </c>
      <c r="G378" s="43">
        <v>0.01</v>
      </c>
      <c r="H378" s="81">
        <f t="shared" si="13"/>
        <v>200</v>
      </c>
      <c r="I378" s="43"/>
      <c r="J378" s="43"/>
      <c r="K378" s="43">
        <v>3.3</v>
      </c>
    </row>
    <row r="379" spans="1:11">
      <c r="A379" s="84">
        <v>45720</v>
      </c>
      <c r="B379" s="43" t="s">
        <v>138</v>
      </c>
      <c r="C379" s="43">
        <v>2025304</v>
      </c>
      <c r="D379" s="43" t="s">
        <v>894</v>
      </c>
      <c r="E379" s="43" t="s">
        <v>895</v>
      </c>
      <c r="F379" s="43">
        <v>500</v>
      </c>
      <c r="G379" s="43"/>
      <c r="H379" s="43">
        <v>60</v>
      </c>
      <c r="I379" s="43"/>
      <c r="J379" s="43"/>
      <c r="K379" s="43"/>
    </row>
    <row r="380" spans="1:11">
      <c r="A380" s="84">
        <v>45721</v>
      </c>
      <c r="B380" s="43" t="s">
        <v>138</v>
      </c>
      <c r="C380" s="43">
        <v>2025304</v>
      </c>
      <c r="D380" s="43" t="s">
        <v>896</v>
      </c>
      <c r="E380" s="43" t="s">
        <v>897</v>
      </c>
      <c r="F380" s="43">
        <v>6000</v>
      </c>
      <c r="G380" s="43"/>
      <c r="H380" s="43">
        <v>150</v>
      </c>
      <c r="I380" s="43" t="s">
        <v>278</v>
      </c>
      <c r="J380" s="43"/>
      <c r="K380" s="43"/>
    </row>
    <row r="381" spans="1:11">
      <c r="A381" s="84">
        <v>45722</v>
      </c>
      <c r="B381" s="43" t="s">
        <v>138</v>
      </c>
      <c r="C381" s="43">
        <v>2025304</v>
      </c>
      <c r="D381" s="43" t="s">
        <v>898</v>
      </c>
      <c r="E381" s="43" t="s">
        <v>895</v>
      </c>
      <c r="F381" s="43">
        <v>20000</v>
      </c>
      <c r="G381" s="43">
        <v>0.01</v>
      </c>
      <c r="H381" s="43">
        <f>F381*G381</f>
        <v>200</v>
      </c>
      <c r="I381" s="43" t="s">
        <v>45</v>
      </c>
      <c r="J381" s="43"/>
      <c r="K381" s="43"/>
    </row>
    <row r="382" spans="1:11">
      <c r="A382" s="84">
        <v>45735</v>
      </c>
      <c r="B382" s="43" t="s">
        <v>138</v>
      </c>
      <c r="C382" s="43">
        <v>2025304</v>
      </c>
      <c r="D382" s="43" t="s">
        <v>899</v>
      </c>
      <c r="E382" s="43" t="s">
        <v>900</v>
      </c>
      <c r="F382" s="43">
        <v>4050</v>
      </c>
      <c r="G382" s="43"/>
      <c r="H382" s="43">
        <v>150</v>
      </c>
      <c r="I382" s="43" t="s">
        <v>415</v>
      </c>
      <c r="J382" s="43"/>
      <c r="K382" s="43"/>
    </row>
    <row r="383" spans="1:11">
      <c r="A383" s="43" t="s">
        <v>279</v>
      </c>
      <c r="B383" s="43"/>
      <c r="C383" s="43"/>
      <c r="D383" s="43"/>
      <c r="E383" s="43"/>
      <c r="F383" s="43"/>
      <c r="G383" s="43"/>
      <c r="H383" s="53">
        <f>SUM(H2:H382)</f>
        <v>3606827.24</v>
      </c>
      <c r="I383" s="53"/>
      <c r="J383" s="53"/>
      <c r="K383" s="53"/>
    </row>
  </sheetData>
  <autoFilter xmlns:etc="http://www.wps.cn/officeDocument/2017/etCustomData" ref="A1:L383" etc:filterBottomFollowUsedRange="0">
    <extLst/>
  </autoFilter>
  <mergeCells count="1">
    <mergeCell ref="A383:G38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0"/>
  <sheetViews>
    <sheetView workbookViewId="0">
      <selection activeCell="A2" sqref="A2"/>
    </sheetView>
  </sheetViews>
  <sheetFormatPr defaultColWidth="9" defaultRowHeight="13.5"/>
  <cols>
    <col min="2" max="2" width="13.375" customWidth="1"/>
    <col min="3" max="3" width="22.25" customWidth="1"/>
    <col min="4" max="4" width="23.75" customWidth="1"/>
    <col min="5" max="5" width="16.25" customWidth="1"/>
    <col min="8" max="8" width="11.5"/>
    <col min="9" max="9" width="13.125" customWidth="1"/>
    <col min="10" max="10" width="18.875" customWidth="1"/>
  </cols>
  <sheetData>
    <row r="1" s="32" customFormat="1" ht="19" customHeight="1" spans="1:11">
      <c r="A1" s="75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8" t="s">
        <v>7</v>
      </c>
      <c r="I1" s="76" t="s">
        <v>8</v>
      </c>
      <c r="J1" s="76" t="s">
        <v>9</v>
      </c>
      <c r="K1" s="76" t="s">
        <v>10</v>
      </c>
    </row>
    <row r="2" spans="1:11">
      <c r="A2" s="41">
        <v>45748</v>
      </c>
      <c r="B2" s="43" t="s">
        <v>91</v>
      </c>
      <c r="C2" s="43" t="s">
        <v>901</v>
      </c>
      <c r="D2" s="43" t="s">
        <v>902</v>
      </c>
      <c r="E2" s="43" t="s">
        <v>14</v>
      </c>
      <c r="F2" s="43">
        <v>4</v>
      </c>
      <c r="G2" s="43">
        <v>5</v>
      </c>
      <c r="H2" s="43">
        <f t="shared" ref="H2:H41" si="0">F2*G2</f>
        <v>20</v>
      </c>
      <c r="I2" s="43" t="s">
        <v>903</v>
      </c>
      <c r="J2" s="43"/>
      <c r="K2" s="43"/>
    </row>
    <row r="3" spans="1:11">
      <c r="A3" s="41">
        <v>45750</v>
      </c>
      <c r="B3" s="43" t="s">
        <v>91</v>
      </c>
      <c r="C3" s="43" t="s">
        <v>904</v>
      </c>
      <c r="D3" s="43" t="s">
        <v>95</v>
      </c>
      <c r="E3" s="43" t="s">
        <v>14</v>
      </c>
      <c r="F3" s="43">
        <v>7405</v>
      </c>
      <c r="G3" s="43">
        <v>4.5</v>
      </c>
      <c r="H3" s="43">
        <f t="shared" si="0"/>
        <v>33322.5</v>
      </c>
      <c r="I3" s="43" t="s">
        <v>94</v>
      </c>
      <c r="J3" s="43"/>
      <c r="K3" s="43"/>
    </row>
    <row r="4" spans="1:11">
      <c r="A4" s="41">
        <v>45750</v>
      </c>
      <c r="B4" s="43" t="s">
        <v>91</v>
      </c>
      <c r="C4" s="43" t="s">
        <v>904</v>
      </c>
      <c r="D4" s="43" t="s">
        <v>905</v>
      </c>
      <c r="E4" s="43" t="s">
        <v>14</v>
      </c>
      <c r="F4" s="43">
        <v>5</v>
      </c>
      <c r="G4" s="43">
        <v>9.6</v>
      </c>
      <c r="H4" s="43">
        <f t="shared" si="0"/>
        <v>48</v>
      </c>
      <c r="I4" s="43" t="s">
        <v>94</v>
      </c>
      <c r="J4" s="43"/>
      <c r="K4" s="43"/>
    </row>
    <row r="5" spans="1:11">
      <c r="A5" s="41">
        <v>45748</v>
      </c>
      <c r="B5" s="43" t="s">
        <v>906</v>
      </c>
      <c r="C5" s="43" t="s">
        <v>907</v>
      </c>
      <c r="D5" s="43" t="s">
        <v>908</v>
      </c>
      <c r="E5" s="43" t="s">
        <v>158</v>
      </c>
      <c r="F5" s="43">
        <v>10000</v>
      </c>
      <c r="G5" s="43">
        <v>0.3</v>
      </c>
      <c r="H5" s="43">
        <f t="shared" si="0"/>
        <v>3000</v>
      </c>
      <c r="I5" s="43" t="s">
        <v>909</v>
      </c>
      <c r="J5" s="43"/>
      <c r="K5" s="43"/>
    </row>
    <row r="6" spans="1:11">
      <c r="A6" s="41">
        <v>45759</v>
      </c>
      <c r="B6" s="43" t="s">
        <v>906</v>
      </c>
      <c r="C6" s="43" t="s">
        <v>910</v>
      </c>
      <c r="D6" s="43" t="s">
        <v>908</v>
      </c>
      <c r="E6" s="43" t="s">
        <v>158</v>
      </c>
      <c r="F6" s="43">
        <v>5000</v>
      </c>
      <c r="G6" s="43">
        <v>0.3</v>
      </c>
      <c r="H6" s="43">
        <f t="shared" si="0"/>
        <v>1500</v>
      </c>
      <c r="I6" s="43" t="s">
        <v>166</v>
      </c>
      <c r="J6" s="43" t="s">
        <v>46</v>
      </c>
      <c r="K6" s="43"/>
    </row>
    <row r="7" spans="1:11">
      <c r="A7" s="41">
        <v>45761</v>
      </c>
      <c r="B7" s="43" t="s">
        <v>906</v>
      </c>
      <c r="C7" s="43" t="s">
        <v>911</v>
      </c>
      <c r="D7" s="43" t="s">
        <v>908</v>
      </c>
      <c r="E7" s="43" t="s">
        <v>158</v>
      </c>
      <c r="F7" s="43">
        <v>15000</v>
      </c>
      <c r="G7" s="43">
        <v>0.3</v>
      </c>
      <c r="H7" s="43">
        <f t="shared" si="0"/>
        <v>4500</v>
      </c>
      <c r="I7" s="43" t="s">
        <v>61</v>
      </c>
      <c r="J7" s="43" t="s">
        <v>912</v>
      </c>
      <c r="K7" s="43"/>
    </row>
    <row r="8" s="35" customFormat="1" spans="1:11">
      <c r="A8" s="44">
        <v>45749</v>
      </c>
      <c r="B8" s="45" t="s">
        <v>477</v>
      </c>
      <c r="C8" s="45" t="s">
        <v>913</v>
      </c>
      <c r="D8" s="45" t="s">
        <v>93</v>
      </c>
      <c r="E8" s="45" t="s">
        <v>14</v>
      </c>
      <c r="F8" s="45">
        <v>2310</v>
      </c>
      <c r="G8" s="45">
        <v>3.8</v>
      </c>
      <c r="H8" s="45">
        <f t="shared" si="0"/>
        <v>8778</v>
      </c>
      <c r="I8" s="45" t="s">
        <v>94</v>
      </c>
      <c r="J8" s="45"/>
      <c r="K8" s="45"/>
    </row>
    <row r="9" s="35" customFormat="1" spans="1:11">
      <c r="A9" s="44">
        <v>45765</v>
      </c>
      <c r="B9" s="45" t="s">
        <v>477</v>
      </c>
      <c r="C9" s="45" t="s">
        <v>914</v>
      </c>
      <c r="D9" s="45" t="s">
        <v>474</v>
      </c>
      <c r="E9" s="45" t="s">
        <v>14</v>
      </c>
      <c r="F9" s="45">
        <v>20000</v>
      </c>
      <c r="G9" s="45">
        <v>2.25</v>
      </c>
      <c r="H9" s="45">
        <f t="shared" si="0"/>
        <v>45000</v>
      </c>
      <c r="I9" s="45" t="s">
        <v>94</v>
      </c>
      <c r="J9" s="45"/>
      <c r="K9" s="45"/>
    </row>
    <row r="10" s="35" customFormat="1" spans="1:11">
      <c r="A10" s="44">
        <v>45765</v>
      </c>
      <c r="B10" s="45" t="s">
        <v>477</v>
      </c>
      <c r="C10" s="45" t="s">
        <v>914</v>
      </c>
      <c r="D10" s="45" t="s">
        <v>93</v>
      </c>
      <c r="E10" s="45" t="s">
        <v>14</v>
      </c>
      <c r="F10" s="45">
        <v>10000</v>
      </c>
      <c r="G10" s="45">
        <v>3.8</v>
      </c>
      <c r="H10" s="45">
        <f t="shared" si="0"/>
        <v>38000</v>
      </c>
      <c r="I10" s="45" t="s">
        <v>94</v>
      </c>
      <c r="J10" s="45"/>
      <c r="K10" s="45"/>
    </row>
    <row r="11" s="35" customFormat="1" spans="1:11">
      <c r="A11" s="44">
        <v>45768</v>
      </c>
      <c r="B11" s="45" t="s">
        <v>477</v>
      </c>
      <c r="C11" s="45" t="s">
        <v>915</v>
      </c>
      <c r="D11" s="45" t="s">
        <v>474</v>
      </c>
      <c r="E11" s="45" t="s">
        <v>14</v>
      </c>
      <c r="F11" s="45">
        <v>10000</v>
      </c>
      <c r="G11" s="45">
        <v>2.25</v>
      </c>
      <c r="H11" s="45">
        <f t="shared" si="0"/>
        <v>22500</v>
      </c>
      <c r="I11" s="45" t="s">
        <v>94</v>
      </c>
      <c r="J11" s="45"/>
      <c r="K11" s="45"/>
    </row>
    <row r="12" s="35" customFormat="1" spans="1:11">
      <c r="A12" s="44">
        <v>45768</v>
      </c>
      <c r="B12" s="45" t="s">
        <v>477</v>
      </c>
      <c r="C12" s="45" t="s">
        <v>916</v>
      </c>
      <c r="D12" s="45" t="s">
        <v>917</v>
      </c>
      <c r="E12" s="45" t="s">
        <v>14</v>
      </c>
      <c r="F12" s="45">
        <v>1352</v>
      </c>
      <c r="G12" s="45">
        <v>3.7</v>
      </c>
      <c r="H12" s="45">
        <f t="shared" si="0"/>
        <v>5002.4</v>
      </c>
      <c r="I12" s="45" t="s">
        <v>94</v>
      </c>
      <c r="J12" s="45"/>
      <c r="K12" s="45"/>
    </row>
    <row r="13" spans="1:11">
      <c r="A13" s="41">
        <v>45768</v>
      </c>
      <c r="B13" s="43" t="s">
        <v>477</v>
      </c>
      <c r="C13" s="43" t="s">
        <v>918</v>
      </c>
      <c r="D13" s="43" t="s">
        <v>919</v>
      </c>
      <c r="E13" s="43" t="s">
        <v>14</v>
      </c>
      <c r="F13" s="43">
        <v>2</v>
      </c>
      <c r="G13" s="43">
        <v>4.2</v>
      </c>
      <c r="H13" s="43">
        <f t="shared" si="0"/>
        <v>8.4</v>
      </c>
      <c r="I13" s="43" t="s">
        <v>920</v>
      </c>
      <c r="J13" s="43"/>
      <c r="K13" s="43"/>
    </row>
    <row r="14" spans="1:11">
      <c r="A14" s="41">
        <v>45768</v>
      </c>
      <c r="B14" s="43" t="s">
        <v>477</v>
      </c>
      <c r="C14" s="43" t="s">
        <v>918</v>
      </c>
      <c r="D14" s="43" t="s">
        <v>921</v>
      </c>
      <c r="E14" s="43" t="s">
        <v>14</v>
      </c>
      <c r="F14" s="43">
        <v>2</v>
      </c>
      <c r="G14" s="43">
        <v>4.5</v>
      </c>
      <c r="H14" s="43">
        <f t="shared" si="0"/>
        <v>9</v>
      </c>
      <c r="I14" s="43" t="s">
        <v>920</v>
      </c>
      <c r="J14" s="43"/>
      <c r="K14" s="43"/>
    </row>
    <row r="15" spans="1:11">
      <c r="A15" s="41">
        <v>45768</v>
      </c>
      <c r="B15" s="43" t="s">
        <v>477</v>
      </c>
      <c r="C15" s="43" t="s">
        <v>918</v>
      </c>
      <c r="D15" s="43" t="s">
        <v>922</v>
      </c>
      <c r="E15" s="43" t="s">
        <v>14</v>
      </c>
      <c r="F15" s="43">
        <v>2</v>
      </c>
      <c r="G15" s="43">
        <v>6.1</v>
      </c>
      <c r="H15" s="43">
        <f t="shared" si="0"/>
        <v>12.2</v>
      </c>
      <c r="I15" s="43" t="s">
        <v>920</v>
      </c>
      <c r="J15" s="43"/>
      <c r="K15" s="43"/>
    </row>
    <row r="16" spans="1:11">
      <c r="A16" s="41">
        <v>45768</v>
      </c>
      <c r="B16" s="43" t="s">
        <v>477</v>
      </c>
      <c r="C16" s="43" t="s">
        <v>918</v>
      </c>
      <c r="D16" s="43" t="s">
        <v>478</v>
      </c>
      <c r="E16" s="43" t="s">
        <v>14</v>
      </c>
      <c r="F16" s="43">
        <v>2</v>
      </c>
      <c r="G16" s="43">
        <v>5</v>
      </c>
      <c r="H16" s="43">
        <f t="shared" si="0"/>
        <v>10</v>
      </c>
      <c r="I16" s="43" t="s">
        <v>920</v>
      </c>
      <c r="J16" s="43"/>
      <c r="K16" s="43"/>
    </row>
    <row r="17" spans="1:11">
      <c r="A17" s="41">
        <v>45768</v>
      </c>
      <c r="B17" s="43" t="s">
        <v>477</v>
      </c>
      <c r="C17" s="43" t="s">
        <v>918</v>
      </c>
      <c r="D17" s="43" t="s">
        <v>923</v>
      </c>
      <c r="E17" s="43" t="s">
        <v>14</v>
      </c>
      <c r="F17" s="43">
        <v>2</v>
      </c>
      <c r="G17" s="43">
        <v>7.1</v>
      </c>
      <c r="H17" s="43">
        <f t="shared" si="0"/>
        <v>14.2</v>
      </c>
      <c r="I17" s="43" t="s">
        <v>920</v>
      </c>
      <c r="J17" s="43"/>
      <c r="K17" s="43"/>
    </row>
    <row r="18" spans="1:11">
      <c r="A18" s="41">
        <v>45768</v>
      </c>
      <c r="B18" s="43" t="s">
        <v>477</v>
      </c>
      <c r="C18" s="43" t="s">
        <v>918</v>
      </c>
      <c r="D18" s="43" t="s">
        <v>924</v>
      </c>
      <c r="E18" s="43" t="s">
        <v>14</v>
      </c>
      <c r="F18" s="43">
        <v>2</v>
      </c>
      <c r="G18" s="43">
        <v>9</v>
      </c>
      <c r="H18" s="43">
        <f t="shared" si="0"/>
        <v>18</v>
      </c>
      <c r="I18" s="43" t="s">
        <v>920</v>
      </c>
      <c r="J18" s="43"/>
      <c r="K18" s="43"/>
    </row>
    <row r="19" spans="1:11">
      <c r="A19" s="41">
        <v>45768</v>
      </c>
      <c r="B19" s="43" t="s">
        <v>477</v>
      </c>
      <c r="C19" s="43" t="s">
        <v>918</v>
      </c>
      <c r="D19" s="43" t="s">
        <v>905</v>
      </c>
      <c r="E19" s="43" t="s">
        <v>14</v>
      </c>
      <c r="F19" s="43">
        <v>2</v>
      </c>
      <c r="G19" s="43">
        <v>9.4</v>
      </c>
      <c r="H19" s="43">
        <f t="shared" si="0"/>
        <v>18.8</v>
      </c>
      <c r="I19" s="43" t="s">
        <v>920</v>
      </c>
      <c r="J19" s="43"/>
      <c r="K19" s="43"/>
    </row>
    <row r="20" s="35" customFormat="1" spans="1:11">
      <c r="A20" s="44">
        <v>45771</v>
      </c>
      <c r="B20" s="45" t="s">
        <v>477</v>
      </c>
      <c r="C20" s="45" t="s">
        <v>925</v>
      </c>
      <c r="D20" s="45" t="s">
        <v>305</v>
      </c>
      <c r="E20" s="45" t="s">
        <v>14</v>
      </c>
      <c r="F20" s="45">
        <v>10</v>
      </c>
      <c r="G20" s="45">
        <v>2.9</v>
      </c>
      <c r="H20" s="45">
        <f t="shared" si="0"/>
        <v>29</v>
      </c>
      <c r="I20" s="45" t="s">
        <v>926</v>
      </c>
      <c r="J20" s="45"/>
      <c r="K20" s="45"/>
    </row>
    <row r="21" s="35" customFormat="1" spans="1:11">
      <c r="A21" s="44">
        <v>45771</v>
      </c>
      <c r="B21" s="45" t="s">
        <v>477</v>
      </c>
      <c r="C21" s="45" t="s">
        <v>925</v>
      </c>
      <c r="D21" s="45" t="s">
        <v>919</v>
      </c>
      <c r="E21" s="45" t="s">
        <v>14</v>
      </c>
      <c r="F21" s="45">
        <v>2</v>
      </c>
      <c r="G21" s="45">
        <v>4.2</v>
      </c>
      <c r="H21" s="45">
        <f t="shared" si="0"/>
        <v>8.4</v>
      </c>
      <c r="I21" s="45" t="s">
        <v>920</v>
      </c>
      <c r="J21" s="45"/>
      <c r="K21" s="45"/>
    </row>
    <row r="22" s="35" customFormat="1" spans="1:11">
      <c r="A22" s="44">
        <v>45771</v>
      </c>
      <c r="B22" s="45" t="s">
        <v>477</v>
      </c>
      <c r="C22" s="45" t="s">
        <v>925</v>
      </c>
      <c r="D22" s="45" t="s">
        <v>95</v>
      </c>
      <c r="E22" s="45" t="s">
        <v>14</v>
      </c>
      <c r="F22" s="45">
        <v>9</v>
      </c>
      <c r="G22" s="45">
        <v>4.3</v>
      </c>
      <c r="H22" s="45">
        <f t="shared" si="0"/>
        <v>38.7</v>
      </c>
      <c r="I22" s="45" t="s">
        <v>587</v>
      </c>
      <c r="J22" s="45"/>
      <c r="K22" s="45"/>
    </row>
    <row r="23" spans="1:11">
      <c r="A23" s="41">
        <v>45776</v>
      </c>
      <c r="B23" s="43" t="s">
        <v>477</v>
      </c>
      <c r="C23" s="43" t="s">
        <v>927</v>
      </c>
      <c r="D23" s="43" t="s">
        <v>95</v>
      </c>
      <c r="E23" s="43" t="s">
        <v>14</v>
      </c>
      <c r="F23" s="43">
        <v>900</v>
      </c>
      <c r="G23" s="43">
        <v>4.3</v>
      </c>
      <c r="H23" s="43">
        <f t="shared" si="0"/>
        <v>3870</v>
      </c>
      <c r="I23" s="43" t="s">
        <v>94</v>
      </c>
      <c r="J23" s="43"/>
      <c r="K23" s="43"/>
    </row>
    <row r="24" spans="1:11">
      <c r="A24" s="41">
        <v>45748</v>
      </c>
      <c r="B24" s="43" t="s">
        <v>260</v>
      </c>
      <c r="C24" s="43" t="s">
        <v>928</v>
      </c>
      <c r="D24" s="43" t="s">
        <v>234</v>
      </c>
      <c r="E24" s="43" t="s">
        <v>14</v>
      </c>
      <c r="F24" s="45">
        <v>2065</v>
      </c>
      <c r="G24" s="45">
        <v>1.1</v>
      </c>
      <c r="H24" s="43">
        <f t="shared" si="0"/>
        <v>2271.5</v>
      </c>
      <c r="I24" s="43" t="s">
        <v>271</v>
      </c>
      <c r="J24" s="43"/>
      <c r="K24" s="43"/>
    </row>
    <row r="25" spans="1:11">
      <c r="A25" s="41">
        <v>45750</v>
      </c>
      <c r="B25" s="43" t="s">
        <v>260</v>
      </c>
      <c r="C25" s="43" t="s">
        <v>929</v>
      </c>
      <c r="D25" s="43" t="s">
        <v>390</v>
      </c>
      <c r="E25" s="43" t="s">
        <v>14</v>
      </c>
      <c r="F25" s="45">
        <v>5000</v>
      </c>
      <c r="G25" s="45">
        <v>1.2</v>
      </c>
      <c r="H25" s="43">
        <f t="shared" si="0"/>
        <v>6000</v>
      </c>
      <c r="I25" s="43" t="s">
        <v>300</v>
      </c>
      <c r="J25" s="43"/>
      <c r="K25" s="43"/>
    </row>
    <row r="26" spans="1:11">
      <c r="A26" s="41">
        <v>45750</v>
      </c>
      <c r="B26" s="43" t="s">
        <v>260</v>
      </c>
      <c r="C26" s="43" t="s">
        <v>929</v>
      </c>
      <c r="D26" s="43" t="s">
        <v>576</v>
      </c>
      <c r="E26" s="43" t="s">
        <v>14</v>
      </c>
      <c r="F26" s="45">
        <v>5000</v>
      </c>
      <c r="G26" s="45">
        <v>1.38</v>
      </c>
      <c r="H26" s="43">
        <f t="shared" si="0"/>
        <v>6900</v>
      </c>
      <c r="I26" s="43" t="s">
        <v>300</v>
      </c>
      <c r="J26" s="43"/>
      <c r="K26" s="43"/>
    </row>
    <row r="27" spans="1:11">
      <c r="A27" s="41">
        <v>45750</v>
      </c>
      <c r="B27" s="43" t="s">
        <v>260</v>
      </c>
      <c r="C27" s="43" t="s">
        <v>929</v>
      </c>
      <c r="D27" s="43" t="s">
        <v>392</v>
      </c>
      <c r="E27" s="43" t="s">
        <v>14</v>
      </c>
      <c r="F27" s="45">
        <v>2000</v>
      </c>
      <c r="G27" s="45">
        <v>1.15</v>
      </c>
      <c r="H27" s="43">
        <f t="shared" si="0"/>
        <v>2300</v>
      </c>
      <c r="I27" s="43" t="s">
        <v>300</v>
      </c>
      <c r="J27" s="43"/>
      <c r="K27" s="43"/>
    </row>
    <row r="28" spans="1:11">
      <c r="A28" s="41">
        <v>45753</v>
      </c>
      <c r="B28" s="43" t="s">
        <v>260</v>
      </c>
      <c r="C28" s="43" t="s">
        <v>930</v>
      </c>
      <c r="D28" s="43" t="s">
        <v>50</v>
      </c>
      <c r="E28" s="43" t="s">
        <v>14</v>
      </c>
      <c r="F28" s="45">
        <v>105</v>
      </c>
      <c r="G28" s="45">
        <v>1.18</v>
      </c>
      <c r="H28" s="43">
        <f t="shared" si="0"/>
        <v>123.9</v>
      </c>
      <c r="I28" s="43" t="s">
        <v>28</v>
      </c>
      <c r="J28" s="43"/>
      <c r="K28" s="43"/>
    </row>
    <row r="29" spans="1:11">
      <c r="A29" s="41">
        <v>45756</v>
      </c>
      <c r="B29" s="43" t="s">
        <v>260</v>
      </c>
      <c r="C29" s="43" t="s">
        <v>931</v>
      </c>
      <c r="D29" s="43" t="s">
        <v>707</v>
      </c>
      <c r="E29" s="43" t="s">
        <v>14</v>
      </c>
      <c r="F29" s="45">
        <v>15</v>
      </c>
      <c r="G29" s="45">
        <v>1</v>
      </c>
      <c r="H29" s="43">
        <f t="shared" si="0"/>
        <v>15</v>
      </c>
      <c r="I29" s="43" t="s">
        <v>32</v>
      </c>
      <c r="J29" s="43"/>
      <c r="K29" s="43"/>
    </row>
    <row r="30" spans="1:11">
      <c r="A30" s="41">
        <v>45758</v>
      </c>
      <c r="B30" s="43" t="s">
        <v>260</v>
      </c>
      <c r="C30" s="43" t="s">
        <v>932</v>
      </c>
      <c r="D30" s="43" t="s">
        <v>933</v>
      </c>
      <c r="E30" s="43" t="s">
        <v>14</v>
      </c>
      <c r="F30" s="45">
        <v>30</v>
      </c>
      <c r="G30" s="45">
        <v>0.85</v>
      </c>
      <c r="H30" s="43">
        <f t="shared" si="0"/>
        <v>25.5</v>
      </c>
      <c r="I30" s="43" t="s">
        <v>71</v>
      </c>
      <c r="J30" s="43"/>
      <c r="K30" s="43"/>
    </row>
    <row r="31" spans="1:11">
      <c r="A31" s="41">
        <v>45759</v>
      </c>
      <c r="B31" s="43" t="s">
        <v>260</v>
      </c>
      <c r="C31" s="43" t="s">
        <v>934</v>
      </c>
      <c r="D31" s="43" t="s">
        <v>392</v>
      </c>
      <c r="E31" s="43" t="s">
        <v>14</v>
      </c>
      <c r="F31" s="45">
        <v>100</v>
      </c>
      <c r="G31" s="45">
        <v>1.15</v>
      </c>
      <c r="H31" s="43">
        <f t="shared" si="0"/>
        <v>115</v>
      </c>
      <c r="I31" s="43" t="s">
        <v>271</v>
      </c>
      <c r="J31" s="43"/>
      <c r="K31" s="43"/>
    </row>
    <row r="32" spans="1:11">
      <c r="A32" s="79">
        <v>45764</v>
      </c>
      <c r="B32" s="43" t="s">
        <v>260</v>
      </c>
      <c r="C32" s="43" t="s">
        <v>935</v>
      </c>
      <c r="D32" s="43" t="s">
        <v>884</v>
      </c>
      <c r="E32" s="43" t="s">
        <v>14</v>
      </c>
      <c r="F32" s="43">
        <v>510</v>
      </c>
      <c r="G32" s="43">
        <v>1.9</v>
      </c>
      <c r="H32" s="43">
        <f t="shared" si="0"/>
        <v>969</v>
      </c>
      <c r="I32" s="43" t="s">
        <v>406</v>
      </c>
      <c r="J32" s="43"/>
      <c r="K32" s="43"/>
    </row>
    <row r="33" spans="1:11">
      <c r="A33" s="79">
        <v>45764</v>
      </c>
      <c r="B33" s="43" t="s">
        <v>260</v>
      </c>
      <c r="C33" s="43" t="s">
        <v>935</v>
      </c>
      <c r="D33" s="43" t="s">
        <v>936</v>
      </c>
      <c r="E33" s="43" t="s">
        <v>14</v>
      </c>
      <c r="F33" s="43">
        <v>51</v>
      </c>
      <c r="G33" s="43">
        <v>2</v>
      </c>
      <c r="H33" s="43">
        <f t="shared" si="0"/>
        <v>102</v>
      </c>
      <c r="I33" s="43" t="s">
        <v>28</v>
      </c>
      <c r="J33" s="43"/>
      <c r="K33" s="43"/>
    </row>
    <row r="34" spans="1:11">
      <c r="A34" s="79">
        <v>45764</v>
      </c>
      <c r="B34" s="43" t="s">
        <v>260</v>
      </c>
      <c r="C34" s="43" t="s">
        <v>935</v>
      </c>
      <c r="D34" s="43" t="s">
        <v>523</v>
      </c>
      <c r="E34" s="43" t="s">
        <v>14</v>
      </c>
      <c r="F34" s="43">
        <v>10</v>
      </c>
      <c r="G34" s="43">
        <v>0.8</v>
      </c>
      <c r="H34" s="43">
        <f t="shared" si="0"/>
        <v>8</v>
      </c>
      <c r="I34" s="43" t="s">
        <v>32</v>
      </c>
      <c r="J34" s="43"/>
      <c r="K34" s="43"/>
    </row>
    <row r="35" spans="1:11">
      <c r="A35" s="79">
        <v>45764</v>
      </c>
      <c r="B35" s="43" t="s">
        <v>260</v>
      </c>
      <c r="C35" s="43" t="s">
        <v>935</v>
      </c>
      <c r="D35" s="43" t="s">
        <v>27</v>
      </c>
      <c r="E35" s="43" t="s">
        <v>14</v>
      </c>
      <c r="F35" s="43">
        <v>10</v>
      </c>
      <c r="G35" s="43">
        <v>1.8</v>
      </c>
      <c r="H35" s="43">
        <f t="shared" si="0"/>
        <v>18</v>
      </c>
      <c r="I35" s="43" t="s">
        <v>39</v>
      </c>
      <c r="J35" s="43"/>
      <c r="K35" s="43"/>
    </row>
    <row r="36" spans="1:11">
      <c r="A36" s="41">
        <v>45765</v>
      </c>
      <c r="B36" s="43" t="s">
        <v>260</v>
      </c>
      <c r="C36" s="43" t="s">
        <v>937</v>
      </c>
      <c r="D36" s="43" t="s">
        <v>374</v>
      </c>
      <c r="E36" s="43" t="s">
        <v>14</v>
      </c>
      <c r="F36" s="43">
        <v>10</v>
      </c>
      <c r="G36" s="43">
        <v>1.1</v>
      </c>
      <c r="H36" s="43">
        <f t="shared" si="0"/>
        <v>11</v>
      </c>
      <c r="I36" s="43" t="s">
        <v>235</v>
      </c>
      <c r="J36" s="43"/>
      <c r="K36" s="43"/>
    </row>
    <row r="37" spans="1:11">
      <c r="A37" s="41">
        <v>45766</v>
      </c>
      <c r="B37" s="43" t="s">
        <v>260</v>
      </c>
      <c r="C37" s="43" t="s">
        <v>938</v>
      </c>
      <c r="D37" s="43" t="s">
        <v>27</v>
      </c>
      <c r="E37" s="43" t="s">
        <v>14</v>
      </c>
      <c r="F37" s="43">
        <v>2020</v>
      </c>
      <c r="G37" s="43">
        <v>1.8</v>
      </c>
      <c r="H37" s="43">
        <f t="shared" si="0"/>
        <v>3636</v>
      </c>
      <c r="I37" s="43" t="s">
        <v>39</v>
      </c>
      <c r="J37" s="43" t="s">
        <v>46</v>
      </c>
      <c r="K37" s="43"/>
    </row>
    <row r="38" spans="1:11">
      <c r="A38" s="41">
        <v>45765</v>
      </c>
      <c r="B38" s="43" t="s">
        <v>260</v>
      </c>
      <c r="C38" s="43" t="s">
        <v>937</v>
      </c>
      <c r="D38" s="43" t="s">
        <v>234</v>
      </c>
      <c r="E38" s="43" t="s">
        <v>14</v>
      </c>
      <c r="F38" s="43">
        <v>15</v>
      </c>
      <c r="G38" s="43">
        <v>1.1</v>
      </c>
      <c r="H38" s="43">
        <f t="shared" si="0"/>
        <v>16.5</v>
      </c>
      <c r="I38" s="43" t="s">
        <v>235</v>
      </c>
      <c r="J38" s="43"/>
      <c r="K38" s="43"/>
    </row>
    <row r="39" spans="1:11">
      <c r="A39" s="41">
        <v>45770</v>
      </c>
      <c r="B39" s="43" t="s">
        <v>260</v>
      </c>
      <c r="C39" s="43" t="s">
        <v>939</v>
      </c>
      <c r="D39" s="43" t="s">
        <v>399</v>
      </c>
      <c r="E39" s="43" t="s">
        <v>14</v>
      </c>
      <c r="F39" s="43">
        <v>1015</v>
      </c>
      <c r="G39" s="43">
        <v>1.1</v>
      </c>
      <c r="H39" s="43">
        <f t="shared" si="0"/>
        <v>1116.5</v>
      </c>
      <c r="I39" s="43" t="s">
        <v>940</v>
      </c>
      <c r="J39" s="43"/>
      <c r="K39" s="43"/>
    </row>
    <row r="40" spans="1:11">
      <c r="A40" s="41">
        <v>45770</v>
      </c>
      <c r="B40" s="43" t="s">
        <v>260</v>
      </c>
      <c r="C40" s="43" t="s">
        <v>939</v>
      </c>
      <c r="D40" s="43" t="s">
        <v>234</v>
      </c>
      <c r="E40" s="43" t="s">
        <v>14</v>
      </c>
      <c r="F40" s="43">
        <v>10</v>
      </c>
      <c r="G40" s="43">
        <v>1.1</v>
      </c>
      <c r="H40" s="43">
        <f t="shared" si="0"/>
        <v>11</v>
      </c>
      <c r="I40" s="43" t="s">
        <v>278</v>
      </c>
      <c r="J40" s="43"/>
      <c r="K40" s="43"/>
    </row>
    <row r="41" s="35" customFormat="1" spans="1:11">
      <c r="A41" s="44">
        <v>45773</v>
      </c>
      <c r="B41" s="45" t="s">
        <v>260</v>
      </c>
      <c r="C41" s="45" t="s">
        <v>941</v>
      </c>
      <c r="D41" s="45" t="s">
        <v>188</v>
      </c>
      <c r="E41" s="45" t="s">
        <v>14</v>
      </c>
      <c r="F41" s="45">
        <v>10000</v>
      </c>
      <c r="G41" s="45">
        <v>1.05</v>
      </c>
      <c r="H41" s="45">
        <f t="shared" si="0"/>
        <v>10500</v>
      </c>
      <c r="I41" s="45" t="s">
        <v>189</v>
      </c>
      <c r="J41" s="45" t="s">
        <v>46</v>
      </c>
      <c r="K41" s="45"/>
    </row>
    <row r="42" spans="1:11">
      <c r="A42" s="41">
        <v>45775</v>
      </c>
      <c r="B42" s="43" t="s">
        <v>260</v>
      </c>
      <c r="C42" s="43" t="s">
        <v>942</v>
      </c>
      <c r="D42" s="43" t="s">
        <v>36</v>
      </c>
      <c r="E42" s="43" t="s">
        <v>14</v>
      </c>
      <c r="F42" s="43">
        <v>102</v>
      </c>
      <c r="G42" s="43">
        <v>0.85</v>
      </c>
      <c r="H42" s="43">
        <f t="shared" ref="H42:H62" si="1">F42*G42</f>
        <v>86.7</v>
      </c>
      <c r="I42" s="43" t="s">
        <v>137</v>
      </c>
      <c r="J42" s="43"/>
      <c r="K42" s="43"/>
    </row>
    <row r="43" spans="1:11">
      <c r="A43" s="41">
        <v>45749</v>
      </c>
      <c r="B43" s="43" t="s">
        <v>11</v>
      </c>
      <c r="C43" s="43" t="s">
        <v>943</v>
      </c>
      <c r="D43" s="43" t="s">
        <v>314</v>
      </c>
      <c r="E43" s="43" t="s">
        <v>14</v>
      </c>
      <c r="F43" s="45">
        <v>20050</v>
      </c>
      <c r="G43" s="45">
        <v>1.45</v>
      </c>
      <c r="H43" s="43">
        <f t="shared" si="1"/>
        <v>29072.5</v>
      </c>
      <c r="I43" s="43" t="s">
        <v>271</v>
      </c>
      <c r="J43" s="43" t="s">
        <v>46</v>
      </c>
      <c r="K43" s="43"/>
    </row>
    <row r="44" spans="1:11">
      <c r="A44" s="41">
        <v>45749</v>
      </c>
      <c r="B44" s="43" t="s">
        <v>11</v>
      </c>
      <c r="C44" s="43" t="s">
        <v>943</v>
      </c>
      <c r="D44" s="43" t="s">
        <v>181</v>
      </c>
      <c r="E44" s="43" t="s">
        <v>14</v>
      </c>
      <c r="F44" s="45">
        <v>3000</v>
      </c>
      <c r="G44" s="45">
        <v>2.2</v>
      </c>
      <c r="H44" s="43">
        <f t="shared" si="1"/>
        <v>6600</v>
      </c>
      <c r="I44" s="43" t="s">
        <v>94</v>
      </c>
      <c r="J44" s="43" t="s">
        <v>46</v>
      </c>
      <c r="K44" s="43"/>
    </row>
    <row r="45" spans="1:11">
      <c r="A45" s="41">
        <v>45750</v>
      </c>
      <c r="B45" s="43" t="s">
        <v>11</v>
      </c>
      <c r="C45" s="43" t="s">
        <v>944</v>
      </c>
      <c r="D45" s="43" t="s">
        <v>399</v>
      </c>
      <c r="E45" s="43" t="s">
        <v>14</v>
      </c>
      <c r="F45" s="45">
        <v>380</v>
      </c>
      <c r="G45" s="45">
        <v>1.2</v>
      </c>
      <c r="H45" s="43">
        <f t="shared" si="1"/>
        <v>456</v>
      </c>
      <c r="I45" s="43" t="s">
        <v>94</v>
      </c>
      <c r="J45" s="43" t="s">
        <v>912</v>
      </c>
      <c r="K45" s="43"/>
    </row>
    <row r="46" spans="1:11">
      <c r="A46" s="41">
        <v>45753</v>
      </c>
      <c r="B46" s="43" t="s">
        <v>11</v>
      </c>
      <c r="C46" s="43" t="s">
        <v>945</v>
      </c>
      <c r="D46" s="43" t="s">
        <v>946</v>
      </c>
      <c r="E46" s="43" t="s">
        <v>14</v>
      </c>
      <c r="F46" s="45">
        <v>16880</v>
      </c>
      <c r="G46" s="45">
        <v>2.7</v>
      </c>
      <c r="H46" s="43">
        <f t="shared" si="1"/>
        <v>45576</v>
      </c>
      <c r="I46" s="43" t="s">
        <v>396</v>
      </c>
      <c r="J46" s="43" t="s">
        <v>46</v>
      </c>
      <c r="K46" s="43"/>
    </row>
    <row r="47" spans="1:11">
      <c r="A47" s="41">
        <v>45754</v>
      </c>
      <c r="B47" s="43" t="s">
        <v>11</v>
      </c>
      <c r="C47" s="43" t="s">
        <v>947</v>
      </c>
      <c r="D47" s="43" t="s">
        <v>38</v>
      </c>
      <c r="E47" s="43" t="s">
        <v>14</v>
      </c>
      <c r="F47" s="45">
        <v>1025</v>
      </c>
      <c r="G47" s="45">
        <v>1.3</v>
      </c>
      <c r="H47" s="43">
        <f t="shared" si="1"/>
        <v>1332.5</v>
      </c>
      <c r="I47" s="43" t="s">
        <v>78</v>
      </c>
      <c r="J47" s="43"/>
      <c r="K47" s="43"/>
    </row>
    <row r="48" spans="1:11">
      <c r="A48" s="41">
        <v>45754</v>
      </c>
      <c r="B48" s="43" t="s">
        <v>11</v>
      </c>
      <c r="C48" s="43" t="s">
        <v>947</v>
      </c>
      <c r="D48" s="43" t="s">
        <v>948</v>
      </c>
      <c r="E48" s="43" t="s">
        <v>14</v>
      </c>
      <c r="F48" s="45">
        <v>2060</v>
      </c>
      <c r="G48" s="45">
        <v>1.05</v>
      </c>
      <c r="H48" s="43">
        <f t="shared" si="1"/>
        <v>2163</v>
      </c>
      <c r="I48" s="43" t="s">
        <v>949</v>
      </c>
      <c r="J48" s="43"/>
      <c r="K48" s="43"/>
    </row>
    <row r="49" spans="1:11">
      <c r="A49" s="41">
        <v>45756</v>
      </c>
      <c r="B49" s="43" t="s">
        <v>11</v>
      </c>
      <c r="C49" s="43" t="s">
        <v>950</v>
      </c>
      <c r="D49" s="43" t="s">
        <v>179</v>
      </c>
      <c r="E49" s="43" t="s">
        <v>14</v>
      </c>
      <c r="F49" s="45">
        <v>11000</v>
      </c>
      <c r="G49" s="45">
        <v>1.08</v>
      </c>
      <c r="H49" s="43">
        <f t="shared" si="1"/>
        <v>11880</v>
      </c>
      <c r="I49" s="43" t="s">
        <v>94</v>
      </c>
      <c r="J49" s="43" t="s">
        <v>46</v>
      </c>
      <c r="K49" s="43"/>
    </row>
    <row r="50" spans="1:11">
      <c r="A50" s="41">
        <v>45758</v>
      </c>
      <c r="B50" s="43" t="s">
        <v>11</v>
      </c>
      <c r="C50" s="43" t="s">
        <v>951</v>
      </c>
      <c r="D50" s="43" t="s">
        <v>948</v>
      </c>
      <c r="E50" s="43" t="s">
        <v>14</v>
      </c>
      <c r="F50" s="45">
        <v>15</v>
      </c>
      <c r="G50" s="45">
        <v>1.05</v>
      </c>
      <c r="H50" s="43">
        <f t="shared" si="1"/>
        <v>15.75</v>
      </c>
      <c r="I50" s="43" t="s">
        <v>949</v>
      </c>
      <c r="J50" s="43"/>
      <c r="K50" s="43"/>
    </row>
    <row r="51" spans="1:11">
      <c r="A51" s="41">
        <v>45761</v>
      </c>
      <c r="B51" s="43" t="s">
        <v>11</v>
      </c>
      <c r="C51" s="43" t="s">
        <v>952</v>
      </c>
      <c r="D51" s="45" t="s">
        <v>720</v>
      </c>
      <c r="E51" s="45" t="s">
        <v>14</v>
      </c>
      <c r="F51" s="45">
        <v>2050</v>
      </c>
      <c r="G51" s="45">
        <v>1.1</v>
      </c>
      <c r="H51" s="43">
        <f t="shared" si="1"/>
        <v>2255</v>
      </c>
      <c r="I51" s="43" t="s">
        <v>63</v>
      </c>
      <c r="J51" s="43" t="s">
        <v>46</v>
      </c>
      <c r="K51" s="43"/>
    </row>
    <row r="52" spans="1:11">
      <c r="A52" s="41">
        <v>45761</v>
      </c>
      <c r="B52" s="43" t="s">
        <v>11</v>
      </c>
      <c r="C52" s="43" t="s">
        <v>953</v>
      </c>
      <c r="D52" s="43" t="s">
        <v>328</v>
      </c>
      <c r="E52" s="43" t="s">
        <v>14</v>
      </c>
      <c r="F52" s="45">
        <v>20</v>
      </c>
      <c r="G52" s="45">
        <v>1.2</v>
      </c>
      <c r="H52" s="43">
        <f t="shared" si="1"/>
        <v>24</v>
      </c>
      <c r="I52" s="43" t="s">
        <v>954</v>
      </c>
      <c r="J52" s="43"/>
      <c r="K52" s="43"/>
    </row>
    <row r="53" spans="1:11">
      <c r="A53" s="41">
        <v>45764</v>
      </c>
      <c r="B53" s="43" t="s">
        <v>11</v>
      </c>
      <c r="C53" s="43" t="s">
        <v>955</v>
      </c>
      <c r="D53" s="43">
        <v>-500</v>
      </c>
      <c r="E53" s="43" t="s">
        <v>14</v>
      </c>
      <c r="F53" s="45">
        <v>6320</v>
      </c>
      <c r="G53" s="45">
        <v>1.2</v>
      </c>
      <c r="H53" s="43">
        <f t="shared" si="1"/>
        <v>7584</v>
      </c>
      <c r="I53" s="43" t="s">
        <v>432</v>
      </c>
      <c r="J53" s="43" t="s">
        <v>46</v>
      </c>
      <c r="K53" s="43"/>
    </row>
    <row r="54" spans="1:11">
      <c r="A54" s="41">
        <v>45764</v>
      </c>
      <c r="B54" s="43" t="s">
        <v>11</v>
      </c>
      <c r="C54" s="43" t="s">
        <v>956</v>
      </c>
      <c r="D54" s="43" t="s">
        <v>36</v>
      </c>
      <c r="E54" s="43" t="s">
        <v>14</v>
      </c>
      <c r="F54" s="45">
        <v>10100</v>
      </c>
      <c r="G54" s="45">
        <v>0.9</v>
      </c>
      <c r="H54" s="43">
        <f t="shared" si="1"/>
        <v>9090</v>
      </c>
      <c r="I54" s="43" t="s">
        <v>957</v>
      </c>
      <c r="J54" s="43" t="s">
        <v>46</v>
      </c>
      <c r="K54" s="43"/>
    </row>
    <row r="55" spans="1:11">
      <c r="A55" s="41">
        <v>45764</v>
      </c>
      <c r="B55" s="43" t="s">
        <v>11</v>
      </c>
      <c r="C55" s="43" t="s">
        <v>958</v>
      </c>
      <c r="D55" s="43" t="s">
        <v>959</v>
      </c>
      <c r="E55" s="43" t="s">
        <v>14</v>
      </c>
      <c r="F55" s="43">
        <v>31</v>
      </c>
      <c r="G55" s="43">
        <v>1.15</v>
      </c>
      <c r="H55" s="43">
        <f t="shared" si="1"/>
        <v>35.65</v>
      </c>
      <c r="I55" s="43" t="s">
        <v>28</v>
      </c>
      <c r="J55" s="43"/>
      <c r="K55" s="43"/>
    </row>
    <row r="56" spans="1:11">
      <c r="A56" s="44">
        <v>45770</v>
      </c>
      <c r="B56" s="45" t="s">
        <v>11</v>
      </c>
      <c r="C56" s="45" t="s">
        <v>960</v>
      </c>
      <c r="D56" s="45">
        <v>-500</v>
      </c>
      <c r="E56" s="45" t="s">
        <v>14</v>
      </c>
      <c r="F56" s="45">
        <v>65</v>
      </c>
      <c r="G56" s="45">
        <v>1.2</v>
      </c>
      <c r="H56" s="45">
        <f t="shared" si="1"/>
        <v>78</v>
      </c>
      <c r="I56" s="45" t="s">
        <v>432</v>
      </c>
      <c r="J56" s="43"/>
      <c r="K56" s="43"/>
    </row>
    <row r="57" spans="1:11">
      <c r="A57" s="44">
        <v>45771</v>
      </c>
      <c r="B57" s="45" t="s">
        <v>11</v>
      </c>
      <c r="C57" s="45" t="s">
        <v>961</v>
      </c>
      <c r="D57" s="45" t="s">
        <v>314</v>
      </c>
      <c r="E57" s="45" t="s">
        <v>14</v>
      </c>
      <c r="F57" s="45">
        <v>57500</v>
      </c>
      <c r="G57" s="45">
        <v>1.45</v>
      </c>
      <c r="H57" s="43">
        <f t="shared" si="1"/>
        <v>83375</v>
      </c>
      <c r="I57" s="45" t="s">
        <v>271</v>
      </c>
      <c r="J57" s="45" t="s">
        <v>46</v>
      </c>
      <c r="K57" s="43"/>
    </row>
    <row r="58" spans="1:11">
      <c r="A58" s="41">
        <v>45750</v>
      </c>
      <c r="B58" s="43" t="s">
        <v>97</v>
      </c>
      <c r="C58" s="43"/>
      <c r="D58" s="43" t="s">
        <v>224</v>
      </c>
      <c r="E58" s="43" t="s">
        <v>207</v>
      </c>
      <c r="F58" s="43">
        <v>5010</v>
      </c>
      <c r="G58" s="43">
        <v>0.95</v>
      </c>
      <c r="H58" s="43">
        <f t="shared" si="1"/>
        <v>4759.5</v>
      </c>
      <c r="I58" s="43" t="s">
        <v>208</v>
      </c>
      <c r="J58" s="43"/>
      <c r="K58" s="43"/>
    </row>
    <row r="59" spans="1:11">
      <c r="A59" s="41">
        <v>45756</v>
      </c>
      <c r="B59" s="43" t="s">
        <v>97</v>
      </c>
      <c r="C59" s="43"/>
      <c r="D59" s="43" t="s">
        <v>98</v>
      </c>
      <c r="E59" s="43" t="s">
        <v>361</v>
      </c>
      <c r="F59" s="43">
        <v>2055</v>
      </c>
      <c r="G59" s="43">
        <v>0.83</v>
      </c>
      <c r="H59" s="43">
        <f t="shared" si="1"/>
        <v>1705.65</v>
      </c>
      <c r="I59" s="43" t="s">
        <v>962</v>
      </c>
      <c r="J59" s="43"/>
      <c r="K59" s="43"/>
    </row>
    <row r="60" spans="1:11">
      <c r="A60" s="41">
        <v>45759</v>
      </c>
      <c r="B60" s="43" t="s">
        <v>97</v>
      </c>
      <c r="C60" s="43"/>
      <c r="D60" s="43" t="s">
        <v>963</v>
      </c>
      <c r="E60" s="43" t="s">
        <v>964</v>
      </c>
      <c r="F60" s="43">
        <v>4700</v>
      </c>
      <c r="G60" s="43">
        <v>0.8</v>
      </c>
      <c r="H60" s="43">
        <f t="shared" si="1"/>
        <v>3760</v>
      </c>
      <c r="I60" s="43" t="s">
        <v>213</v>
      </c>
      <c r="J60" s="43" t="s">
        <v>455</v>
      </c>
      <c r="K60" s="43">
        <v>0.95</v>
      </c>
    </row>
    <row r="61" spans="1:11">
      <c r="A61" s="41">
        <v>45762</v>
      </c>
      <c r="B61" s="43" t="s">
        <v>97</v>
      </c>
      <c r="C61" s="43"/>
      <c r="D61" s="43" t="s">
        <v>211</v>
      </c>
      <c r="E61" s="43" t="s">
        <v>964</v>
      </c>
      <c r="F61" s="43">
        <v>1620</v>
      </c>
      <c r="G61" s="43">
        <v>0.8</v>
      </c>
      <c r="H61" s="43">
        <f t="shared" si="1"/>
        <v>1296</v>
      </c>
      <c r="I61" s="43" t="s">
        <v>213</v>
      </c>
      <c r="J61" s="43" t="s">
        <v>455</v>
      </c>
      <c r="K61" s="43">
        <v>0.95</v>
      </c>
    </row>
    <row r="62" spans="1:11">
      <c r="A62" s="41">
        <v>45775</v>
      </c>
      <c r="B62" s="43" t="s">
        <v>97</v>
      </c>
      <c r="C62" s="43"/>
      <c r="D62" s="43" t="s">
        <v>211</v>
      </c>
      <c r="E62" s="43" t="s">
        <v>964</v>
      </c>
      <c r="F62" s="43">
        <v>12240</v>
      </c>
      <c r="G62" s="43">
        <v>0.9</v>
      </c>
      <c r="H62" s="43">
        <f t="shared" si="1"/>
        <v>11016</v>
      </c>
      <c r="I62" s="43" t="s">
        <v>213</v>
      </c>
      <c r="J62" s="43" t="s">
        <v>455</v>
      </c>
      <c r="K62" s="43">
        <v>0.95</v>
      </c>
    </row>
    <row r="63" spans="1:11">
      <c r="A63" s="41">
        <v>45748</v>
      </c>
      <c r="B63" s="43" t="s">
        <v>101</v>
      </c>
      <c r="C63" s="43"/>
      <c r="D63" s="43" t="s">
        <v>752</v>
      </c>
      <c r="E63" s="43" t="s">
        <v>124</v>
      </c>
      <c r="F63" s="43">
        <v>29900</v>
      </c>
      <c r="G63" s="43">
        <v>0.57</v>
      </c>
      <c r="H63" s="43">
        <f t="shared" ref="H63:H126" si="2">F63*G63</f>
        <v>17043</v>
      </c>
      <c r="I63" s="43" t="s">
        <v>396</v>
      </c>
      <c r="J63" s="43"/>
      <c r="K63" s="43"/>
    </row>
    <row r="64" spans="1:11">
      <c r="A64" s="41">
        <v>45749</v>
      </c>
      <c r="B64" s="43" t="s">
        <v>101</v>
      </c>
      <c r="C64" s="43"/>
      <c r="D64" s="43" t="s">
        <v>752</v>
      </c>
      <c r="E64" s="43" t="s">
        <v>14</v>
      </c>
      <c r="F64" s="43">
        <v>100000</v>
      </c>
      <c r="G64" s="43">
        <v>0.47</v>
      </c>
      <c r="H64" s="43">
        <f t="shared" si="2"/>
        <v>47000</v>
      </c>
      <c r="I64" s="43" t="s">
        <v>396</v>
      </c>
      <c r="J64" s="43" t="s">
        <v>46</v>
      </c>
      <c r="K64" s="43"/>
    </row>
    <row r="65" spans="1:11">
      <c r="A65" s="41">
        <v>45754</v>
      </c>
      <c r="B65" s="43" t="s">
        <v>101</v>
      </c>
      <c r="C65" s="43"/>
      <c r="D65" s="43" t="s">
        <v>754</v>
      </c>
      <c r="E65" s="43" t="s">
        <v>85</v>
      </c>
      <c r="F65" s="43">
        <v>1010</v>
      </c>
      <c r="G65" s="43">
        <v>1.1</v>
      </c>
      <c r="H65" s="43">
        <f t="shared" si="2"/>
        <v>1111</v>
      </c>
      <c r="I65" s="43" t="s">
        <v>106</v>
      </c>
      <c r="J65" s="43"/>
      <c r="K65" s="43"/>
    </row>
    <row r="66" spans="1:11">
      <c r="A66" s="41">
        <v>45754</v>
      </c>
      <c r="B66" s="43" t="s">
        <v>101</v>
      </c>
      <c r="C66" s="43"/>
      <c r="D66" s="43" t="s">
        <v>102</v>
      </c>
      <c r="E66" s="43" t="s">
        <v>60</v>
      </c>
      <c r="F66" s="43">
        <v>2010</v>
      </c>
      <c r="G66" s="43">
        <v>0.8</v>
      </c>
      <c r="H66" s="43">
        <f t="shared" si="2"/>
        <v>1608</v>
      </c>
      <c r="I66" s="43" t="s">
        <v>103</v>
      </c>
      <c r="J66" s="43"/>
      <c r="K66" s="43"/>
    </row>
    <row r="67" spans="1:11">
      <c r="A67" s="41">
        <v>45750</v>
      </c>
      <c r="B67" s="43" t="s">
        <v>101</v>
      </c>
      <c r="C67" s="43"/>
      <c r="D67" s="43" t="s">
        <v>752</v>
      </c>
      <c r="E67" s="43" t="s">
        <v>124</v>
      </c>
      <c r="F67" s="43">
        <v>15000</v>
      </c>
      <c r="G67" s="43">
        <v>0.57</v>
      </c>
      <c r="H67" s="43">
        <f t="shared" si="2"/>
        <v>8550</v>
      </c>
      <c r="I67" s="43" t="s">
        <v>396</v>
      </c>
      <c r="J67" s="43"/>
      <c r="K67" s="43"/>
    </row>
    <row r="68" spans="1:11">
      <c r="A68" s="41">
        <v>45760</v>
      </c>
      <c r="B68" s="43" t="s">
        <v>101</v>
      </c>
      <c r="C68" s="43"/>
      <c r="D68" s="43" t="s">
        <v>752</v>
      </c>
      <c r="E68" s="43" t="s">
        <v>124</v>
      </c>
      <c r="F68" s="43">
        <v>25000</v>
      </c>
      <c r="G68" s="43">
        <v>0.57</v>
      </c>
      <c r="H68" s="43">
        <f t="shared" si="2"/>
        <v>14250</v>
      </c>
      <c r="I68" s="43" t="s">
        <v>396</v>
      </c>
      <c r="J68" s="43"/>
      <c r="K68" s="43"/>
    </row>
    <row r="69" spans="1:11">
      <c r="A69" s="41">
        <v>45760</v>
      </c>
      <c r="B69" s="43" t="s">
        <v>101</v>
      </c>
      <c r="C69" s="43"/>
      <c r="D69" s="43" t="s">
        <v>107</v>
      </c>
      <c r="E69" s="43" t="s">
        <v>60</v>
      </c>
      <c r="F69" s="43">
        <v>2000</v>
      </c>
      <c r="G69" s="43">
        <v>0.82</v>
      </c>
      <c r="H69" s="43">
        <f t="shared" si="2"/>
        <v>1640</v>
      </c>
      <c r="I69" s="43" t="s">
        <v>45</v>
      </c>
      <c r="J69" s="43"/>
      <c r="K69" s="43"/>
    </row>
    <row r="70" spans="1:11">
      <c r="A70" s="41">
        <v>45760</v>
      </c>
      <c r="B70" s="43" t="s">
        <v>101</v>
      </c>
      <c r="C70" s="43"/>
      <c r="D70" s="43" t="s">
        <v>362</v>
      </c>
      <c r="E70" s="43" t="s">
        <v>85</v>
      </c>
      <c r="F70" s="43">
        <v>38310</v>
      </c>
      <c r="G70" s="43">
        <v>0.95</v>
      </c>
      <c r="H70" s="43">
        <f t="shared" si="2"/>
        <v>36394.5</v>
      </c>
      <c r="I70" s="43" t="s">
        <v>363</v>
      </c>
      <c r="J70" s="43"/>
      <c r="K70" s="43"/>
    </row>
    <row r="71" spans="1:11">
      <c r="A71" s="41">
        <v>45763</v>
      </c>
      <c r="B71" s="43" t="s">
        <v>101</v>
      </c>
      <c r="C71" s="43"/>
      <c r="D71" s="43" t="s">
        <v>965</v>
      </c>
      <c r="E71" s="43" t="s">
        <v>124</v>
      </c>
      <c r="F71" s="43">
        <v>30000</v>
      </c>
      <c r="G71" s="43">
        <v>0.57</v>
      </c>
      <c r="H71" s="43">
        <f t="shared" si="2"/>
        <v>17100</v>
      </c>
      <c r="I71" s="43" t="s">
        <v>396</v>
      </c>
      <c r="J71" s="43"/>
      <c r="K71" s="43"/>
    </row>
    <row r="72" spans="1:11">
      <c r="A72" s="41">
        <v>45763</v>
      </c>
      <c r="B72" s="43" t="s">
        <v>101</v>
      </c>
      <c r="C72" s="43"/>
      <c r="D72" s="43" t="s">
        <v>84</v>
      </c>
      <c r="E72" s="43" t="s">
        <v>85</v>
      </c>
      <c r="F72" s="43">
        <v>1510</v>
      </c>
      <c r="G72" s="43">
        <v>1.2</v>
      </c>
      <c r="H72" s="43">
        <f t="shared" si="2"/>
        <v>1812</v>
      </c>
      <c r="I72" s="43" t="s">
        <v>106</v>
      </c>
      <c r="J72" s="43" t="s">
        <v>369</v>
      </c>
      <c r="K72" s="43"/>
    </row>
    <row r="73" spans="1:11">
      <c r="A73" s="41">
        <v>45764</v>
      </c>
      <c r="B73" s="43" t="s">
        <v>101</v>
      </c>
      <c r="C73" s="43"/>
      <c r="D73" s="43" t="s">
        <v>752</v>
      </c>
      <c r="E73" s="43" t="s">
        <v>124</v>
      </c>
      <c r="F73" s="43">
        <v>30000</v>
      </c>
      <c r="G73" s="43">
        <v>0.57</v>
      </c>
      <c r="H73" s="43">
        <f t="shared" si="2"/>
        <v>17100</v>
      </c>
      <c r="I73" s="43" t="s">
        <v>396</v>
      </c>
      <c r="J73" s="43"/>
      <c r="K73" s="43"/>
    </row>
    <row r="74" spans="1:11">
      <c r="A74" s="41">
        <v>45768</v>
      </c>
      <c r="B74" s="43" t="s">
        <v>101</v>
      </c>
      <c r="C74" s="43"/>
      <c r="D74" s="43" t="s">
        <v>107</v>
      </c>
      <c r="E74" s="43" t="s">
        <v>60</v>
      </c>
      <c r="F74" s="43">
        <v>2000</v>
      </c>
      <c r="G74" s="43">
        <v>0.82</v>
      </c>
      <c r="H74" s="43">
        <f t="shared" si="2"/>
        <v>1640</v>
      </c>
      <c r="I74" s="43" t="s">
        <v>45</v>
      </c>
      <c r="J74" s="43"/>
      <c r="K74" s="43"/>
    </row>
    <row r="75" spans="1:11">
      <c r="A75" s="41">
        <v>45768</v>
      </c>
      <c r="B75" s="43" t="s">
        <v>101</v>
      </c>
      <c r="C75" s="43"/>
      <c r="D75" s="43" t="s">
        <v>104</v>
      </c>
      <c r="E75" s="43" t="s">
        <v>99</v>
      </c>
      <c r="F75" s="43">
        <v>10410</v>
      </c>
      <c r="G75" s="43">
        <v>0.98</v>
      </c>
      <c r="H75" s="43">
        <f t="shared" si="2"/>
        <v>10201.8</v>
      </c>
      <c r="I75" s="43" t="s">
        <v>213</v>
      </c>
      <c r="J75" s="43"/>
      <c r="K75" s="43"/>
    </row>
    <row r="76" spans="1:11">
      <c r="A76" s="41">
        <v>45770</v>
      </c>
      <c r="B76" s="43" t="s">
        <v>101</v>
      </c>
      <c r="C76" s="43"/>
      <c r="D76" s="43" t="s">
        <v>752</v>
      </c>
      <c r="E76" s="43" t="s">
        <v>124</v>
      </c>
      <c r="F76" s="43">
        <v>50000</v>
      </c>
      <c r="G76" s="43">
        <v>0.57</v>
      </c>
      <c r="H76" s="43">
        <f t="shared" si="2"/>
        <v>28500</v>
      </c>
      <c r="I76" s="43" t="s">
        <v>396</v>
      </c>
      <c r="J76" s="43"/>
      <c r="K76" s="43"/>
    </row>
    <row r="77" spans="1:11">
      <c r="A77" s="41">
        <v>45772</v>
      </c>
      <c r="B77" s="43" t="s">
        <v>101</v>
      </c>
      <c r="C77" s="43"/>
      <c r="D77" s="43" t="s">
        <v>752</v>
      </c>
      <c r="E77" s="43" t="s">
        <v>124</v>
      </c>
      <c r="F77" s="43">
        <v>50000</v>
      </c>
      <c r="G77" s="43">
        <v>0.57</v>
      </c>
      <c r="H77" s="43">
        <f t="shared" si="2"/>
        <v>28500</v>
      </c>
      <c r="I77" s="43" t="s">
        <v>396</v>
      </c>
      <c r="J77" s="43"/>
      <c r="K77" s="43"/>
    </row>
    <row r="78" s="35" customFormat="1" spans="1:11">
      <c r="A78" s="44">
        <v>45773</v>
      </c>
      <c r="B78" s="45" t="s">
        <v>101</v>
      </c>
      <c r="C78" s="45"/>
      <c r="D78" s="45" t="s">
        <v>104</v>
      </c>
      <c r="E78" s="45" t="s">
        <v>753</v>
      </c>
      <c r="F78" s="45">
        <v>20030</v>
      </c>
      <c r="G78" s="45">
        <v>0.95</v>
      </c>
      <c r="H78" s="45">
        <f t="shared" si="2"/>
        <v>19028.5</v>
      </c>
      <c r="I78" s="45" t="s">
        <v>105</v>
      </c>
      <c r="J78" s="45"/>
      <c r="K78" s="45"/>
    </row>
    <row r="79" s="35" customFormat="1" spans="1:11">
      <c r="A79" s="44">
        <v>45774</v>
      </c>
      <c r="B79" s="45" t="s">
        <v>101</v>
      </c>
      <c r="C79" s="45"/>
      <c r="D79" s="45" t="s">
        <v>362</v>
      </c>
      <c r="E79" s="45" t="s">
        <v>85</v>
      </c>
      <c r="F79" s="45">
        <v>282</v>
      </c>
      <c r="G79" s="45">
        <v>0.95</v>
      </c>
      <c r="H79" s="45">
        <f t="shared" si="2"/>
        <v>267.9</v>
      </c>
      <c r="I79" s="45" t="s">
        <v>363</v>
      </c>
      <c r="J79" s="45"/>
      <c r="K79" s="45"/>
    </row>
    <row r="80" s="35" customFormat="1" spans="1:11">
      <c r="A80" s="44">
        <v>45774</v>
      </c>
      <c r="B80" s="45" t="s">
        <v>101</v>
      </c>
      <c r="C80" s="45"/>
      <c r="D80" s="45" t="s">
        <v>752</v>
      </c>
      <c r="E80" s="45" t="s">
        <v>124</v>
      </c>
      <c r="F80" s="45">
        <v>40000</v>
      </c>
      <c r="G80" s="45">
        <v>0.57</v>
      </c>
      <c r="H80" s="45">
        <f t="shared" si="2"/>
        <v>22800</v>
      </c>
      <c r="I80" s="45" t="s">
        <v>396</v>
      </c>
      <c r="J80" s="45"/>
      <c r="K80" s="45"/>
    </row>
    <row r="81" spans="1:11">
      <c r="A81" s="41">
        <v>45748</v>
      </c>
      <c r="B81" s="43" t="s">
        <v>879</v>
      </c>
      <c r="C81" s="43" t="s">
        <v>966</v>
      </c>
      <c r="D81" s="43" t="s">
        <v>881</v>
      </c>
      <c r="E81" s="43" t="s">
        <v>14</v>
      </c>
      <c r="F81" s="43">
        <v>2090</v>
      </c>
      <c r="G81" s="43">
        <v>2.25</v>
      </c>
      <c r="H81" s="43">
        <f t="shared" si="2"/>
        <v>4702.5</v>
      </c>
      <c r="I81" s="43" t="s">
        <v>437</v>
      </c>
      <c r="J81" s="43"/>
      <c r="K81" s="43"/>
    </row>
    <row r="82" spans="1:11">
      <c r="A82" s="41">
        <v>45749</v>
      </c>
      <c r="B82" s="43" t="s">
        <v>879</v>
      </c>
      <c r="C82" s="43" t="s">
        <v>967</v>
      </c>
      <c r="D82" s="43" t="s">
        <v>968</v>
      </c>
      <c r="E82" s="43" t="s">
        <v>14</v>
      </c>
      <c r="F82" s="43">
        <v>55</v>
      </c>
      <c r="G82" s="43">
        <v>1.45</v>
      </c>
      <c r="H82" s="43">
        <f t="shared" si="2"/>
        <v>79.75</v>
      </c>
      <c r="I82" s="43" t="s">
        <v>287</v>
      </c>
      <c r="J82" s="43"/>
      <c r="K82" s="43"/>
    </row>
    <row r="83" s="35" customFormat="1" spans="1:11">
      <c r="A83" s="44">
        <v>45749</v>
      </c>
      <c r="B83" s="45" t="s">
        <v>969</v>
      </c>
      <c r="C83" s="45"/>
      <c r="D83" s="45" t="s">
        <v>130</v>
      </c>
      <c r="E83" s="45" t="s">
        <v>123</v>
      </c>
      <c r="F83" s="45">
        <v>16330</v>
      </c>
      <c r="G83" s="45">
        <v>0.52</v>
      </c>
      <c r="H83" s="45">
        <f t="shared" si="2"/>
        <v>8491.6</v>
      </c>
      <c r="I83" s="45" t="s">
        <v>433</v>
      </c>
      <c r="J83" s="45"/>
      <c r="K83" s="45"/>
    </row>
    <row r="84" s="35" customFormat="1" spans="1:11">
      <c r="A84" s="44">
        <v>45749</v>
      </c>
      <c r="B84" s="45" t="s">
        <v>969</v>
      </c>
      <c r="C84" s="45"/>
      <c r="D84" s="45" t="s">
        <v>59</v>
      </c>
      <c r="E84" s="45" t="s">
        <v>123</v>
      </c>
      <c r="F84" s="45">
        <v>40</v>
      </c>
      <c r="G84" s="45">
        <v>0.54</v>
      </c>
      <c r="H84" s="45">
        <f t="shared" si="2"/>
        <v>21.6</v>
      </c>
      <c r="I84" s="45" t="s">
        <v>35</v>
      </c>
      <c r="J84" s="45"/>
      <c r="K84" s="45"/>
    </row>
    <row r="85" s="35" customFormat="1" spans="1:11">
      <c r="A85" s="44">
        <v>45749</v>
      </c>
      <c r="B85" s="45" t="s">
        <v>969</v>
      </c>
      <c r="C85" s="45"/>
      <c r="D85" s="45" t="s">
        <v>76</v>
      </c>
      <c r="E85" s="45" t="s">
        <v>60</v>
      </c>
      <c r="F85" s="45">
        <v>200</v>
      </c>
      <c r="G85" s="45">
        <v>0.5</v>
      </c>
      <c r="H85" s="45">
        <f t="shared" si="2"/>
        <v>100</v>
      </c>
      <c r="I85" s="45" t="s">
        <v>432</v>
      </c>
      <c r="J85" s="45"/>
      <c r="K85" s="45"/>
    </row>
    <row r="86" spans="1:11">
      <c r="A86" s="44">
        <v>45754</v>
      </c>
      <c r="B86" s="45" t="s">
        <v>969</v>
      </c>
      <c r="C86" s="45"/>
      <c r="D86" s="45" t="s">
        <v>130</v>
      </c>
      <c r="E86" s="45" t="s">
        <v>60</v>
      </c>
      <c r="F86" s="45">
        <v>4100</v>
      </c>
      <c r="G86" s="45">
        <v>0.48</v>
      </c>
      <c r="H86" s="45">
        <f t="shared" si="2"/>
        <v>1968</v>
      </c>
      <c r="I86" s="45" t="s">
        <v>432</v>
      </c>
      <c r="J86" s="43"/>
      <c r="K86" s="43"/>
    </row>
    <row r="87" spans="1:11">
      <c r="A87" s="44">
        <v>45759</v>
      </c>
      <c r="B87" s="45" t="s">
        <v>969</v>
      </c>
      <c r="C87" s="45"/>
      <c r="D87" s="45" t="s">
        <v>130</v>
      </c>
      <c r="E87" s="45" t="s">
        <v>60</v>
      </c>
      <c r="F87" s="45">
        <v>4250</v>
      </c>
      <c r="G87" s="45">
        <v>0.48</v>
      </c>
      <c r="H87" s="45">
        <f t="shared" si="2"/>
        <v>2040</v>
      </c>
      <c r="I87" s="45" t="s">
        <v>432</v>
      </c>
      <c r="J87" s="43"/>
      <c r="K87" s="43"/>
    </row>
    <row r="88" spans="1:11">
      <c r="A88" s="44">
        <v>45759</v>
      </c>
      <c r="B88" s="45" t="s">
        <v>969</v>
      </c>
      <c r="C88" s="45"/>
      <c r="D88" s="45" t="s">
        <v>115</v>
      </c>
      <c r="E88" s="45" t="s">
        <v>123</v>
      </c>
      <c r="F88" s="45">
        <v>805</v>
      </c>
      <c r="G88" s="45">
        <v>0.53</v>
      </c>
      <c r="H88" s="45">
        <f t="shared" si="2"/>
        <v>426.65</v>
      </c>
      <c r="I88" s="45" t="s">
        <v>805</v>
      </c>
      <c r="J88" s="43"/>
      <c r="K88" s="43"/>
    </row>
    <row r="89" spans="1:11">
      <c r="A89" s="44">
        <v>45761</v>
      </c>
      <c r="B89" s="45" t="s">
        <v>969</v>
      </c>
      <c r="C89" s="45"/>
      <c r="D89" s="45" t="s">
        <v>115</v>
      </c>
      <c r="E89" s="45" t="s">
        <v>62</v>
      </c>
      <c r="F89" s="45">
        <v>8210</v>
      </c>
      <c r="G89" s="45">
        <v>0.52</v>
      </c>
      <c r="H89" s="45">
        <f t="shared" si="2"/>
        <v>4269.2</v>
      </c>
      <c r="I89" s="45" t="s">
        <v>71</v>
      </c>
      <c r="J89" s="43"/>
      <c r="K89" s="43"/>
    </row>
    <row r="90" spans="1:11">
      <c r="A90" s="44">
        <v>45762</v>
      </c>
      <c r="B90" s="45" t="s">
        <v>969</v>
      </c>
      <c r="C90" s="45"/>
      <c r="D90" s="45" t="s">
        <v>59</v>
      </c>
      <c r="E90" s="45" t="s">
        <v>60</v>
      </c>
      <c r="F90" s="45">
        <v>10060</v>
      </c>
      <c r="G90" s="45">
        <v>0.5</v>
      </c>
      <c r="H90" s="45">
        <f t="shared" si="2"/>
        <v>5030</v>
      </c>
      <c r="I90" s="45" t="s">
        <v>63</v>
      </c>
      <c r="J90" s="43"/>
      <c r="K90" s="43"/>
    </row>
    <row r="91" spans="1:11">
      <c r="A91" s="44">
        <v>45762</v>
      </c>
      <c r="B91" s="45" t="s">
        <v>969</v>
      </c>
      <c r="C91" s="45"/>
      <c r="D91" s="45" t="s">
        <v>59</v>
      </c>
      <c r="E91" s="45" t="s">
        <v>123</v>
      </c>
      <c r="F91" s="45">
        <v>9000</v>
      </c>
      <c r="G91" s="45">
        <v>0.54</v>
      </c>
      <c r="H91" s="45">
        <f t="shared" si="2"/>
        <v>4860</v>
      </c>
      <c r="I91" s="45" t="s">
        <v>35</v>
      </c>
      <c r="J91" s="43"/>
      <c r="K91" s="43"/>
    </row>
    <row r="92" spans="1:11">
      <c r="A92" s="44">
        <v>45768</v>
      </c>
      <c r="B92" s="45" t="s">
        <v>969</v>
      </c>
      <c r="C92" s="45"/>
      <c r="D92" s="45" t="s">
        <v>59</v>
      </c>
      <c r="E92" s="45" t="s">
        <v>123</v>
      </c>
      <c r="F92" s="45">
        <v>3036</v>
      </c>
      <c r="G92" s="45">
        <v>0.54</v>
      </c>
      <c r="H92" s="45">
        <f t="shared" si="2"/>
        <v>1639.44</v>
      </c>
      <c r="I92" s="45" t="s">
        <v>35</v>
      </c>
      <c r="J92" s="43"/>
      <c r="K92" s="43"/>
    </row>
    <row r="93" spans="1:11">
      <c r="A93" s="44">
        <v>45768</v>
      </c>
      <c r="B93" s="45" t="s">
        <v>969</v>
      </c>
      <c r="C93" s="45"/>
      <c r="D93" s="45" t="s">
        <v>59</v>
      </c>
      <c r="E93" s="45" t="s">
        <v>60</v>
      </c>
      <c r="F93" s="45">
        <v>30</v>
      </c>
      <c r="G93" s="45">
        <v>0.5</v>
      </c>
      <c r="H93" s="45">
        <f t="shared" si="2"/>
        <v>15</v>
      </c>
      <c r="I93" s="45" t="s">
        <v>63</v>
      </c>
      <c r="J93" s="43"/>
      <c r="K93" s="43"/>
    </row>
    <row r="94" spans="1:11">
      <c r="A94" s="44">
        <v>45771</v>
      </c>
      <c r="B94" s="45" t="s">
        <v>969</v>
      </c>
      <c r="C94" s="45"/>
      <c r="D94" s="45" t="s">
        <v>115</v>
      </c>
      <c r="E94" s="45" t="s">
        <v>123</v>
      </c>
      <c r="F94" s="45">
        <v>7230</v>
      </c>
      <c r="G94" s="45">
        <v>0.53</v>
      </c>
      <c r="H94" s="45">
        <f t="shared" si="2"/>
        <v>3831.9</v>
      </c>
      <c r="I94" s="45" t="s">
        <v>805</v>
      </c>
      <c r="J94" s="43"/>
      <c r="K94" s="43"/>
    </row>
    <row r="95" spans="1:11">
      <c r="A95" s="44">
        <v>45748</v>
      </c>
      <c r="B95" s="45" t="s">
        <v>237</v>
      </c>
      <c r="C95" s="45" t="s">
        <v>970</v>
      </c>
      <c r="D95" s="45" t="s">
        <v>239</v>
      </c>
      <c r="E95" s="45" t="s">
        <v>14</v>
      </c>
      <c r="F95" s="45">
        <v>52000</v>
      </c>
      <c r="G95" s="45">
        <v>0.6</v>
      </c>
      <c r="H95" s="45">
        <f t="shared" si="2"/>
        <v>31200</v>
      </c>
      <c r="I95" s="45" t="s">
        <v>971</v>
      </c>
      <c r="J95" s="43" t="s">
        <v>46</v>
      </c>
      <c r="K95" s="43"/>
    </row>
    <row r="96" spans="1:11">
      <c r="A96" s="44">
        <v>45749</v>
      </c>
      <c r="B96" s="45" t="s">
        <v>237</v>
      </c>
      <c r="C96" s="45" t="s">
        <v>972</v>
      </c>
      <c r="D96" s="45" t="s">
        <v>239</v>
      </c>
      <c r="E96" s="45" t="s">
        <v>14</v>
      </c>
      <c r="F96" s="45">
        <v>65000</v>
      </c>
      <c r="G96" s="45">
        <v>0.6</v>
      </c>
      <c r="H96" s="45">
        <f t="shared" si="2"/>
        <v>39000</v>
      </c>
      <c r="I96" s="45" t="s">
        <v>971</v>
      </c>
      <c r="J96" s="43" t="s">
        <v>46</v>
      </c>
      <c r="K96" s="43"/>
    </row>
    <row r="97" spans="1:11">
      <c r="A97" s="41">
        <v>45749</v>
      </c>
      <c r="B97" s="43" t="s">
        <v>237</v>
      </c>
      <c r="C97" s="43" t="s">
        <v>973</v>
      </c>
      <c r="D97" s="43" t="s">
        <v>493</v>
      </c>
      <c r="E97" s="43" t="s">
        <v>14</v>
      </c>
      <c r="F97" s="43">
        <v>62496</v>
      </c>
      <c r="G97" s="43">
        <v>0.75</v>
      </c>
      <c r="H97" s="43">
        <f t="shared" si="2"/>
        <v>46872</v>
      </c>
      <c r="I97" s="43" t="s">
        <v>61</v>
      </c>
      <c r="J97" s="43" t="s">
        <v>46</v>
      </c>
      <c r="K97" s="43"/>
    </row>
    <row r="98" spans="1:11">
      <c r="A98" s="41">
        <v>45756</v>
      </c>
      <c r="B98" s="43" t="s">
        <v>237</v>
      </c>
      <c r="C98" s="43" t="s">
        <v>974</v>
      </c>
      <c r="D98" s="43" t="s">
        <v>239</v>
      </c>
      <c r="E98" s="43" t="s">
        <v>14</v>
      </c>
      <c r="F98" s="43">
        <v>76570</v>
      </c>
      <c r="G98" s="43">
        <v>0.6</v>
      </c>
      <c r="H98" s="43">
        <f t="shared" si="2"/>
        <v>45942</v>
      </c>
      <c r="I98" s="45" t="s">
        <v>971</v>
      </c>
      <c r="J98" s="43" t="s">
        <v>46</v>
      </c>
      <c r="K98" s="43"/>
    </row>
    <row r="99" spans="1:11">
      <c r="A99" s="41">
        <v>45765</v>
      </c>
      <c r="B99" s="43" t="s">
        <v>237</v>
      </c>
      <c r="C99" s="43" t="s">
        <v>975</v>
      </c>
      <c r="D99" s="43" t="s">
        <v>239</v>
      </c>
      <c r="E99" s="43" t="s">
        <v>14</v>
      </c>
      <c r="F99" s="43">
        <v>265980</v>
      </c>
      <c r="G99" s="43">
        <v>0.55</v>
      </c>
      <c r="H99" s="43">
        <f t="shared" si="2"/>
        <v>146289</v>
      </c>
      <c r="I99" s="43" t="s">
        <v>971</v>
      </c>
      <c r="J99" s="43" t="s">
        <v>46</v>
      </c>
      <c r="K99" s="43"/>
    </row>
    <row r="100" spans="1:11">
      <c r="A100" s="41">
        <v>45765</v>
      </c>
      <c r="B100" s="43" t="s">
        <v>237</v>
      </c>
      <c r="C100" s="43" t="s">
        <v>975</v>
      </c>
      <c r="D100" s="43" t="s">
        <v>256</v>
      </c>
      <c r="E100" s="43" t="s">
        <v>14</v>
      </c>
      <c r="F100" s="43">
        <v>3030</v>
      </c>
      <c r="G100" s="43">
        <v>0.7</v>
      </c>
      <c r="H100" s="43">
        <f t="shared" si="2"/>
        <v>2121</v>
      </c>
      <c r="I100" s="43" t="s">
        <v>857</v>
      </c>
      <c r="J100" s="43" t="s">
        <v>46</v>
      </c>
      <c r="K100" s="43"/>
    </row>
    <row r="101" spans="1:11">
      <c r="A101" s="41">
        <v>45777</v>
      </c>
      <c r="B101" s="43" t="s">
        <v>237</v>
      </c>
      <c r="C101" s="43" t="s">
        <v>976</v>
      </c>
      <c r="D101" s="43" t="s">
        <v>239</v>
      </c>
      <c r="E101" s="43" t="s">
        <v>14</v>
      </c>
      <c r="F101" s="43">
        <v>52000</v>
      </c>
      <c r="G101" s="43">
        <v>0.55</v>
      </c>
      <c r="H101" s="43">
        <f t="shared" si="2"/>
        <v>28600</v>
      </c>
      <c r="I101" s="43" t="s">
        <v>61</v>
      </c>
      <c r="J101" s="43" t="s">
        <v>46</v>
      </c>
      <c r="K101" s="43"/>
    </row>
    <row r="102" spans="1:11">
      <c r="A102" s="41">
        <v>45748</v>
      </c>
      <c r="B102" s="43" t="s">
        <v>121</v>
      </c>
      <c r="C102" s="43"/>
      <c r="D102" s="43" t="s">
        <v>122</v>
      </c>
      <c r="E102" s="43" t="s">
        <v>123</v>
      </c>
      <c r="F102" s="43">
        <v>30000</v>
      </c>
      <c r="G102" s="43">
        <v>0.56</v>
      </c>
      <c r="H102" s="43">
        <f t="shared" si="2"/>
        <v>16800</v>
      </c>
      <c r="I102" s="43" t="s">
        <v>117</v>
      </c>
      <c r="J102" s="43"/>
      <c r="K102" s="43"/>
    </row>
    <row r="103" spans="1:11">
      <c r="A103" s="41">
        <v>45748</v>
      </c>
      <c r="B103" s="43" t="s">
        <v>121</v>
      </c>
      <c r="C103" s="43"/>
      <c r="D103" s="43" t="s">
        <v>122</v>
      </c>
      <c r="E103" s="43" t="s">
        <v>62</v>
      </c>
      <c r="F103" s="43">
        <v>3022</v>
      </c>
      <c r="G103" s="43">
        <v>0.53</v>
      </c>
      <c r="H103" s="43">
        <f t="shared" si="2"/>
        <v>1601.66</v>
      </c>
      <c r="I103" s="43" t="s">
        <v>35</v>
      </c>
      <c r="J103" s="43"/>
      <c r="K103" s="43"/>
    </row>
    <row r="104" spans="1:11">
      <c r="A104" s="41">
        <v>45753</v>
      </c>
      <c r="B104" s="43" t="s">
        <v>121</v>
      </c>
      <c r="C104" s="43"/>
      <c r="D104" s="43" t="s">
        <v>122</v>
      </c>
      <c r="E104" s="43" t="s">
        <v>123</v>
      </c>
      <c r="F104" s="43">
        <v>30000</v>
      </c>
      <c r="G104" s="43">
        <v>0.56</v>
      </c>
      <c r="H104" s="43">
        <f t="shared" si="2"/>
        <v>16800</v>
      </c>
      <c r="I104" s="43" t="s">
        <v>117</v>
      </c>
      <c r="J104" s="43"/>
      <c r="K104" s="43"/>
    </row>
    <row r="105" spans="1:11">
      <c r="A105" s="41">
        <v>45753</v>
      </c>
      <c r="B105" s="43" t="s">
        <v>121</v>
      </c>
      <c r="C105" s="43"/>
      <c r="D105" s="43" t="s">
        <v>76</v>
      </c>
      <c r="E105" s="43" t="s">
        <v>977</v>
      </c>
      <c r="F105" s="43">
        <v>3106</v>
      </c>
      <c r="G105" s="43">
        <v>0.59</v>
      </c>
      <c r="H105" s="43">
        <f t="shared" si="2"/>
        <v>1832.54</v>
      </c>
      <c r="I105" s="43" t="s">
        <v>978</v>
      </c>
      <c r="J105" s="43" t="s">
        <v>90</v>
      </c>
      <c r="K105" s="43">
        <v>0.76</v>
      </c>
    </row>
    <row r="106" spans="1:11">
      <c r="A106" s="41">
        <v>45753</v>
      </c>
      <c r="B106" s="43" t="s">
        <v>121</v>
      </c>
      <c r="C106" s="43"/>
      <c r="D106" s="43" t="s">
        <v>70</v>
      </c>
      <c r="E106" s="43" t="s">
        <v>136</v>
      </c>
      <c r="F106" s="43">
        <v>-13000</v>
      </c>
      <c r="G106" s="43">
        <v>0.57</v>
      </c>
      <c r="H106" s="43">
        <f t="shared" si="2"/>
        <v>-7410</v>
      </c>
      <c r="I106" s="43" t="s">
        <v>45</v>
      </c>
      <c r="J106" s="43" t="s">
        <v>979</v>
      </c>
      <c r="K106" s="43"/>
    </row>
    <row r="107" spans="1:11">
      <c r="A107" s="41">
        <v>45753</v>
      </c>
      <c r="B107" s="43" t="s">
        <v>121</v>
      </c>
      <c r="C107" s="43"/>
      <c r="D107" s="43" t="s">
        <v>128</v>
      </c>
      <c r="E107" s="43" t="s">
        <v>62</v>
      </c>
      <c r="F107" s="43">
        <v>121</v>
      </c>
      <c r="G107" s="43">
        <v>0.53</v>
      </c>
      <c r="H107" s="43">
        <f t="shared" si="2"/>
        <v>64.13</v>
      </c>
      <c r="I107" s="43" t="s">
        <v>65</v>
      </c>
      <c r="J107" s="43"/>
      <c r="K107" s="43"/>
    </row>
    <row r="108" spans="1:11">
      <c r="A108" s="41">
        <v>45753</v>
      </c>
      <c r="B108" s="43" t="s">
        <v>121</v>
      </c>
      <c r="C108" s="43"/>
      <c r="D108" s="43" t="s">
        <v>76</v>
      </c>
      <c r="E108" s="43" t="s">
        <v>62</v>
      </c>
      <c r="F108" s="43">
        <v>40</v>
      </c>
      <c r="G108" s="43">
        <v>0.5</v>
      </c>
      <c r="H108" s="43">
        <f t="shared" si="2"/>
        <v>20</v>
      </c>
      <c r="I108" s="43" t="s">
        <v>65</v>
      </c>
      <c r="J108" s="43"/>
      <c r="K108" s="43"/>
    </row>
    <row r="109" spans="1:11">
      <c r="A109" s="41">
        <v>45755</v>
      </c>
      <c r="B109" s="43" t="s">
        <v>121</v>
      </c>
      <c r="C109" s="43"/>
      <c r="D109" s="43" t="s">
        <v>70</v>
      </c>
      <c r="E109" s="43" t="s">
        <v>980</v>
      </c>
      <c r="F109" s="43">
        <v>10000</v>
      </c>
      <c r="G109" s="43">
        <v>0.57</v>
      </c>
      <c r="H109" s="43">
        <f t="shared" si="2"/>
        <v>5700</v>
      </c>
      <c r="I109" s="43" t="s">
        <v>45</v>
      </c>
      <c r="J109" s="43"/>
      <c r="K109" s="43"/>
    </row>
    <row r="110" spans="1:11">
      <c r="A110" s="41">
        <v>45755</v>
      </c>
      <c r="B110" s="43" t="s">
        <v>121</v>
      </c>
      <c r="C110" s="43"/>
      <c r="D110" s="43" t="s">
        <v>122</v>
      </c>
      <c r="E110" s="43" t="s">
        <v>123</v>
      </c>
      <c r="F110" s="43">
        <v>20000</v>
      </c>
      <c r="G110" s="43">
        <v>0.56</v>
      </c>
      <c r="H110" s="43">
        <f t="shared" si="2"/>
        <v>11200</v>
      </c>
      <c r="I110" s="43" t="s">
        <v>117</v>
      </c>
      <c r="J110" s="43"/>
      <c r="K110" s="43"/>
    </row>
    <row r="111" spans="1:11">
      <c r="A111" s="41">
        <v>45755</v>
      </c>
      <c r="B111" s="43" t="s">
        <v>121</v>
      </c>
      <c r="C111" s="43"/>
      <c r="D111" s="43" t="s">
        <v>70</v>
      </c>
      <c r="E111" s="43" t="s">
        <v>136</v>
      </c>
      <c r="F111" s="43">
        <v>-14156</v>
      </c>
      <c r="G111" s="43">
        <v>0.57</v>
      </c>
      <c r="H111" s="43">
        <f t="shared" si="2"/>
        <v>-8068.92</v>
      </c>
      <c r="I111" s="43" t="s">
        <v>45</v>
      </c>
      <c r="J111" s="43" t="s">
        <v>979</v>
      </c>
      <c r="K111" s="43"/>
    </row>
    <row r="112" spans="1:11">
      <c r="A112" s="41">
        <v>45756</v>
      </c>
      <c r="B112" s="43" t="s">
        <v>121</v>
      </c>
      <c r="C112" s="43"/>
      <c r="D112" s="43" t="s">
        <v>70</v>
      </c>
      <c r="E112" s="43" t="s">
        <v>136</v>
      </c>
      <c r="F112" s="43">
        <v>20000</v>
      </c>
      <c r="G112" s="43">
        <v>0.57</v>
      </c>
      <c r="H112" s="43">
        <f t="shared" si="2"/>
        <v>11400</v>
      </c>
      <c r="I112" s="43" t="s">
        <v>45</v>
      </c>
      <c r="J112" s="43"/>
      <c r="K112" s="43"/>
    </row>
    <row r="113" spans="1:11">
      <c r="A113" s="41">
        <v>45757</v>
      </c>
      <c r="B113" s="43" t="s">
        <v>121</v>
      </c>
      <c r="C113" s="43"/>
      <c r="D113" s="43" t="s">
        <v>70</v>
      </c>
      <c r="E113" s="43" t="s">
        <v>136</v>
      </c>
      <c r="F113" s="43">
        <v>30000</v>
      </c>
      <c r="G113" s="43">
        <v>0.57</v>
      </c>
      <c r="H113" s="43">
        <f t="shared" si="2"/>
        <v>17100</v>
      </c>
      <c r="I113" s="43" t="s">
        <v>45</v>
      </c>
      <c r="J113" s="43"/>
      <c r="K113" s="43"/>
    </row>
    <row r="114" spans="1:11">
      <c r="A114" s="41">
        <v>45757</v>
      </c>
      <c r="B114" s="43" t="s">
        <v>121</v>
      </c>
      <c r="C114" s="43"/>
      <c r="D114" s="43" t="s">
        <v>70</v>
      </c>
      <c r="E114" s="43" t="s">
        <v>123</v>
      </c>
      <c r="F114" s="43">
        <v>2028</v>
      </c>
      <c r="G114" s="43">
        <v>0.57</v>
      </c>
      <c r="H114" s="43">
        <f t="shared" si="2"/>
        <v>1155.96</v>
      </c>
      <c r="I114" s="43" t="s">
        <v>126</v>
      </c>
      <c r="J114" s="43"/>
      <c r="K114" s="43"/>
    </row>
    <row r="115" spans="1:11">
      <c r="A115" s="41">
        <v>45757</v>
      </c>
      <c r="B115" s="43" t="s">
        <v>121</v>
      </c>
      <c r="C115" s="43"/>
      <c r="D115" s="43" t="s">
        <v>76</v>
      </c>
      <c r="E115" s="43" t="s">
        <v>124</v>
      </c>
      <c r="F115" s="43">
        <v>1229</v>
      </c>
      <c r="G115" s="43">
        <v>0.51</v>
      </c>
      <c r="H115" s="43">
        <f t="shared" si="2"/>
        <v>626.79</v>
      </c>
      <c r="I115" s="43" t="s">
        <v>322</v>
      </c>
      <c r="J115" s="43"/>
      <c r="K115" s="43"/>
    </row>
    <row r="116" spans="1:11">
      <c r="A116" s="41">
        <v>45757</v>
      </c>
      <c r="B116" s="43" t="s">
        <v>121</v>
      </c>
      <c r="C116" s="43"/>
      <c r="D116" s="43" t="s">
        <v>130</v>
      </c>
      <c r="E116" s="43" t="s">
        <v>123</v>
      </c>
      <c r="F116" s="43">
        <v>216</v>
      </c>
      <c r="G116" s="43">
        <v>0.51</v>
      </c>
      <c r="H116" s="43">
        <f t="shared" si="2"/>
        <v>110.16</v>
      </c>
      <c r="I116" s="43" t="s">
        <v>981</v>
      </c>
      <c r="J116" s="43"/>
      <c r="K116" s="43"/>
    </row>
    <row r="117" spans="1:11">
      <c r="A117" s="41">
        <v>45757</v>
      </c>
      <c r="B117" s="43" t="s">
        <v>121</v>
      </c>
      <c r="C117" s="43"/>
      <c r="D117" s="43" t="s">
        <v>122</v>
      </c>
      <c r="E117" s="43" t="s">
        <v>123</v>
      </c>
      <c r="F117" s="43">
        <v>22805</v>
      </c>
      <c r="G117" s="43">
        <v>0.56</v>
      </c>
      <c r="H117" s="43">
        <f t="shared" si="2"/>
        <v>12770.8</v>
      </c>
      <c r="I117" s="43" t="s">
        <v>117</v>
      </c>
      <c r="J117" s="43"/>
      <c r="K117" s="43"/>
    </row>
    <row r="118" spans="1:11">
      <c r="A118" s="41">
        <v>45759</v>
      </c>
      <c r="B118" s="43" t="s">
        <v>121</v>
      </c>
      <c r="C118" s="43"/>
      <c r="D118" s="43" t="s">
        <v>130</v>
      </c>
      <c r="E118" s="43" t="s">
        <v>60</v>
      </c>
      <c r="F118" s="43">
        <v>20033</v>
      </c>
      <c r="G118" s="43">
        <v>0.46</v>
      </c>
      <c r="H118" s="43">
        <f t="shared" si="2"/>
        <v>9215.18</v>
      </c>
      <c r="I118" s="43" t="s">
        <v>61</v>
      </c>
      <c r="J118" s="43"/>
      <c r="K118" s="43"/>
    </row>
    <row r="119" spans="1:11">
      <c r="A119" s="41">
        <v>45759</v>
      </c>
      <c r="B119" s="43" t="s">
        <v>121</v>
      </c>
      <c r="C119" s="43"/>
      <c r="D119" s="43" t="s">
        <v>59</v>
      </c>
      <c r="E119" s="43" t="s">
        <v>60</v>
      </c>
      <c r="F119" s="43">
        <v>8436</v>
      </c>
      <c r="G119" s="43">
        <v>0.49</v>
      </c>
      <c r="H119" s="43">
        <f t="shared" si="2"/>
        <v>4133.64</v>
      </c>
      <c r="I119" s="43" t="s">
        <v>982</v>
      </c>
      <c r="J119" s="43"/>
      <c r="K119" s="43"/>
    </row>
    <row r="120" spans="1:11">
      <c r="A120" s="41">
        <v>45759</v>
      </c>
      <c r="B120" s="43" t="s">
        <v>121</v>
      </c>
      <c r="C120" s="43"/>
      <c r="D120" s="43" t="s">
        <v>70</v>
      </c>
      <c r="E120" s="43" t="s">
        <v>136</v>
      </c>
      <c r="F120" s="43">
        <v>39936</v>
      </c>
      <c r="G120" s="43">
        <v>0.57</v>
      </c>
      <c r="H120" s="43">
        <f t="shared" si="2"/>
        <v>22763.52</v>
      </c>
      <c r="I120" s="43" t="s">
        <v>45</v>
      </c>
      <c r="J120" s="43"/>
      <c r="K120" s="43"/>
    </row>
    <row r="121" spans="1:11">
      <c r="A121" s="41">
        <v>45759</v>
      </c>
      <c r="B121" s="43" t="s">
        <v>121</v>
      </c>
      <c r="C121" s="43"/>
      <c r="D121" s="43" t="s">
        <v>757</v>
      </c>
      <c r="E121" s="43" t="s">
        <v>99</v>
      </c>
      <c r="F121" s="43">
        <v>5000</v>
      </c>
      <c r="G121" s="43">
        <v>1.35</v>
      </c>
      <c r="H121" s="43">
        <f t="shared" si="2"/>
        <v>6750</v>
      </c>
      <c r="I121" s="43" t="s">
        <v>570</v>
      </c>
      <c r="J121" s="43"/>
      <c r="K121" s="43"/>
    </row>
    <row r="122" spans="1:11">
      <c r="A122" s="41">
        <v>45764</v>
      </c>
      <c r="B122" s="43" t="s">
        <v>121</v>
      </c>
      <c r="C122" s="43"/>
      <c r="D122" s="43" t="s">
        <v>122</v>
      </c>
      <c r="E122" s="43" t="s">
        <v>60</v>
      </c>
      <c r="F122" s="43">
        <v>12246</v>
      </c>
      <c r="G122" s="43">
        <v>0.51</v>
      </c>
      <c r="H122" s="43">
        <f t="shared" si="2"/>
        <v>6245.46</v>
      </c>
      <c r="I122" s="43" t="s">
        <v>117</v>
      </c>
      <c r="J122" s="43"/>
      <c r="K122" s="43"/>
    </row>
    <row r="123" spans="1:11">
      <c r="A123" s="41">
        <v>45764</v>
      </c>
      <c r="B123" s="43" t="s">
        <v>121</v>
      </c>
      <c r="C123" s="43"/>
      <c r="D123" s="43" t="s">
        <v>122</v>
      </c>
      <c r="E123" s="43" t="s">
        <v>365</v>
      </c>
      <c r="F123" s="43">
        <v>2075</v>
      </c>
      <c r="G123" s="43">
        <v>0.6</v>
      </c>
      <c r="H123" s="43">
        <f t="shared" si="2"/>
        <v>1245</v>
      </c>
      <c r="I123" s="43" t="s">
        <v>166</v>
      </c>
      <c r="J123" s="43" t="s">
        <v>983</v>
      </c>
      <c r="K123" s="43">
        <v>0.77</v>
      </c>
    </row>
    <row r="124" spans="1:11">
      <c r="A124" s="41">
        <v>45764</v>
      </c>
      <c r="B124" s="43" t="s">
        <v>121</v>
      </c>
      <c r="C124" s="43"/>
      <c r="D124" s="43" t="s">
        <v>70</v>
      </c>
      <c r="E124" s="43" t="s">
        <v>136</v>
      </c>
      <c r="F124" s="43">
        <v>27134</v>
      </c>
      <c r="G124" s="43">
        <v>0.57</v>
      </c>
      <c r="H124" s="43">
        <f t="shared" si="2"/>
        <v>15466.38</v>
      </c>
      <c r="I124" s="43" t="s">
        <v>45</v>
      </c>
      <c r="J124" s="43"/>
      <c r="K124" s="43"/>
    </row>
    <row r="125" spans="1:11">
      <c r="A125" s="41">
        <v>45768</v>
      </c>
      <c r="B125" s="43" t="s">
        <v>121</v>
      </c>
      <c r="C125" s="43"/>
      <c r="D125" s="43" t="s">
        <v>122</v>
      </c>
      <c r="E125" s="43" t="s">
        <v>127</v>
      </c>
      <c r="F125" s="43">
        <v>2010</v>
      </c>
      <c r="G125" s="43">
        <v>0.62</v>
      </c>
      <c r="H125" s="43">
        <f t="shared" si="2"/>
        <v>1246.2</v>
      </c>
      <c r="I125" s="43" t="s">
        <v>984</v>
      </c>
      <c r="J125" s="43"/>
      <c r="K125" s="43"/>
    </row>
    <row r="126" spans="1:11">
      <c r="A126" s="41">
        <v>45768</v>
      </c>
      <c r="B126" s="43" t="s">
        <v>121</v>
      </c>
      <c r="C126" s="43"/>
      <c r="D126" s="43" t="s">
        <v>130</v>
      </c>
      <c r="E126" s="43" t="s">
        <v>60</v>
      </c>
      <c r="F126" s="43">
        <v>27382</v>
      </c>
      <c r="G126" s="43">
        <v>0.46</v>
      </c>
      <c r="H126" s="43">
        <f t="shared" si="2"/>
        <v>12595.72</v>
      </c>
      <c r="I126" s="43" t="s">
        <v>982</v>
      </c>
      <c r="J126" s="43"/>
      <c r="K126" s="43"/>
    </row>
    <row r="127" spans="1:11">
      <c r="A127" s="41">
        <v>45770</v>
      </c>
      <c r="B127" s="43" t="s">
        <v>121</v>
      </c>
      <c r="C127" s="43"/>
      <c r="D127" s="43" t="s">
        <v>122</v>
      </c>
      <c r="E127" s="43" t="s">
        <v>123</v>
      </c>
      <c r="F127" s="43">
        <v>6121</v>
      </c>
      <c r="G127" s="43">
        <v>0.56</v>
      </c>
      <c r="H127" s="43">
        <f>F127*G127</f>
        <v>3427.76</v>
      </c>
      <c r="I127" s="43" t="s">
        <v>117</v>
      </c>
      <c r="J127" s="43"/>
      <c r="K127" s="43"/>
    </row>
    <row r="128" spans="1:11">
      <c r="A128" s="41">
        <v>45770</v>
      </c>
      <c r="B128" s="43" t="s">
        <v>121</v>
      </c>
      <c r="C128" s="43"/>
      <c r="D128" s="43" t="s">
        <v>70</v>
      </c>
      <c r="E128" s="43" t="s">
        <v>136</v>
      </c>
      <c r="F128" s="43">
        <v>27116</v>
      </c>
      <c r="G128" s="43">
        <v>0.57</v>
      </c>
      <c r="H128" s="43">
        <f>F128*G128</f>
        <v>15456.12</v>
      </c>
      <c r="I128" s="43" t="s">
        <v>45</v>
      </c>
      <c r="J128" s="43"/>
      <c r="K128" s="43"/>
    </row>
    <row r="129" spans="1:11">
      <c r="A129" s="41">
        <v>45770</v>
      </c>
      <c r="B129" s="43" t="s">
        <v>121</v>
      </c>
      <c r="C129" s="43"/>
      <c r="D129" s="43" t="s">
        <v>59</v>
      </c>
      <c r="E129" s="43" t="s">
        <v>985</v>
      </c>
      <c r="F129" s="43">
        <v>4031</v>
      </c>
      <c r="G129" s="43">
        <v>0.49</v>
      </c>
      <c r="H129" s="43">
        <f>F129*G129</f>
        <v>1975.19</v>
      </c>
      <c r="I129" s="43" t="s">
        <v>982</v>
      </c>
      <c r="J129" s="43">
        <v>0.51</v>
      </c>
      <c r="K129" s="43"/>
    </row>
    <row r="130" s="35" customFormat="1" spans="1:11">
      <c r="A130" s="44">
        <v>45774</v>
      </c>
      <c r="B130" s="45" t="s">
        <v>121</v>
      </c>
      <c r="C130" s="45"/>
      <c r="D130" s="45" t="s">
        <v>76</v>
      </c>
      <c r="E130" s="45" t="s">
        <v>127</v>
      </c>
      <c r="F130" s="45">
        <v>3646</v>
      </c>
      <c r="G130" s="45">
        <v>0.55</v>
      </c>
      <c r="H130" s="45">
        <f>F130*G130</f>
        <v>2005.3</v>
      </c>
      <c r="I130" s="45" t="s">
        <v>100</v>
      </c>
      <c r="J130" s="45"/>
      <c r="K130" s="45"/>
    </row>
    <row r="131" s="35" customFormat="1" spans="1:11">
      <c r="A131" s="44">
        <v>45748</v>
      </c>
      <c r="B131" s="45" t="s">
        <v>113</v>
      </c>
      <c r="C131" s="45" t="s">
        <v>986</v>
      </c>
      <c r="D131" s="45" t="s">
        <v>76</v>
      </c>
      <c r="E131" s="45" t="s">
        <v>123</v>
      </c>
      <c r="F131" s="45">
        <v>14170</v>
      </c>
      <c r="G131" s="45">
        <v>0.5</v>
      </c>
      <c r="H131" s="45">
        <f t="shared" ref="H131:H169" si="3">F131*G131</f>
        <v>7085</v>
      </c>
      <c r="I131" s="45" t="s">
        <v>126</v>
      </c>
      <c r="J131" s="45"/>
      <c r="K131" s="45"/>
    </row>
    <row r="132" s="35" customFormat="1" spans="1:11">
      <c r="A132" s="44">
        <v>45748</v>
      </c>
      <c r="B132" s="45" t="s">
        <v>113</v>
      </c>
      <c r="C132" s="45" t="s">
        <v>986</v>
      </c>
      <c r="D132" s="45" t="s">
        <v>76</v>
      </c>
      <c r="E132" s="45" t="s">
        <v>123</v>
      </c>
      <c r="F132" s="45">
        <v>16080</v>
      </c>
      <c r="G132" s="45">
        <v>0.5</v>
      </c>
      <c r="H132" s="45">
        <f t="shared" si="3"/>
        <v>8040</v>
      </c>
      <c r="I132" s="45" t="s">
        <v>126</v>
      </c>
      <c r="J132" s="45"/>
      <c r="K132" s="45"/>
    </row>
    <row r="133" s="35" customFormat="1" spans="1:11">
      <c r="A133" s="44">
        <v>45748</v>
      </c>
      <c r="B133" s="45" t="s">
        <v>113</v>
      </c>
      <c r="C133" s="45" t="s">
        <v>987</v>
      </c>
      <c r="D133" s="45" t="s">
        <v>988</v>
      </c>
      <c r="E133" s="45" t="s">
        <v>123</v>
      </c>
      <c r="F133" s="45">
        <v>20</v>
      </c>
      <c r="G133" s="45">
        <v>0</v>
      </c>
      <c r="H133" s="45">
        <f t="shared" si="3"/>
        <v>0</v>
      </c>
      <c r="I133" s="45" t="s">
        <v>32</v>
      </c>
      <c r="J133" s="45"/>
      <c r="K133" s="45"/>
    </row>
    <row r="134" s="35" customFormat="1" spans="1:11">
      <c r="A134" s="44">
        <v>45750</v>
      </c>
      <c r="B134" s="45" t="s">
        <v>113</v>
      </c>
      <c r="C134" s="45" t="s">
        <v>989</v>
      </c>
      <c r="D134" s="45" t="s">
        <v>128</v>
      </c>
      <c r="E134" s="45" t="s">
        <v>60</v>
      </c>
      <c r="F134" s="45">
        <v>130</v>
      </c>
      <c r="G134" s="45">
        <v>0.5</v>
      </c>
      <c r="H134" s="45">
        <f t="shared" si="3"/>
        <v>65</v>
      </c>
      <c r="I134" s="45" t="s">
        <v>466</v>
      </c>
      <c r="J134" s="45"/>
      <c r="K134" s="45"/>
    </row>
    <row r="135" s="35" customFormat="1" spans="1:11">
      <c r="A135" s="44">
        <v>45750</v>
      </c>
      <c r="B135" s="45" t="s">
        <v>113</v>
      </c>
      <c r="C135" s="45" t="s">
        <v>989</v>
      </c>
      <c r="D135" s="45" t="s">
        <v>128</v>
      </c>
      <c r="E135" s="45" t="s">
        <v>60</v>
      </c>
      <c r="F135" s="45">
        <v>20</v>
      </c>
      <c r="G135" s="45">
        <v>0</v>
      </c>
      <c r="H135" s="45">
        <f t="shared" si="3"/>
        <v>0</v>
      </c>
      <c r="I135" s="45" t="s">
        <v>32</v>
      </c>
      <c r="J135" s="45"/>
      <c r="K135" s="45"/>
    </row>
    <row r="136" s="35" customFormat="1" spans="1:11">
      <c r="A136" s="44">
        <v>45749</v>
      </c>
      <c r="B136" s="45" t="s">
        <v>113</v>
      </c>
      <c r="C136" s="45" t="s">
        <v>990</v>
      </c>
      <c r="D136" s="45" t="s">
        <v>128</v>
      </c>
      <c r="E136" s="45" t="s">
        <v>60</v>
      </c>
      <c r="F136" s="45">
        <v>6060</v>
      </c>
      <c r="G136" s="45">
        <v>0.5</v>
      </c>
      <c r="H136" s="45">
        <f t="shared" si="3"/>
        <v>3030</v>
      </c>
      <c r="I136" s="45" t="s">
        <v>432</v>
      </c>
      <c r="J136" s="45"/>
      <c r="K136" s="45"/>
    </row>
    <row r="137" s="35" customFormat="1" spans="1:11">
      <c r="A137" s="44">
        <v>45749</v>
      </c>
      <c r="B137" s="45" t="s">
        <v>113</v>
      </c>
      <c r="C137" s="45" t="s">
        <v>990</v>
      </c>
      <c r="D137" s="45" t="s">
        <v>76</v>
      </c>
      <c r="E137" s="45" t="s">
        <v>346</v>
      </c>
      <c r="F137" s="45">
        <v>4510</v>
      </c>
      <c r="G137" s="45">
        <v>0.5</v>
      </c>
      <c r="H137" s="45">
        <f t="shared" si="3"/>
        <v>2255</v>
      </c>
      <c r="I137" s="45" t="s">
        <v>340</v>
      </c>
      <c r="J137" s="45"/>
      <c r="K137" s="45"/>
    </row>
    <row r="138" s="35" customFormat="1" spans="1:11">
      <c r="A138" s="44">
        <v>45750</v>
      </c>
      <c r="B138" s="45" t="s">
        <v>113</v>
      </c>
      <c r="C138" s="45" t="s">
        <v>991</v>
      </c>
      <c r="D138" s="45" t="s">
        <v>130</v>
      </c>
      <c r="E138" s="45" t="s">
        <v>123</v>
      </c>
      <c r="F138" s="45">
        <v>20020</v>
      </c>
      <c r="G138" s="45">
        <v>0.5</v>
      </c>
      <c r="H138" s="45">
        <f t="shared" si="3"/>
        <v>10010</v>
      </c>
      <c r="I138" s="45" t="s">
        <v>117</v>
      </c>
      <c r="J138" s="45"/>
      <c r="K138" s="45"/>
    </row>
    <row r="139" s="35" customFormat="1" spans="1:11">
      <c r="A139" s="44">
        <v>45750</v>
      </c>
      <c r="B139" s="45" t="s">
        <v>113</v>
      </c>
      <c r="C139" s="45" t="s">
        <v>991</v>
      </c>
      <c r="D139" s="45" t="s">
        <v>76</v>
      </c>
      <c r="E139" s="45" t="s">
        <v>123</v>
      </c>
      <c r="F139" s="45">
        <v>19220</v>
      </c>
      <c r="G139" s="45">
        <v>0.5</v>
      </c>
      <c r="H139" s="45">
        <f t="shared" si="3"/>
        <v>9610</v>
      </c>
      <c r="I139" s="45" t="s">
        <v>117</v>
      </c>
      <c r="J139" s="45"/>
      <c r="K139" s="45"/>
    </row>
    <row r="140" s="35" customFormat="1" spans="1:11">
      <c r="A140" s="44">
        <v>45750</v>
      </c>
      <c r="B140" s="45" t="s">
        <v>113</v>
      </c>
      <c r="C140" s="45" t="s">
        <v>991</v>
      </c>
      <c r="D140" s="45" t="s">
        <v>76</v>
      </c>
      <c r="E140" s="45" t="s">
        <v>123</v>
      </c>
      <c r="F140" s="45">
        <v>12170</v>
      </c>
      <c r="G140" s="45">
        <v>0.5</v>
      </c>
      <c r="H140" s="45">
        <f t="shared" si="3"/>
        <v>6085</v>
      </c>
      <c r="I140" s="45" t="s">
        <v>126</v>
      </c>
      <c r="J140" s="45"/>
      <c r="K140" s="45"/>
    </row>
    <row r="141" s="35" customFormat="1" spans="1:11">
      <c r="A141" s="44">
        <v>45754</v>
      </c>
      <c r="B141" s="45" t="s">
        <v>113</v>
      </c>
      <c r="C141" s="45" t="s">
        <v>992</v>
      </c>
      <c r="D141" s="45" t="s">
        <v>993</v>
      </c>
      <c r="E141" s="45" t="s">
        <v>60</v>
      </c>
      <c r="F141" s="45">
        <v>6060</v>
      </c>
      <c r="G141" s="45">
        <v>0.75</v>
      </c>
      <c r="H141" s="45">
        <f t="shared" si="3"/>
        <v>4545</v>
      </c>
      <c r="I141" s="45" t="s">
        <v>56</v>
      </c>
      <c r="J141" s="45"/>
      <c r="K141" s="45"/>
    </row>
    <row r="142" s="35" customFormat="1" spans="1:11">
      <c r="A142" s="44">
        <v>45754</v>
      </c>
      <c r="B142" s="45" t="s">
        <v>113</v>
      </c>
      <c r="C142" s="45" t="s">
        <v>992</v>
      </c>
      <c r="D142" s="45" t="s">
        <v>59</v>
      </c>
      <c r="E142" s="45" t="s">
        <v>123</v>
      </c>
      <c r="F142" s="45">
        <v>8110</v>
      </c>
      <c r="G142" s="45">
        <v>0.53</v>
      </c>
      <c r="H142" s="45">
        <f t="shared" si="3"/>
        <v>4298.3</v>
      </c>
      <c r="I142" s="45" t="s">
        <v>761</v>
      </c>
      <c r="J142" s="45"/>
      <c r="K142" s="45"/>
    </row>
    <row r="143" s="35" customFormat="1" spans="1:11">
      <c r="A143" s="44">
        <v>45754</v>
      </c>
      <c r="B143" s="45" t="s">
        <v>113</v>
      </c>
      <c r="C143" s="45" t="s">
        <v>992</v>
      </c>
      <c r="D143" s="45" t="s">
        <v>122</v>
      </c>
      <c r="E143" s="45" t="s">
        <v>123</v>
      </c>
      <c r="F143" s="45">
        <v>4025</v>
      </c>
      <c r="G143" s="45">
        <v>0.55</v>
      </c>
      <c r="H143" s="45">
        <f t="shared" si="3"/>
        <v>2213.75</v>
      </c>
      <c r="I143" s="45" t="s">
        <v>126</v>
      </c>
      <c r="J143" s="45"/>
      <c r="K143" s="45"/>
    </row>
    <row r="144" s="35" customFormat="1" spans="1:11">
      <c r="A144" s="44">
        <v>45755</v>
      </c>
      <c r="B144" s="45" t="s">
        <v>113</v>
      </c>
      <c r="C144" s="45" t="s">
        <v>994</v>
      </c>
      <c r="D144" s="45" t="s">
        <v>76</v>
      </c>
      <c r="E144" s="45" t="s">
        <v>123</v>
      </c>
      <c r="F144" s="45">
        <v>6020</v>
      </c>
      <c r="G144" s="45">
        <v>0.5</v>
      </c>
      <c r="H144" s="45">
        <f t="shared" si="3"/>
        <v>3010</v>
      </c>
      <c r="I144" s="45" t="s">
        <v>126</v>
      </c>
      <c r="J144" s="45"/>
      <c r="K144" s="45"/>
    </row>
    <row r="145" s="35" customFormat="1" spans="1:11">
      <c r="A145" s="44">
        <v>45756</v>
      </c>
      <c r="B145" s="45" t="s">
        <v>113</v>
      </c>
      <c r="C145" s="45" t="s">
        <v>995</v>
      </c>
      <c r="D145" s="45" t="s">
        <v>76</v>
      </c>
      <c r="E145" s="45" t="s">
        <v>123</v>
      </c>
      <c r="F145" s="45">
        <v>7020</v>
      </c>
      <c r="G145" s="45">
        <v>0.5</v>
      </c>
      <c r="H145" s="45">
        <f t="shared" si="3"/>
        <v>3510</v>
      </c>
      <c r="I145" s="45" t="s">
        <v>126</v>
      </c>
      <c r="J145" s="45"/>
      <c r="K145" s="45"/>
    </row>
    <row r="146" s="35" customFormat="1" spans="1:11">
      <c r="A146" s="44">
        <v>45757</v>
      </c>
      <c r="B146" s="45" t="s">
        <v>113</v>
      </c>
      <c r="C146" s="45" t="s">
        <v>996</v>
      </c>
      <c r="D146" s="45" t="s">
        <v>76</v>
      </c>
      <c r="E146" s="45" t="s">
        <v>127</v>
      </c>
      <c r="F146" s="45">
        <v>2025</v>
      </c>
      <c r="G146" s="45">
        <v>0.52</v>
      </c>
      <c r="H146" s="45">
        <f t="shared" si="3"/>
        <v>1053</v>
      </c>
      <c r="I146" s="45" t="s">
        <v>126</v>
      </c>
      <c r="J146" s="45"/>
      <c r="K146" s="45"/>
    </row>
    <row r="147" s="35" customFormat="1" spans="1:11">
      <c r="A147" s="44">
        <v>45757</v>
      </c>
      <c r="B147" s="45" t="s">
        <v>113</v>
      </c>
      <c r="C147" s="45" t="s">
        <v>997</v>
      </c>
      <c r="D147" s="45" t="s">
        <v>59</v>
      </c>
      <c r="E147" s="45" t="s">
        <v>123</v>
      </c>
      <c r="F147" s="45">
        <v>30</v>
      </c>
      <c r="G147" s="45">
        <v>0.53</v>
      </c>
      <c r="H147" s="45">
        <f t="shared" si="3"/>
        <v>15.9</v>
      </c>
      <c r="I147" s="45" t="s">
        <v>761</v>
      </c>
      <c r="J147" s="45"/>
      <c r="K147" s="45"/>
    </row>
    <row r="148" s="35" customFormat="1" spans="1:11">
      <c r="A148" s="44">
        <v>45758</v>
      </c>
      <c r="B148" s="45" t="s">
        <v>113</v>
      </c>
      <c r="C148" s="45" t="s">
        <v>998</v>
      </c>
      <c r="D148" s="45" t="s">
        <v>76</v>
      </c>
      <c r="E148" s="45" t="s">
        <v>123</v>
      </c>
      <c r="F148" s="45">
        <v>1030</v>
      </c>
      <c r="G148" s="45">
        <v>0.5</v>
      </c>
      <c r="H148" s="45">
        <f t="shared" si="3"/>
        <v>515</v>
      </c>
      <c r="I148" s="45" t="s">
        <v>126</v>
      </c>
      <c r="J148" s="45"/>
      <c r="K148" s="45"/>
    </row>
    <row r="149" s="35" customFormat="1" spans="1:11">
      <c r="A149" s="44">
        <v>45758</v>
      </c>
      <c r="B149" s="45" t="s">
        <v>113</v>
      </c>
      <c r="C149" s="45" t="s">
        <v>998</v>
      </c>
      <c r="D149" s="45" t="s">
        <v>130</v>
      </c>
      <c r="E149" s="45" t="s">
        <v>123</v>
      </c>
      <c r="F149" s="45">
        <v>100</v>
      </c>
      <c r="G149" s="45">
        <v>0.5</v>
      </c>
      <c r="H149" s="45">
        <f t="shared" si="3"/>
        <v>50</v>
      </c>
      <c r="I149" s="45" t="s">
        <v>117</v>
      </c>
      <c r="J149" s="45"/>
      <c r="K149" s="45"/>
    </row>
    <row r="150" s="35" customFormat="1" spans="1:11">
      <c r="A150" s="44">
        <v>45758</v>
      </c>
      <c r="B150" s="45" t="s">
        <v>113</v>
      </c>
      <c r="C150" s="45" t="s">
        <v>998</v>
      </c>
      <c r="D150" s="45" t="s">
        <v>76</v>
      </c>
      <c r="E150" s="45" t="s">
        <v>123</v>
      </c>
      <c r="F150" s="45">
        <v>30</v>
      </c>
      <c r="G150" s="45">
        <v>0.5</v>
      </c>
      <c r="H150" s="45">
        <f t="shared" si="3"/>
        <v>15</v>
      </c>
      <c r="I150" s="45" t="s">
        <v>999</v>
      </c>
      <c r="J150" s="45"/>
      <c r="K150" s="45"/>
    </row>
    <row r="151" s="35" customFormat="1" spans="1:11">
      <c r="A151" s="44">
        <v>45759</v>
      </c>
      <c r="B151" s="45" t="s">
        <v>113</v>
      </c>
      <c r="C151" s="45" t="s">
        <v>1000</v>
      </c>
      <c r="D151" s="45" t="s">
        <v>122</v>
      </c>
      <c r="E151" s="45" t="s">
        <v>123</v>
      </c>
      <c r="F151" s="45">
        <v>20</v>
      </c>
      <c r="G151" s="45">
        <v>0</v>
      </c>
      <c r="H151" s="45">
        <f t="shared" si="3"/>
        <v>0</v>
      </c>
      <c r="I151" s="45" t="s">
        <v>32</v>
      </c>
      <c r="J151" s="45"/>
      <c r="K151" s="45"/>
    </row>
    <row r="152" s="35" customFormat="1" spans="1:11">
      <c r="A152" s="44">
        <v>45759</v>
      </c>
      <c r="B152" s="45" t="s">
        <v>113</v>
      </c>
      <c r="C152" s="45" t="s">
        <v>1001</v>
      </c>
      <c r="D152" s="45" t="s">
        <v>76</v>
      </c>
      <c r="E152" s="45" t="s">
        <v>123</v>
      </c>
      <c r="F152" s="45">
        <v>6010</v>
      </c>
      <c r="G152" s="45">
        <v>0.5</v>
      </c>
      <c r="H152" s="45">
        <f t="shared" si="3"/>
        <v>3005</v>
      </c>
      <c r="I152" s="45" t="s">
        <v>999</v>
      </c>
      <c r="J152" s="45"/>
      <c r="K152" s="45"/>
    </row>
    <row r="153" s="35" customFormat="1" spans="1:11">
      <c r="A153" s="44">
        <v>45759</v>
      </c>
      <c r="B153" s="45" t="s">
        <v>113</v>
      </c>
      <c r="C153" s="45" t="s">
        <v>1001</v>
      </c>
      <c r="D153" s="45" t="s">
        <v>128</v>
      </c>
      <c r="E153" s="45" t="s">
        <v>60</v>
      </c>
      <c r="F153" s="45">
        <v>205</v>
      </c>
      <c r="G153" s="45">
        <v>0.5</v>
      </c>
      <c r="H153" s="45">
        <f t="shared" si="3"/>
        <v>102.5</v>
      </c>
      <c r="I153" s="45" t="s">
        <v>63</v>
      </c>
      <c r="J153" s="45"/>
      <c r="K153" s="45"/>
    </row>
    <row r="154" s="35" customFormat="1" spans="1:11">
      <c r="A154" s="44">
        <v>45759</v>
      </c>
      <c r="B154" s="45" t="s">
        <v>113</v>
      </c>
      <c r="C154" s="45" t="s">
        <v>1001</v>
      </c>
      <c r="D154" s="45" t="s">
        <v>122</v>
      </c>
      <c r="E154" s="45" t="s">
        <v>123</v>
      </c>
      <c r="F154" s="45">
        <v>2030</v>
      </c>
      <c r="G154" s="45">
        <v>0.55</v>
      </c>
      <c r="H154" s="45">
        <f t="shared" si="3"/>
        <v>1116.5</v>
      </c>
      <c r="I154" s="45" t="s">
        <v>126</v>
      </c>
      <c r="J154" s="45"/>
      <c r="K154" s="45"/>
    </row>
    <row r="155" s="35" customFormat="1" spans="1:11">
      <c r="A155" s="44">
        <v>45759</v>
      </c>
      <c r="B155" s="45" t="s">
        <v>113</v>
      </c>
      <c r="C155" s="45" t="s">
        <v>1001</v>
      </c>
      <c r="D155" s="45" t="s">
        <v>627</v>
      </c>
      <c r="E155" s="45" t="s">
        <v>123</v>
      </c>
      <c r="F155" s="45">
        <v>205</v>
      </c>
      <c r="G155" s="45">
        <v>0.53</v>
      </c>
      <c r="H155" s="45">
        <f t="shared" si="3"/>
        <v>108.65</v>
      </c>
      <c r="I155" s="45" t="s">
        <v>637</v>
      </c>
      <c r="J155" s="45"/>
      <c r="K155" s="45"/>
    </row>
    <row r="156" s="35" customFormat="1" spans="1:11">
      <c r="A156" s="44">
        <v>45760</v>
      </c>
      <c r="B156" s="45" t="s">
        <v>113</v>
      </c>
      <c r="C156" s="45" t="s">
        <v>1002</v>
      </c>
      <c r="D156" s="45" t="s">
        <v>128</v>
      </c>
      <c r="E156" s="45" t="s">
        <v>60</v>
      </c>
      <c r="F156" s="45">
        <v>6210</v>
      </c>
      <c r="G156" s="45">
        <v>0.5</v>
      </c>
      <c r="H156" s="45">
        <f t="shared" si="3"/>
        <v>3105</v>
      </c>
      <c r="I156" s="45" t="s">
        <v>466</v>
      </c>
      <c r="J156" s="45"/>
      <c r="K156" s="45"/>
    </row>
    <row r="157" s="35" customFormat="1" spans="1:11">
      <c r="A157" s="44">
        <v>45762</v>
      </c>
      <c r="B157" s="45" t="s">
        <v>113</v>
      </c>
      <c r="C157" s="45" t="s">
        <v>1003</v>
      </c>
      <c r="D157" s="45" t="s">
        <v>122</v>
      </c>
      <c r="E157" s="45" t="s">
        <v>127</v>
      </c>
      <c r="F157" s="45">
        <v>20</v>
      </c>
      <c r="G157" s="45">
        <v>0</v>
      </c>
      <c r="H157" s="45">
        <f t="shared" si="3"/>
        <v>0</v>
      </c>
      <c r="I157" s="45" t="s">
        <v>32</v>
      </c>
      <c r="J157" s="45"/>
      <c r="K157" s="45"/>
    </row>
    <row r="158" s="35" customFormat="1" spans="1:11">
      <c r="A158" s="44">
        <v>45762</v>
      </c>
      <c r="B158" s="45" t="s">
        <v>113</v>
      </c>
      <c r="C158" s="45" t="s">
        <v>1004</v>
      </c>
      <c r="D158" s="45" t="s">
        <v>128</v>
      </c>
      <c r="E158" s="45" t="s">
        <v>60</v>
      </c>
      <c r="F158" s="45">
        <v>30050</v>
      </c>
      <c r="G158" s="45">
        <v>0.5</v>
      </c>
      <c r="H158" s="45">
        <f t="shared" si="3"/>
        <v>15025</v>
      </c>
      <c r="I158" s="45" t="s">
        <v>243</v>
      </c>
      <c r="J158" s="45"/>
      <c r="K158" s="45"/>
    </row>
    <row r="159" s="35" customFormat="1" spans="1:11">
      <c r="A159" s="44">
        <v>45763</v>
      </c>
      <c r="B159" s="45" t="s">
        <v>113</v>
      </c>
      <c r="C159" s="45" t="s">
        <v>1005</v>
      </c>
      <c r="D159" s="45" t="s">
        <v>130</v>
      </c>
      <c r="E159" s="45" t="s">
        <v>60</v>
      </c>
      <c r="F159" s="45">
        <v>4020</v>
      </c>
      <c r="G159" s="45">
        <v>0.45</v>
      </c>
      <c r="H159" s="45">
        <f t="shared" si="3"/>
        <v>1809</v>
      </c>
      <c r="I159" s="45" t="s">
        <v>1006</v>
      </c>
      <c r="J159" s="45"/>
      <c r="K159" s="45"/>
    </row>
    <row r="160" s="35" customFormat="1" spans="1:11">
      <c r="A160" s="44">
        <v>45764</v>
      </c>
      <c r="B160" s="45" t="s">
        <v>113</v>
      </c>
      <c r="C160" s="45" t="s">
        <v>1007</v>
      </c>
      <c r="D160" s="45" t="s">
        <v>76</v>
      </c>
      <c r="E160" s="45" t="s">
        <v>62</v>
      </c>
      <c r="F160" s="45">
        <v>6090</v>
      </c>
      <c r="G160" s="45">
        <v>0.49</v>
      </c>
      <c r="H160" s="45">
        <f t="shared" si="3"/>
        <v>2984.1</v>
      </c>
      <c r="I160" s="45" t="s">
        <v>644</v>
      </c>
      <c r="J160" s="45"/>
      <c r="K160" s="45"/>
    </row>
    <row r="161" s="35" customFormat="1" spans="1:11">
      <c r="A161" s="44">
        <v>45764</v>
      </c>
      <c r="B161" s="45" t="s">
        <v>113</v>
      </c>
      <c r="C161" s="45" t="s">
        <v>1007</v>
      </c>
      <c r="D161" s="45" t="s">
        <v>76</v>
      </c>
      <c r="E161" s="45" t="s">
        <v>60</v>
      </c>
      <c r="F161" s="45">
        <v>12330</v>
      </c>
      <c r="G161" s="45">
        <v>0.47</v>
      </c>
      <c r="H161" s="45">
        <f t="shared" si="3"/>
        <v>5795.1</v>
      </c>
      <c r="I161" s="45" t="s">
        <v>126</v>
      </c>
      <c r="J161" s="45"/>
      <c r="K161" s="45"/>
    </row>
    <row r="162" s="35" customFormat="1" spans="1:11">
      <c r="A162" s="44">
        <v>45764</v>
      </c>
      <c r="B162" s="45" t="s">
        <v>113</v>
      </c>
      <c r="C162" s="45" t="s">
        <v>1007</v>
      </c>
      <c r="D162" s="45" t="s">
        <v>76</v>
      </c>
      <c r="E162" s="45" t="s">
        <v>342</v>
      </c>
      <c r="F162" s="45">
        <v>30450</v>
      </c>
      <c r="G162" s="45">
        <v>0.47</v>
      </c>
      <c r="H162" s="45">
        <f t="shared" si="3"/>
        <v>14311.5</v>
      </c>
      <c r="I162" s="45" t="s">
        <v>340</v>
      </c>
      <c r="J162" s="45"/>
      <c r="K162" s="45"/>
    </row>
    <row r="163" s="35" customFormat="1" spans="1:11">
      <c r="A163" s="44">
        <v>45764</v>
      </c>
      <c r="B163" s="45" t="s">
        <v>113</v>
      </c>
      <c r="C163" s="45" t="s">
        <v>1007</v>
      </c>
      <c r="D163" s="45" t="s">
        <v>122</v>
      </c>
      <c r="E163" s="45" t="s">
        <v>123</v>
      </c>
      <c r="F163" s="45">
        <v>13530</v>
      </c>
      <c r="G163" s="45">
        <v>0.53</v>
      </c>
      <c r="H163" s="45">
        <f t="shared" si="3"/>
        <v>7170.9</v>
      </c>
      <c r="I163" s="45" t="s">
        <v>340</v>
      </c>
      <c r="J163" s="45"/>
      <c r="K163" s="45"/>
    </row>
    <row r="164" spans="1:11">
      <c r="A164" s="44">
        <v>45765</v>
      </c>
      <c r="B164" s="45" t="s">
        <v>113</v>
      </c>
      <c r="C164" s="45" t="s">
        <v>1008</v>
      </c>
      <c r="D164" s="45" t="s">
        <v>203</v>
      </c>
      <c r="E164" s="45" t="s">
        <v>123</v>
      </c>
      <c r="F164" s="45">
        <v>3080</v>
      </c>
      <c r="G164" s="45">
        <v>0.75</v>
      </c>
      <c r="H164" s="45">
        <f t="shared" si="3"/>
        <v>2310</v>
      </c>
      <c r="I164" s="45" t="s">
        <v>117</v>
      </c>
      <c r="J164" s="43"/>
      <c r="K164" s="43"/>
    </row>
    <row r="165" spans="1:11">
      <c r="A165" s="44">
        <v>45766</v>
      </c>
      <c r="B165" s="45" t="s">
        <v>113</v>
      </c>
      <c r="C165" s="45" t="s">
        <v>1009</v>
      </c>
      <c r="D165" s="45" t="s">
        <v>76</v>
      </c>
      <c r="E165" s="45" t="s">
        <v>60</v>
      </c>
      <c r="F165" s="45">
        <v>28200</v>
      </c>
      <c r="G165" s="45">
        <v>0.47</v>
      </c>
      <c r="H165" s="45">
        <f t="shared" si="3"/>
        <v>13254</v>
      </c>
      <c r="I165" s="45" t="s">
        <v>100</v>
      </c>
      <c r="J165" s="43"/>
      <c r="K165" s="43"/>
    </row>
    <row r="166" spans="1:11">
      <c r="A166" s="44">
        <v>45768</v>
      </c>
      <c r="B166" s="45" t="s">
        <v>113</v>
      </c>
      <c r="C166" s="45" t="s">
        <v>1010</v>
      </c>
      <c r="D166" s="45" t="s">
        <v>76</v>
      </c>
      <c r="E166" s="45" t="s">
        <v>60</v>
      </c>
      <c r="F166" s="45">
        <v>5155</v>
      </c>
      <c r="G166" s="45">
        <v>0.47</v>
      </c>
      <c r="H166" s="45">
        <f t="shared" si="3"/>
        <v>2422.85</v>
      </c>
      <c r="I166" s="45" t="s">
        <v>126</v>
      </c>
      <c r="J166" s="43"/>
      <c r="K166" s="43"/>
    </row>
    <row r="167" spans="1:11">
      <c r="A167" s="44">
        <v>45768</v>
      </c>
      <c r="B167" s="45" t="s">
        <v>113</v>
      </c>
      <c r="C167" s="45" t="s">
        <v>1010</v>
      </c>
      <c r="D167" s="45" t="s">
        <v>128</v>
      </c>
      <c r="E167" s="45" t="s">
        <v>60</v>
      </c>
      <c r="F167" s="45">
        <v>20020</v>
      </c>
      <c r="G167" s="45">
        <v>0.5</v>
      </c>
      <c r="H167" s="45">
        <f t="shared" si="3"/>
        <v>10010</v>
      </c>
      <c r="I167" s="45" t="s">
        <v>129</v>
      </c>
      <c r="J167" s="43"/>
      <c r="K167" s="43"/>
    </row>
    <row r="168" spans="1:11">
      <c r="A168" s="41">
        <v>45768</v>
      </c>
      <c r="B168" s="43" t="s">
        <v>113</v>
      </c>
      <c r="C168" s="43" t="s">
        <v>1011</v>
      </c>
      <c r="D168" s="43" t="s">
        <v>59</v>
      </c>
      <c r="E168" s="43" t="s">
        <v>123</v>
      </c>
      <c r="F168" s="43">
        <v>20</v>
      </c>
      <c r="G168" s="43">
        <v>0</v>
      </c>
      <c r="H168" s="43">
        <f t="shared" si="3"/>
        <v>0</v>
      </c>
      <c r="I168" s="43" t="s">
        <v>32</v>
      </c>
      <c r="J168" s="43"/>
      <c r="K168" s="43"/>
    </row>
    <row r="169" spans="1:11">
      <c r="A169" s="41">
        <v>45770</v>
      </c>
      <c r="B169" s="43" t="s">
        <v>113</v>
      </c>
      <c r="C169" s="43" t="s">
        <v>1012</v>
      </c>
      <c r="D169" s="43" t="s">
        <v>332</v>
      </c>
      <c r="E169" s="43" t="s">
        <v>62</v>
      </c>
      <c r="F169" s="43">
        <v>20</v>
      </c>
      <c r="G169" s="43">
        <v>0</v>
      </c>
      <c r="H169" s="43">
        <f t="shared" si="3"/>
        <v>0</v>
      </c>
      <c r="I169" s="43" t="s">
        <v>278</v>
      </c>
      <c r="J169" s="43"/>
      <c r="K169" s="43"/>
    </row>
    <row r="170" s="35" customFormat="1" spans="1:11">
      <c r="A170" s="44">
        <v>45769</v>
      </c>
      <c r="B170" s="45" t="s">
        <v>113</v>
      </c>
      <c r="C170" s="45" t="s">
        <v>1013</v>
      </c>
      <c r="D170" s="45" t="s">
        <v>128</v>
      </c>
      <c r="E170" s="45" t="s">
        <v>60</v>
      </c>
      <c r="F170" s="45">
        <v>20000</v>
      </c>
      <c r="G170" s="45">
        <v>0.5</v>
      </c>
      <c r="H170" s="45">
        <f t="shared" ref="H170:H178" si="4">F170*G170</f>
        <v>10000</v>
      </c>
      <c r="I170" s="45" t="s">
        <v>129</v>
      </c>
      <c r="J170" s="45"/>
      <c r="K170" s="45"/>
    </row>
    <row r="171" s="35" customFormat="1" spans="1:11">
      <c r="A171" s="44">
        <v>45769</v>
      </c>
      <c r="B171" s="45" t="s">
        <v>113</v>
      </c>
      <c r="C171" s="45" t="s">
        <v>1013</v>
      </c>
      <c r="D171" s="45" t="s">
        <v>76</v>
      </c>
      <c r="E171" s="45" t="s">
        <v>207</v>
      </c>
      <c r="F171" s="45">
        <v>6110</v>
      </c>
      <c r="G171" s="45">
        <v>0.5</v>
      </c>
      <c r="H171" s="45">
        <f t="shared" si="4"/>
        <v>3055</v>
      </c>
      <c r="I171" s="45" t="s">
        <v>340</v>
      </c>
      <c r="J171" s="45"/>
      <c r="K171" s="45"/>
    </row>
    <row r="172" s="35" customFormat="1" spans="1:11">
      <c r="A172" s="44">
        <v>45769</v>
      </c>
      <c r="B172" s="45" t="s">
        <v>113</v>
      </c>
      <c r="C172" s="45" t="s">
        <v>1013</v>
      </c>
      <c r="D172" s="45" t="s">
        <v>59</v>
      </c>
      <c r="E172" s="45" t="s">
        <v>60</v>
      </c>
      <c r="F172" s="45">
        <v>10020</v>
      </c>
      <c r="G172" s="45">
        <v>0.48</v>
      </c>
      <c r="H172" s="45">
        <f t="shared" si="4"/>
        <v>4809.6</v>
      </c>
      <c r="I172" s="45" t="s">
        <v>129</v>
      </c>
      <c r="J172" s="45"/>
      <c r="K172" s="45"/>
    </row>
    <row r="173" s="35" customFormat="1" spans="1:11">
      <c r="A173" s="44">
        <v>45771</v>
      </c>
      <c r="B173" s="45" t="s">
        <v>113</v>
      </c>
      <c r="C173" s="45" t="s">
        <v>1014</v>
      </c>
      <c r="D173" s="45" t="s">
        <v>76</v>
      </c>
      <c r="E173" s="45" t="s">
        <v>123</v>
      </c>
      <c r="F173" s="45">
        <v>12220</v>
      </c>
      <c r="G173" s="45">
        <v>0.5</v>
      </c>
      <c r="H173" s="45">
        <f t="shared" si="4"/>
        <v>6110</v>
      </c>
      <c r="I173" s="45" t="s">
        <v>117</v>
      </c>
      <c r="J173" s="45"/>
      <c r="K173" s="45"/>
    </row>
    <row r="174" s="35" customFormat="1" spans="1:11">
      <c r="A174" s="44">
        <v>45771</v>
      </c>
      <c r="B174" s="45" t="s">
        <v>113</v>
      </c>
      <c r="C174" s="45" t="s">
        <v>1014</v>
      </c>
      <c r="D174" s="45" t="s">
        <v>59</v>
      </c>
      <c r="E174" s="45" t="s">
        <v>60</v>
      </c>
      <c r="F174" s="45">
        <v>2010</v>
      </c>
      <c r="G174" s="45">
        <v>0.48</v>
      </c>
      <c r="H174" s="45">
        <f t="shared" si="4"/>
        <v>964.8</v>
      </c>
      <c r="I174" s="45" t="s">
        <v>129</v>
      </c>
      <c r="J174" s="45"/>
      <c r="K174" s="45"/>
    </row>
    <row r="175" spans="1:11">
      <c r="A175" s="41">
        <v>45772</v>
      </c>
      <c r="B175" s="43" t="s">
        <v>113</v>
      </c>
      <c r="C175" s="43" t="s">
        <v>1015</v>
      </c>
      <c r="D175" s="43" t="s">
        <v>128</v>
      </c>
      <c r="E175" s="43" t="s">
        <v>62</v>
      </c>
      <c r="F175" s="43">
        <v>10</v>
      </c>
      <c r="G175" s="43">
        <v>0</v>
      </c>
      <c r="H175" s="43">
        <f t="shared" si="4"/>
        <v>0</v>
      </c>
      <c r="I175" s="43" t="s">
        <v>32</v>
      </c>
      <c r="J175" s="43"/>
      <c r="K175" s="43"/>
    </row>
    <row r="176" spans="1:11">
      <c r="A176" s="41">
        <v>45772</v>
      </c>
      <c r="B176" s="43" t="s">
        <v>113</v>
      </c>
      <c r="C176" s="43" t="s">
        <v>1015</v>
      </c>
      <c r="D176" s="43" t="s">
        <v>130</v>
      </c>
      <c r="E176" s="43" t="s">
        <v>62</v>
      </c>
      <c r="F176" s="43">
        <v>20</v>
      </c>
      <c r="G176" s="43">
        <v>0</v>
      </c>
      <c r="H176" s="43">
        <f t="shared" si="4"/>
        <v>0</v>
      </c>
      <c r="I176" s="43" t="s">
        <v>32</v>
      </c>
      <c r="J176" s="43"/>
      <c r="K176" s="43"/>
    </row>
    <row r="177" s="35" customFormat="1" spans="1:11">
      <c r="A177" s="44">
        <v>45773</v>
      </c>
      <c r="B177" s="45" t="s">
        <v>113</v>
      </c>
      <c r="C177" s="45" t="s">
        <v>1016</v>
      </c>
      <c r="D177" s="45" t="s">
        <v>122</v>
      </c>
      <c r="E177" s="45" t="s">
        <v>123</v>
      </c>
      <c r="F177" s="45">
        <v>4025</v>
      </c>
      <c r="G177" s="45">
        <v>0.55</v>
      </c>
      <c r="H177" s="45">
        <f t="shared" si="4"/>
        <v>2213.75</v>
      </c>
      <c r="I177" s="45" t="s">
        <v>126</v>
      </c>
      <c r="J177" s="45"/>
      <c r="K177" s="45"/>
    </row>
    <row r="178" spans="1:11">
      <c r="A178" s="44">
        <v>45774</v>
      </c>
      <c r="B178" s="45" t="s">
        <v>113</v>
      </c>
      <c r="C178" s="45" t="s">
        <v>1017</v>
      </c>
      <c r="D178" s="45" t="s">
        <v>122</v>
      </c>
      <c r="E178" s="45" t="s">
        <v>62</v>
      </c>
      <c r="F178" s="45">
        <v>20</v>
      </c>
      <c r="G178" s="45">
        <v>0</v>
      </c>
      <c r="H178" s="45">
        <f t="shared" si="4"/>
        <v>0</v>
      </c>
      <c r="I178" s="45" t="s">
        <v>32</v>
      </c>
      <c r="J178" s="43"/>
      <c r="K178" s="43"/>
    </row>
    <row r="179" spans="1:11">
      <c r="A179" s="44">
        <v>45775</v>
      </c>
      <c r="B179" s="45" t="s">
        <v>113</v>
      </c>
      <c r="C179" s="45" t="s">
        <v>1018</v>
      </c>
      <c r="D179" s="45" t="s">
        <v>76</v>
      </c>
      <c r="E179" s="45" t="s">
        <v>1019</v>
      </c>
      <c r="F179" s="45">
        <v>205</v>
      </c>
      <c r="G179" s="45">
        <v>0.5</v>
      </c>
      <c r="H179" s="45">
        <f t="shared" ref="H179:H209" si="5">F179*G179</f>
        <v>102.5</v>
      </c>
      <c r="I179" s="45" t="s">
        <v>761</v>
      </c>
      <c r="J179" s="43"/>
      <c r="K179" s="43"/>
    </row>
    <row r="180" spans="1:11">
      <c r="A180" s="44">
        <v>45775</v>
      </c>
      <c r="B180" s="45" t="s">
        <v>113</v>
      </c>
      <c r="C180" s="45" t="s">
        <v>1018</v>
      </c>
      <c r="D180" s="45" t="s">
        <v>76</v>
      </c>
      <c r="E180" s="45" t="s">
        <v>660</v>
      </c>
      <c r="F180" s="45">
        <v>150</v>
      </c>
      <c r="G180" s="45">
        <v>0.52</v>
      </c>
      <c r="H180" s="45">
        <f t="shared" si="5"/>
        <v>78</v>
      </c>
      <c r="I180" s="45" t="s">
        <v>126</v>
      </c>
      <c r="J180" s="43"/>
      <c r="K180" s="43"/>
    </row>
    <row r="181" spans="1:11">
      <c r="A181" s="41">
        <v>45775</v>
      </c>
      <c r="B181" s="43" t="s">
        <v>113</v>
      </c>
      <c r="C181" s="43" t="s">
        <v>1020</v>
      </c>
      <c r="D181" s="43" t="s">
        <v>76</v>
      </c>
      <c r="E181" s="43" t="s">
        <v>127</v>
      </c>
      <c r="F181" s="43">
        <v>20</v>
      </c>
      <c r="G181" s="43">
        <v>0</v>
      </c>
      <c r="H181" s="43">
        <f t="shared" si="5"/>
        <v>0</v>
      </c>
      <c r="I181" s="43" t="s">
        <v>32</v>
      </c>
      <c r="J181" s="43"/>
      <c r="K181" s="43"/>
    </row>
    <row r="182" spans="1:11">
      <c r="A182" s="44">
        <v>45776</v>
      </c>
      <c r="B182" s="45" t="s">
        <v>113</v>
      </c>
      <c r="C182" s="45" t="s">
        <v>1021</v>
      </c>
      <c r="D182" s="45" t="s">
        <v>76</v>
      </c>
      <c r="E182" s="45" t="s">
        <v>60</v>
      </c>
      <c r="F182" s="45">
        <v>6120</v>
      </c>
      <c r="G182" s="45">
        <v>0.47</v>
      </c>
      <c r="H182" s="45">
        <f t="shared" si="5"/>
        <v>2876.4</v>
      </c>
      <c r="I182" s="45" t="s">
        <v>644</v>
      </c>
      <c r="J182" s="43"/>
      <c r="K182" s="43"/>
    </row>
    <row r="183" spans="1:11">
      <c r="A183" s="44">
        <v>45777</v>
      </c>
      <c r="B183" s="45" t="s">
        <v>113</v>
      </c>
      <c r="C183" s="45" t="s">
        <v>1022</v>
      </c>
      <c r="D183" s="45" t="s">
        <v>122</v>
      </c>
      <c r="E183" s="45" t="s">
        <v>127</v>
      </c>
      <c r="F183" s="45">
        <v>6070</v>
      </c>
      <c r="G183" s="45">
        <v>0.57</v>
      </c>
      <c r="H183" s="45">
        <f t="shared" si="5"/>
        <v>3459.9</v>
      </c>
      <c r="I183" s="45" t="s">
        <v>126</v>
      </c>
      <c r="J183" s="43"/>
      <c r="K183" s="43"/>
    </row>
    <row r="184" spans="1:11">
      <c r="A184" s="44">
        <v>45777</v>
      </c>
      <c r="B184" s="45" t="s">
        <v>113</v>
      </c>
      <c r="C184" s="45" t="s">
        <v>1022</v>
      </c>
      <c r="D184" s="45" t="s">
        <v>76</v>
      </c>
      <c r="E184" s="45" t="s">
        <v>127</v>
      </c>
      <c r="F184" s="45">
        <v>2410</v>
      </c>
      <c r="G184" s="45">
        <v>0.52</v>
      </c>
      <c r="H184" s="45">
        <f t="shared" si="5"/>
        <v>1253.2</v>
      </c>
      <c r="I184" s="45" t="s">
        <v>644</v>
      </c>
      <c r="J184" s="43"/>
      <c r="K184" s="43"/>
    </row>
    <row r="185" spans="1:11">
      <c r="A185" s="41">
        <v>45752</v>
      </c>
      <c r="B185" s="43" t="s">
        <v>889</v>
      </c>
      <c r="C185" s="43" t="s">
        <v>1023</v>
      </c>
      <c r="D185" s="43" t="s">
        <v>277</v>
      </c>
      <c r="E185" s="43" t="s">
        <v>14</v>
      </c>
      <c r="F185" s="43">
        <v>54395</v>
      </c>
      <c r="G185" s="43">
        <v>0.9</v>
      </c>
      <c r="H185" s="43">
        <f t="shared" si="5"/>
        <v>48955.5</v>
      </c>
      <c r="I185" s="43" t="s">
        <v>61</v>
      </c>
      <c r="J185" s="43" t="s">
        <v>46</v>
      </c>
      <c r="K185" s="43"/>
    </row>
    <row r="186" spans="1:11">
      <c r="A186" s="41">
        <v>45752</v>
      </c>
      <c r="B186" s="43" t="s">
        <v>889</v>
      </c>
      <c r="C186" s="43" t="s">
        <v>1024</v>
      </c>
      <c r="D186" s="43" t="s">
        <v>1025</v>
      </c>
      <c r="E186" s="43" t="s">
        <v>14</v>
      </c>
      <c r="F186" s="43">
        <v>10000</v>
      </c>
      <c r="G186" s="43">
        <v>1.16</v>
      </c>
      <c r="H186" s="43">
        <f t="shared" si="5"/>
        <v>11600</v>
      </c>
      <c r="I186" s="43" t="s">
        <v>106</v>
      </c>
      <c r="J186" s="43" t="s">
        <v>46</v>
      </c>
      <c r="K186" s="43"/>
    </row>
    <row r="187" spans="1:11">
      <c r="A187" s="41">
        <v>45768</v>
      </c>
      <c r="B187" s="43" t="s">
        <v>889</v>
      </c>
      <c r="C187" s="43" t="s">
        <v>1026</v>
      </c>
      <c r="D187" s="43" t="s">
        <v>933</v>
      </c>
      <c r="E187" s="43" t="s">
        <v>111</v>
      </c>
      <c r="F187" s="43">
        <v>2507</v>
      </c>
      <c r="G187" s="43">
        <v>0.65</v>
      </c>
      <c r="H187" s="43">
        <f t="shared" si="5"/>
        <v>1629.55</v>
      </c>
      <c r="I187" s="43" t="s">
        <v>19</v>
      </c>
      <c r="J187" s="43"/>
      <c r="K187" s="43"/>
    </row>
    <row r="188" spans="1:11">
      <c r="A188" s="41">
        <v>45759</v>
      </c>
      <c r="B188" s="43" t="s">
        <v>531</v>
      </c>
      <c r="C188" s="43"/>
      <c r="D188" s="43" t="s">
        <v>53</v>
      </c>
      <c r="E188" s="43" t="s">
        <v>14</v>
      </c>
      <c r="F188" s="43">
        <v>161</v>
      </c>
      <c r="G188" s="43">
        <v>1.28</v>
      </c>
      <c r="H188" s="43">
        <f t="shared" si="5"/>
        <v>206.08</v>
      </c>
      <c r="I188" s="43" t="s">
        <v>77</v>
      </c>
      <c r="J188" s="43"/>
      <c r="K188" s="43"/>
    </row>
    <row r="189" spans="1:11">
      <c r="A189" s="41">
        <v>45750</v>
      </c>
      <c r="B189" s="43" t="s">
        <v>263</v>
      </c>
      <c r="C189" s="87" t="s">
        <v>1027</v>
      </c>
      <c r="D189" s="43" t="s">
        <v>1028</v>
      </c>
      <c r="E189" s="43" t="s">
        <v>158</v>
      </c>
      <c r="F189" s="43">
        <v>2080</v>
      </c>
      <c r="G189" s="43">
        <v>0.136</v>
      </c>
      <c r="H189" s="43">
        <f t="shared" si="5"/>
        <v>282.88</v>
      </c>
      <c r="I189" s="43" t="s">
        <v>406</v>
      </c>
      <c r="J189" s="43"/>
      <c r="K189" s="43"/>
    </row>
    <row r="190" spans="1:11">
      <c r="A190" s="41">
        <v>45754</v>
      </c>
      <c r="B190" s="43" t="s">
        <v>225</v>
      </c>
      <c r="C190" s="87" t="s">
        <v>1029</v>
      </c>
      <c r="D190" s="43" t="s">
        <v>227</v>
      </c>
      <c r="E190" s="43" t="s">
        <v>123</v>
      </c>
      <c r="F190" s="43">
        <v>6010</v>
      </c>
      <c r="G190" s="43">
        <v>0.68</v>
      </c>
      <c r="H190" s="43">
        <f t="shared" si="5"/>
        <v>4086.8</v>
      </c>
      <c r="I190" s="43" t="s">
        <v>437</v>
      </c>
      <c r="J190" s="43"/>
      <c r="K190" s="43"/>
    </row>
    <row r="191" s="35" customFormat="1" spans="1:11">
      <c r="A191" s="44">
        <v>45749</v>
      </c>
      <c r="B191" s="45" t="s">
        <v>82</v>
      </c>
      <c r="C191" s="45" t="s">
        <v>1030</v>
      </c>
      <c r="D191" s="45" t="s">
        <v>678</v>
      </c>
      <c r="E191" s="45" t="s">
        <v>14</v>
      </c>
      <c r="F191" s="45">
        <v>5000</v>
      </c>
      <c r="G191" s="45">
        <v>0.9</v>
      </c>
      <c r="H191" s="45">
        <f t="shared" si="5"/>
        <v>4500</v>
      </c>
      <c r="I191" s="45" t="s">
        <v>117</v>
      </c>
      <c r="J191" s="45"/>
      <c r="K191" s="45"/>
    </row>
    <row r="192" s="35" customFormat="1" spans="1:11">
      <c r="A192" s="44">
        <v>45755</v>
      </c>
      <c r="B192" s="45" t="s">
        <v>82</v>
      </c>
      <c r="C192" s="45" t="s">
        <v>1031</v>
      </c>
      <c r="D192" s="45" t="s">
        <v>517</v>
      </c>
      <c r="E192" s="45" t="s">
        <v>14</v>
      </c>
      <c r="F192" s="45">
        <v>200</v>
      </c>
      <c r="G192" s="45">
        <v>1.2</v>
      </c>
      <c r="H192" s="45">
        <f t="shared" si="5"/>
        <v>240</v>
      </c>
      <c r="I192" s="45" t="s">
        <v>63</v>
      </c>
      <c r="J192" s="45"/>
      <c r="K192" s="45"/>
    </row>
    <row r="193" s="35" customFormat="1" spans="1:11">
      <c r="A193" s="44">
        <v>45755</v>
      </c>
      <c r="B193" s="45" t="s">
        <v>82</v>
      </c>
      <c r="C193" s="45" t="s">
        <v>1031</v>
      </c>
      <c r="D193" s="45" t="s">
        <v>686</v>
      </c>
      <c r="E193" s="45" t="s">
        <v>14</v>
      </c>
      <c r="F193" s="45">
        <v>60</v>
      </c>
      <c r="G193" s="45">
        <v>0.8</v>
      </c>
      <c r="H193" s="45">
        <f t="shared" si="5"/>
        <v>48</v>
      </c>
      <c r="I193" s="45" t="s">
        <v>287</v>
      </c>
      <c r="J193" s="45"/>
      <c r="K193" s="45"/>
    </row>
    <row r="194" s="35" customFormat="1" spans="1:11">
      <c r="A194" s="44">
        <v>45754</v>
      </c>
      <c r="B194" s="45" t="s">
        <v>82</v>
      </c>
      <c r="C194" s="45" t="s">
        <v>1032</v>
      </c>
      <c r="D194" s="45" t="s">
        <v>1033</v>
      </c>
      <c r="E194" s="45" t="s">
        <v>14</v>
      </c>
      <c r="F194" s="45">
        <v>53</v>
      </c>
      <c r="G194" s="45">
        <v>2</v>
      </c>
      <c r="H194" s="45">
        <f t="shared" si="5"/>
        <v>106</v>
      </c>
      <c r="I194" s="45" t="s">
        <v>63</v>
      </c>
      <c r="J194" s="45"/>
      <c r="K194" s="45"/>
    </row>
    <row r="195" s="35" customFormat="1" spans="1:11">
      <c r="A195" s="44">
        <v>45760</v>
      </c>
      <c r="B195" s="45" t="s">
        <v>82</v>
      </c>
      <c r="C195" s="45" t="s">
        <v>1034</v>
      </c>
      <c r="D195" s="45" t="s">
        <v>395</v>
      </c>
      <c r="E195" s="45" t="s">
        <v>14</v>
      </c>
      <c r="F195" s="45">
        <v>4000</v>
      </c>
      <c r="G195" s="45">
        <v>0.9</v>
      </c>
      <c r="H195" s="45">
        <f t="shared" si="5"/>
        <v>3600</v>
      </c>
      <c r="I195" s="45" t="s">
        <v>63</v>
      </c>
      <c r="J195" s="45" t="s">
        <v>46</v>
      </c>
      <c r="K195" s="45"/>
    </row>
    <row r="196" s="35" customFormat="1" spans="1:11">
      <c r="A196" s="44">
        <v>45760</v>
      </c>
      <c r="B196" s="45" t="s">
        <v>82</v>
      </c>
      <c r="C196" s="45" t="s">
        <v>1034</v>
      </c>
      <c r="D196" s="45" t="s">
        <v>1035</v>
      </c>
      <c r="E196" s="45" t="s">
        <v>14</v>
      </c>
      <c r="F196" s="45">
        <v>3100</v>
      </c>
      <c r="G196" s="45">
        <v>0.85</v>
      </c>
      <c r="H196" s="45">
        <f t="shared" si="5"/>
        <v>2635</v>
      </c>
      <c r="I196" s="45" t="s">
        <v>330</v>
      </c>
      <c r="J196" s="45" t="s">
        <v>46</v>
      </c>
      <c r="K196" s="45"/>
    </row>
    <row r="197" s="35" customFormat="1" spans="1:11">
      <c r="A197" s="44">
        <v>45765</v>
      </c>
      <c r="B197" s="45" t="s">
        <v>82</v>
      </c>
      <c r="C197" s="45" t="s">
        <v>1036</v>
      </c>
      <c r="D197" s="45" t="s">
        <v>395</v>
      </c>
      <c r="E197" s="45" t="s">
        <v>14</v>
      </c>
      <c r="F197" s="45">
        <v>10000</v>
      </c>
      <c r="G197" s="45">
        <v>0.9</v>
      </c>
      <c r="H197" s="45">
        <f t="shared" si="5"/>
        <v>9000</v>
      </c>
      <c r="I197" s="45" t="s">
        <v>396</v>
      </c>
      <c r="J197" s="45" t="s">
        <v>46</v>
      </c>
      <c r="K197" s="45"/>
    </row>
    <row r="198" s="35" customFormat="1" spans="1:11">
      <c r="A198" s="44">
        <v>45765</v>
      </c>
      <c r="B198" s="45" t="s">
        <v>82</v>
      </c>
      <c r="C198" s="45" t="s">
        <v>1036</v>
      </c>
      <c r="D198" s="45" t="s">
        <v>47</v>
      </c>
      <c r="E198" s="45" t="s">
        <v>14</v>
      </c>
      <c r="F198" s="45">
        <v>40000</v>
      </c>
      <c r="G198" s="45">
        <v>1</v>
      </c>
      <c r="H198" s="45">
        <f t="shared" si="5"/>
        <v>40000</v>
      </c>
      <c r="I198" s="45" t="s">
        <v>117</v>
      </c>
      <c r="J198" s="45" t="s">
        <v>46</v>
      </c>
      <c r="K198" s="45"/>
    </row>
    <row r="199" s="35" customFormat="1" spans="1:11">
      <c r="A199" s="44">
        <v>45765</v>
      </c>
      <c r="B199" s="45" t="s">
        <v>82</v>
      </c>
      <c r="C199" s="45" t="s">
        <v>1037</v>
      </c>
      <c r="D199" s="45" t="s">
        <v>668</v>
      </c>
      <c r="E199" s="45" t="s">
        <v>158</v>
      </c>
      <c r="F199" s="45">
        <v>127380</v>
      </c>
      <c r="G199" s="45">
        <v>0.14</v>
      </c>
      <c r="H199" s="45">
        <f t="shared" si="5"/>
        <v>17833.2</v>
      </c>
      <c r="I199" s="45" t="s">
        <v>1038</v>
      </c>
      <c r="J199" s="45" t="s">
        <v>46</v>
      </c>
      <c r="K199" s="45"/>
    </row>
    <row r="200" s="35" customFormat="1" spans="1:11">
      <c r="A200" s="44">
        <v>45768</v>
      </c>
      <c r="B200" s="45" t="s">
        <v>82</v>
      </c>
      <c r="C200" s="45" t="s">
        <v>1039</v>
      </c>
      <c r="D200" s="45" t="s">
        <v>395</v>
      </c>
      <c r="E200" s="45" t="s">
        <v>14</v>
      </c>
      <c r="F200" s="45">
        <v>21000</v>
      </c>
      <c r="G200" s="45">
        <v>0.9</v>
      </c>
      <c r="H200" s="45">
        <f t="shared" si="5"/>
        <v>18900</v>
      </c>
      <c r="I200" s="45" t="s">
        <v>396</v>
      </c>
      <c r="J200" s="45" t="s">
        <v>46</v>
      </c>
      <c r="K200" s="45"/>
    </row>
    <row r="201" s="35" customFormat="1" spans="1:11">
      <c r="A201" s="44">
        <v>45771</v>
      </c>
      <c r="B201" s="45" t="s">
        <v>82</v>
      </c>
      <c r="C201" s="45" t="s">
        <v>1040</v>
      </c>
      <c r="D201" s="45" t="s">
        <v>395</v>
      </c>
      <c r="E201" s="45" t="s">
        <v>14</v>
      </c>
      <c r="F201" s="45">
        <v>60000</v>
      </c>
      <c r="G201" s="45">
        <v>0.9</v>
      </c>
      <c r="H201" s="45">
        <f t="shared" si="5"/>
        <v>54000</v>
      </c>
      <c r="I201" s="45" t="s">
        <v>396</v>
      </c>
      <c r="J201" s="45" t="s">
        <v>46</v>
      </c>
      <c r="K201" s="45"/>
    </row>
    <row r="202" spans="1:11">
      <c r="A202" s="41">
        <v>45774</v>
      </c>
      <c r="B202" s="43" t="s">
        <v>82</v>
      </c>
      <c r="C202" s="43" t="s">
        <v>1041</v>
      </c>
      <c r="D202" s="43" t="s">
        <v>395</v>
      </c>
      <c r="E202" s="43" t="s">
        <v>14</v>
      </c>
      <c r="F202" s="45">
        <v>54000</v>
      </c>
      <c r="G202" s="45">
        <v>0.9</v>
      </c>
      <c r="H202" s="43">
        <f t="shared" si="5"/>
        <v>48600</v>
      </c>
      <c r="I202" s="43" t="s">
        <v>396</v>
      </c>
      <c r="J202" s="43" t="s">
        <v>46</v>
      </c>
      <c r="K202" s="43"/>
    </row>
    <row r="203" spans="1:11">
      <c r="A203" s="41">
        <v>45774</v>
      </c>
      <c r="B203" s="43" t="s">
        <v>82</v>
      </c>
      <c r="C203" s="43" t="s">
        <v>1041</v>
      </c>
      <c r="D203" s="43" t="s">
        <v>53</v>
      </c>
      <c r="E203" s="43" t="s">
        <v>14</v>
      </c>
      <c r="F203" s="45">
        <v>21000</v>
      </c>
      <c r="G203" s="45">
        <v>1.5</v>
      </c>
      <c r="H203" s="43">
        <f t="shared" si="5"/>
        <v>31500</v>
      </c>
      <c r="I203" s="43" t="s">
        <v>54</v>
      </c>
      <c r="J203" s="43" t="s">
        <v>46</v>
      </c>
      <c r="K203" s="43"/>
    </row>
    <row r="204" spans="1:11">
      <c r="A204" s="41">
        <v>45776</v>
      </c>
      <c r="B204" s="43" t="s">
        <v>82</v>
      </c>
      <c r="C204" s="43" t="s">
        <v>1042</v>
      </c>
      <c r="D204" s="43" t="s">
        <v>395</v>
      </c>
      <c r="E204" s="43" t="s">
        <v>14</v>
      </c>
      <c r="F204" s="45">
        <v>52000</v>
      </c>
      <c r="G204" s="45">
        <v>0.9</v>
      </c>
      <c r="H204" s="43">
        <f t="shared" si="5"/>
        <v>46800</v>
      </c>
      <c r="I204" s="43" t="s">
        <v>396</v>
      </c>
      <c r="J204" s="43" t="s">
        <v>46</v>
      </c>
      <c r="K204" s="43"/>
    </row>
    <row r="205" spans="1:11">
      <c r="A205" s="41">
        <v>45776</v>
      </c>
      <c r="B205" s="43" t="s">
        <v>82</v>
      </c>
      <c r="C205" s="43" t="s">
        <v>1042</v>
      </c>
      <c r="D205" s="43" t="s">
        <v>53</v>
      </c>
      <c r="E205" s="43" t="s">
        <v>14</v>
      </c>
      <c r="F205" s="45">
        <v>48300</v>
      </c>
      <c r="G205" s="45">
        <v>1.5</v>
      </c>
      <c r="H205" s="43">
        <f t="shared" si="5"/>
        <v>72450</v>
      </c>
      <c r="I205" s="43" t="s">
        <v>54</v>
      </c>
      <c r="J205" s="43" t="s">
        <v>46</v>
      </c>
      <c r="K205" s="43"/>
    </row>
    <row r="206" spans="1:11">
      <c r="A206" s="41">
        <v>45777</v>
      </c>
      <c r="B206" s="43" t="s">
        <v>82</v>
      </c>
      <c r="C206" s="43" t="s">
        <v>1043</v>
      </c>
      <c r="D206" s="43" t="s">
        <v>395</v>
      </c>
      <c r="E206" s="43" t="s">
        <v>14</v>
      </c>
      <c r="F206" s="45">
        <v>7000</v>
      </c>
      <c r="G206" s="45">
        <v>0.9</v>
      </c>
      <c r="H206" s="43">
        <f t="shared" si="5"/>
        <v>6300</v>
      </c>
      <c r="I206" s="43" t="s">
        <v>396</v>
      </c>
      <c r="J206" s="43"/>
      <c r="K206" s="43"/>
    </row>
    <row r="207" spans="1:11">
      <c r="A207" s="41">
        <v>45753</v>
      </c>
      <c r="B207" s="43" t="s">
        <v>269</v>
      </c>
      <c r="C207" s="87" t="s">
        <v>1044</v>
      </c>
      <c r="D207" s="43" t="s">
        <v>405</v>
      </c>
      <c r="E207" s="43" t="s">
        <v>14</v>
      </c>
      <c r="F207" s="43">
        <v>43660</v>
      </c>
      <c r="G207" s="43">
        <v>1.27</v>
      </c>
      <c r="H207" s="43">
        <f t="shared" si="5"/>
        <v>55448.2</v>
      </c>
      <c r="I207" s="43" t="s">
        <v>61</v>
      </c>
      <c r="J207" s="43" t="s">
        <v>46</v>
      </c>
      <c r="K207" s="43"/>
    </row>
    <row r="208" spans="1:11">
      <c r="A208" s="44">
        <v>45775</v>
      </c>
      <c r="B208" s="45" t="s">
        <v>269</v>
      </c>
      <c r="C208" s="45">
        <v>20250428001</v>
      </c>
      <c r="D208" s="45" t="s">
        <v>946</v>
      </c>
      <c r="E208" s="45" t="s">
        <v>824</v>
      </c>
      <c r="F208" s="45">
        <v>400</v>
      </c>
      <c r="G208" s="45">
        <v>0.45</v>
      </c>
      <c r="H208" s="45">
        <f t="shared" si="5"/>
        <v>180</v>
      </c>
      <c r="I208" s="45" t="s">
        <v>396</v>
      </c>
      <c r="J208" s="45"/>
      <c r="K208" s="43"/>
    </row>
    <row r="209" spans="1:11">
      <c r="A209" s="44">
        <v>45775</v>
      </c>
      <c r="B209" s="45" t="s">
        <v>269</v>
      </c>
      <c r="C209" s="45">
        <v>20250428001</v>
      </c>
      <c r="D209" s="45" t="s">
        <v>946</v>
      </c>
      <c r="E209" s="45" t="s">
        <v>14</v>
      </c>
      <c r="F209" s="45">
        <v>18812</v>
      </c>
      <c r="G209" s="45">
        <v>2.7</v>
      </c>
      <c r="H209" s="45">
        <f t="shared" si="5"/>
        <v>50792.4</v>
      </c>
      <c r="I209" s="45" t="s">
        <v>396</v>
      </c>
      <c r="J209" s="45" t="s">
        <v>46</v>
      </c>
      <c r="K209" s="43"/>
    </row>
    <row r="210" spans="1:11">
      <c r="A210" s="41">
        <v>45755</v>
      </c>
      <c r="B210" s="43" t="s">
        <v>74</v>
      </c>
      <c r="C210" s="43" t="s">
        <v>1045</v>
      </c>
      <c r="D210" s="43" t="s">
        <v>59</v>
      </c>
      <c r="E210" s="43" t="s">
        <v>60</v>
      </c>
      <c r="F210" s="43">
        <v>20138</v>
      </c>
      <c r="G210" s="43">
        <v>0.58</v>
      </c>
      <c r="H210" s="43">
        <f t="shared" ref="H210:H260" si="6">F210*G210</f>
        <v>11680.04</v>
      </c>
      <c r="I210" s="43" t="s">
        <v>78</v>
      </c>
      <c r="J210" s="43"/>
      <c r="K210" s="43"/>
    </row>
    <row r="211" spans="1:11">
      <c r="A211" s="41">
        <v>45757</v>
      </c>
      <c r="B211" s="43" t="s">
        <v>74</v>
      </c>
      <c r="C211" s="43" t="s">
        <v>1046</v>
      </c>
      <c r="D211" s="43" t="s">
        <v>59</v>
      </c>
      <c r="E211" s="43" t="s">
        <v>60</v>
      </c>
      <c r="F211" s="43">
        <v>3057</v>
      </c>
      <c r="G211" s="43">
        <v>0.58</v>
      </c>
      <c r="H211" s="43">
        <f t="shared" si="6"/>
        <v>1773.06</v>
      </c>
      <c r="I211" s="43" t="s">
        <v>78</v>
      </c>
      <c r="J211" s="43"/>
      <c r="K211" s="43"/>
    </row>
    <row r="212" spans="1:11">
      <c r="A212" s="41">
        <v>45758</v>
      </c>
      <c r="B212" s="43" t="s">
        <v>74</v>
      </c>
      <c r="C212" s="43" t="s">
        <v>1046</v>
      </c>
      <c r="D212" s="43" t="s">
        <v>122</v>
      </c>
      <c r="E212" s="43" t="s">
        <v>60</v>
      </c>
      <c r="F212" s="43">
        <v>2011</v>
      </c>
      <c r="G212" s="43">
        <v>0.75</v>
      </c>
      <c r="H212" s="43">
        <f t="shared" si="6"/>
        <v>1508.25</v>
      </c>
      <c r="I212" s="43" t="s">
        <v>78</v>
      </c>
      <c r="J212" s="43"/>
      <c r="K212" s="43"/>
    </row>
    <row r="213" spans="1:11">
      <c r="A213" s="41">
        <v>45768</v>
      </c>
      <c r="B213" s="43" t="s">
        <v>74</v>
      </c>
      <c r="C213" s="43" t="s">
        <v>1047</v>
      </c>
      <c r="D213" s="43" t="s">
        <v>59</v>
      </c>
      <c r="E213" s="43" t="s">
        <v>60</v>
      </c>
      <c r="F213" s="43">
        <v>5093</v>
      </c>
      <c r="G213" s="43">
        <v>0.58</v>
      </c>
      <c r="H213" s="43">
        <f t="shared" si="6"/>
        <v>2953.94</v>
      </c>
      <c r="I213" s="43" t="s">
        <v>78</v>
      </c>
      <c r="J213" s="43"/>
      <c r="K213" s="43"/>
    </row>
    <row r="214" spans="1:11">
      <c r="A214" s="41">
        <v>45768</v>
      </c>
      <c r="B214" s="43" t="s">
        <v>74</v>
      </c>
      <c r="C214" s="43" t="s">
        <v>1047</v>
      </c>
      <c r="D214" s="43" t="s">
        <v>59</v>
      </c>
      <c r="E214" s="43" t="s">
        <v>60</v>
      </c>
      <c r="F214" s="43">
        <v>12028</v>
      </c>
      <c r="G214" s="43">
        <v>0.6</v>
      </c>
      <c r="H214" s="43">
        <f t="shared" si="6"/>
        <v>7216.8</v>
      </c>
      <c r="I214" s="43" t="s">
        <v>77</v>
      </c>
      <c r="J214" s="43"/>
      <c r="K214" s="43"/>
    </row>
    <row r="215" ht="12" customHeight="1" spans="1:11">
      <c r="A215" s="41">
        <v>45768</v>
      </c>
      <c r="B215" s="43" t="s">
        <v>74</v>
      </c>
      <c r="C215" s="43" t="s">
        <v>1047</v>
      </c>
      <c r="D215" s="43" t="s">
        <v>59</v>
      </c>
      <c r="E215" s="43" t="s">
        <v>60</v>
      </c>
      <c r="F215" s="43">
        <v>60</v>
      </c>
      <c r="G215" s="43">
        <v>0.6</v>
      </c>
      <c r="H215" s="43">
        <f t="shared" si="6"/>
        <v>36</v>
      </c>
      <c r="I215" s="43" t="s">
        <v>77</v>
      </c>
      <c r="J215" s="43"/>
      <c r="K215" s="43"/>
    </row>
    <row r="216" spans="1:11">
      <c r="A216" s="41">
        <v>45770</v>
      </c>
      <c r="B216" s="43" t="s">
        <v>74</v>
      </c>
      <c r="C216" s="43" t="s">
        <v>1048</v>
      </c>
      <c r="D216" s="43" t="s">
        <v>59</v>
      </c>
      <c r="E216" s="43" t="s">
        <v>60</v>
      </c>
      <c r="F216" s="43">
        <v>14278</v>
      </c>
      <c r="G216" s="43">
        <v>0.58</v>
      </c>
      <c r="H216" s="43">
        <f t="shared" si="6"/>
        <v>8281.24</v>
      </c>
      <c r="I216" s="43" t="s">
        <v>78</v>
      </c>
      <c r="J216" s="43"/>
      <c r="K216" s="43"/>
    </row>
    <row r="217" spans="1:11">
      <c r="A217" s="41">
        <v>45770</v>
      </c>
      <c r="B217" s="43" t="s">
        <v>74</v>
      </c>
      <c r="C217" s="43" t="s">
        <v>1048</v>
      </c>
      <c r="D217" s="43" t="s">
        <v>76</v>
      </c>
      <c r="E217" s="43" t="s">
        <v>450</v>
      </c>
      <c r="F217" s="43">
        <v>619</v>
      </c>
      <c r="G217" s="43">
        <v>0.63</v>
      </c>
      <c r="H217" s="43">
        <f t="shared" si="6"/>
        <v>389.97</v>
      </c>
      <c r="I217" s="43" t="s">
        <v>77</v>
      </c>
      <c r="J217" s="43"/>
      <c r="K217" s="43"/>
    </row>
    <row r="218" spans="1:11">
      <c r="A218" s="41">
        <v>45751</v>
      </c>
      <c r="B218" s="43" t="s">
        <v>1049</v>
      </c>
      <c r="C218" s="43"/>
      <c r="D218" s="43" t="s">
        <v>130</v>
      </c>
      <c r="E218" s="43" t="s">
        <v>60</v>
      </c>
      <c r="F218" s="43">
        <v>48000</v>
      </c>
      <c r="G218" s="43">
        <v>0.32</v>
      </c>
      <c r="H218" s="43">
        <f t="shared" si="6"/>
        <v>15360</v>
      </c>
      <c r="I218" s="43" t="s">
        <v>243</v>
      </c>
      <c r="J218" s="43"/>
      <c r="K218" s="43"/>
    </row>
    <row r="219" spans="1:11">
      <c r="A219" s="41">
        <v>45758</v>
      </c>
      <c r="B219" s="43" t="s">
        <v>1049</v>
      </c>
      <c r="C219" s="43"/>
      <c r="D219" s="43" t="s">
        <v>130</v>
      </c>
      <c r="E219" s="43" t="s">
        <v>60</v>
      </c>
      <c r="F219" s="43">
        <v>102900</v>
      </c>
      <c r="G219" s="43">
        <v>0.32</v>
      </c>
      <c r="H219" s="43">
        <f t="shared" si="6"/>
        <v>32928</v>
      </c>
      <c r="I219" s="43" t="s">
        <v>243</v>
      </c>
      <c r="J219" s="43"/>
      <c r="K219" s="43"/>
    </row>
    <row r="220" spans="1:11">
      <c r="A220" s="41">
        <v>45767</v>
      </c>
      <c r="B220" s="43" t="s">
        <v>1049</v>
      </c>
      <c r="C220" s="43"/>
      <c r="D220" s="43" t="s">
        <v>130</v>
      </c>
      <c r="E220" s="43" t="s">
        <v>60</v>
      </c>
      <c r="F220" s="43">
        <v>50100</v>
      </c>
      <c r="G220" s="43">
        <v>0.32</v>
      </c>
      <c r="H220" s="43">
        <f t="shared" si="6"/>
        <v>16032</v>
      </c>
      <c r="I220" s="43" t="s">
        <v>243</v>
      </c>
      <c r="J220" s="43"/>
      <c r="K220" s="43"/>
    </row>
    <row r="221" spans="1:11">
      <c r="A221" s="41">
        <v>45753</v>
      </c>
      <c r="B221" s="43" t="s">
        <v>177</v>
      </c>
      <c r="C221" s="43" t="s">
        <v>1050</v>
      </c>
      <c r="D221" s="43" t="s">
        <v>1051</v>
      </c>
      <c r="E221" s="43" t="s">
        <v>14</v>
      </c>
      <c r="F221" s="43">
        <v>105</v>
      </c>
      <c r="G221" s="43">
        <v>1.7</v>
      </c>
      <c r="H221" s="43">
        <f t="shared" si="6"/>
        <v>178.5</v>
      </c>
      <c r="I221" s="43" t="s">
        <v>28</v>
      </c>
      <c r="J221" s="43"/>
      <c r="K221" s="43"/>
    </row>
    <row r="222" spans="1:11">
      <c r="A222" s="41">
        <v>45758</v>
      </c>
      <c r="B222" s="43" t="s">
        <v>177</v>
      </c>
      <c r="C222" s="43" t="s">
        <v>1052</v>
      </c>
      <c r="D222" s="43" t="s">
        <v>285</v>
      </c>
      <c r="E222" s="43" t="s">
        <v>14</v>
      </c>
      <c r="F222" s="43">
        <v>5200</v>
      </c>
      <c r="G222" s="43">
        <v>2.05</v>
      </c>
      <c r="H222" s="43">
        <f t="shared" si="6"/>
        <v>10660</v>
      </c>
      <c r="I222" s="43" t="s">
        <v>1053</v>
      </c>
      <c r="J222" s="43" t="s">
        <v>46</v>
      </c>
      <c r="K222" s="43"/>
    </row>
    <row r="223" spans="1:11">
      <c r="A223" s="41">
        <v>45758</v>
      </c>
      <c r="B223" s="43" t="s">
        <v>177</v>
      </c>
      <c r="C223" s="43" t="s">
        <v>1052</v>
      </c>
      <c r="D223" s="43" t="s">
        <v>38</v>
      </c>
      <c r="E223" s="43" t="s">
        <v>14</v>
      </c>
      <c r="F223" s="43">
        <v>10000</v>
      </c>
      <c r="G223" s="43">
        <v>1.45</v>
      </c>
      <c r="H223" s="43">
        <f t="shared" si="6"/>
        <v>14500</v>
      </c>
      <c r="I223" s="43" t="s">
        <v>579</v>
      </c>
      <c r="J223" s="43" t="s">
        <v>46</v>
      </c>
      <c r="K223" s="43"/>
    </row>
    <row r="224" spans="1:11">
      <c r="A224" s="41">
        <v>45761</v>
      </c>
      <c r="B224" s="43" t="s">
        <v>177</v>
      </c>
      <c r="C224" s="43" t="s">
        <v>1054</v>
      </c>
      <c r="D224" s="43" t="s">
        <v>179</v>
      </c>
      <c r="E224" s="43" t="s">
        <v>14</v>
      </c>
      <c r="F224" s="43">
        <v>30</v>
      </c>
      <c r="G224" s="43">
        <v>1.25</v>
      </c>
      <c r="H224" s="43">
        <f t="shared" si="6"/>
        <v>37.5</v>
      </c>
      <c r="I224" s="43" t="s">
        <v>166</v>
      </c>
      <c r="J224" s="43"/>
      <c r="K224" s="43"/>
    </row>
    <row r="225" spans="1:11">
      <c r="A225" s="41">
        <v>45762</v>
      </c>
      <c r="B225" s="43" t="s">
        <v>177</v>
      </c>
      <c r="C225" s="43" t="s">
        <v>1055</v>
      </c>
      <c r="D225" s="43" t="s">
        <v>179</v>
      </c>
      <c r="E225" s="43" t="s">
        <v>14</v>
      </c>
      <c r="F225" s="43">
        <v>30</v>
      </c>
      <c r="G225" s="43">
        <v>1.25</v>
      </c>
      <c r="H225" s="43">
        <f t="shared" si="6"/>
        <v>37.5</v>
      </c>
      <c r="I225" s="43" t="s">
        <v>166</v>
      </c>
      <c r="J225" s="43"/>
      <c r="K225" s="43"/>
    </row>
    <row r="226" spans="1:11">
      <c r="A226" s="41">
        <v>45770</v>
      </c>
      <c r="B226" s="43" t="s">
        <v>177</v>
      </c>
      <c r="C226" s="43" t="s">
        <v>1056</v>
      </c>
      <c r="D226" s="43" t="s">
        <v>27</v>
      </c>
      <c r="E226" s="43" t="s">
        <v>14</v>
      </c>
      <c r="F226" s="43">
        <v>465</v>
      </c>
      <c r="G226" s="43">
        <v>2.1</v>
      </c>
      <c r="H226" s="43">
        <f t="shared" si="6"/>
        <v>976.5</v>
      </c>
      <c r="I226" s="43" t="s">
        <v>1057</v>
      </c>
      <c r="J226" s="43"/>
      <c r="K226" s="43"/>
    </row>
    <row r="227" spans="1:11">
      <c r="A227" s="41">
        <v>45771</v>
      </c>
      <c r="B227" s="43" t="s">
        <v>177</v>
      </c>
      <c r="C227" s="43" t="s">
        <v>1058</v>
      </c>
      <c r="D227" s="43" t="s">
        <v>30</v>
      </c>
      <c r="E227" s="43" t="s">
        <v>14</v>
      </c>
      <c r="F227" s="43">
        <v>20</v>
      </c>
      <c r="G227" s="43">
        <v>2.2</v>
      </c>
      <c r="H227" s="43">
        <f t="shared" si="6"/>
        <v>44</v>
      </c>
      <c r="I227" s="43" t="s">
        <v>287</v>
      </c>
      <c r="J227" s="43"/>
      <c r="K227" s="43"/>
    </row>
    <row r="228" s="35" customFormat="1" spans="1:11">
      <c r="A228" s="44">
        <v>45775</v>
      </c>
      <c r="B228" s="45" t="s">
        <v>177</v>
      </c>
      <c r="C228" s="45" t="s">
        <v>1059</v>
      </c>
      <c r="D228" s="45" t="s">
        <v>27</v>
      </c>
      <c r="E228" s="45" t="s">
        <v>14</v>
      </c>
      <c r="F228" s="45">
        <v>395</v>
      </c>
      <c r="G228" s="45">
        <v>2.1</v>
      </c>
      <c r="H228" s="45">
        <f t="shared" si="6"/>
        <v>829.5</v>
      </c>
      <c r="I228" s="45" t="s">
        <v>982</v>
      </c>
      <c r="J228" s="45"/>
      <c r="K228" s="45"/>
    </row>
    <row r="229" s="35" customFormat="1" spans="1:11">
      <c r="A229" s="44">
        <v>45776</v>
      </c>
      <c r="B229" s="45" t="s">
        <v>177</v>
      </c>
      <c r="C229" s="45" t="s">
        <v>1060</v>
      </c>
      <c r="D229" s="45" t="s">
        <v>30</v>
      </c>
      <c r="E229" s="45" t="s">
        <v>14</v>
      </c>
      <c r="F229" s="45">
        <v>145</v>
      </c>
      <c r="G229" s="45">
        <v>2.2</v>
      </c>
      <c r="H229" s="45">
        <f t="shared" si="6"/>
        <v>319</v>
      </c>
      <c r="I229" s="45" t="s">
        <v>287</v>
      </c>
      <c r="J229" s="45"/>
      <c r="K229" s="45"/>
    </row>
    <row r="230" spans="1:11">
      <c r="A230" s="41">
        <v>45750</v>
      </c>
      <c r="B230" s="43" t="s">
        <v>448</v>
      </c>
      <c r="C230" s="43">
        <v>2025040005</v>
      </c>
      <c r="D230" s="43" t="s">
        <v>1061</v>
      </c>
      <c r="E230" s="43" t="s">
        <v>60</v>
      </c>
      <c r="F230" s="43">
        <v>100</v>
      </c>
      <c r="G230" s="43">
        <v>0.8</v>
      </c>
      <c r="H230" s="43">
        <f t="shared" si="6"/>
        <v>80</v>
      </c>
      <c r="I230" s="43" t="s">
        <v>864</v>
      </c>
      <c r="J230" s="43"/>
      <c r="K230" s="43"/>
    </row>
    <row r="231" spans="1:11">
      <c r="A231" s="41">
        <v>45753</v>
      </c>
      <c r="B231" s="43" t="s">
        <v>257</v>
      </c>
      <c r="C231" s="43"/>
      <c r="D231" s="43" t="s">
        <v>110</v>
      </c>
      <c r="E231" s="43" t="s">
        <v>85</v>
      </c>
      <c r="F231" s="43">
        <v>1003</v>
      </c>
      <c r="G231" s="43">
        <v>0.87</v>
      </c>
      <c r="H231" s="43">
        <f t="shared" si="6"/>
        <v>872.61</v>
      </c>
      <c r="I231" s="43" t="s">
        <v>962</v>
      </c>
      <c r="J231" s="43"/>
      <c r="K231" s="43"/>
    </row>
    <row r="232" spans="1:11">
      <c r="A232" s="41">
        <v>45758</v>
      </c>
      <c r="B232" s="43" t="s">
        <v>257</v>
      </c>
      <c r="C232" s="43"/>
      <c r="D232" s="43" t="s">
        <v>227</v>
      </c>
      <c r="E232" s="43" t="s">
        <v>60</v>
      </c>
      <c r="F232" s="43">
        <v>10020</v>
      </c>
      <c r="G232" s="43">
        <v>0.53</v>
      </c>
      <c r="H232" s="43">
        <f t="shared" si="6"/>
        <v>5310.6</v>
      </c>
      <c r="I232" s="43" t="s">
        <v>356</v>
      </c>
      <c r="J232" s="43"/>
      <c r="K232" s="43"/>
    </row>
    <row r="233" spans="1:11">
      <c r="A233" s="41">
        <v>45761</v>
      </c>
      <c r="B233" s="43" t="s">
        <v>257</v>
      </c>
      <c r="C233" s="43"/>
      <c r="D233" s="43" t="s">
        <v>110</v>
      </c>
      <c r="E233" s="43" t="s">
        <v>85</v>
      </c>
      <c r="F233" s="43">
        <v>150</v>
      </c>
      <c r="G233" s="43">
        <v>0.87</v>
      </c>
      <c r="H233" s="43">
        <f t="shared" si="6"/>
        <v>130.5</v>
      </c>
      <c r="I233" s="43" t="s">
        <v>1062</v>
      </c>
      <c r="J233" s="43"/>
      <c r="K233" s="43"/>
    </row>
    <row r="234" spans="1:11">
      <c r="A234" s="41">
        <v>45761</v>
      </c>
      <c r="B234" s="43" t="s">
        <v>257</v>
      </c>
      <c r="C234" s="43"/>
      <c r="D234" s="43" t="s">
        <v>227</v>
      </c>
      <c r="E234" s="43" t="s">
        <v>62</v>
      </c>
      <c r="F234" s="43">
        <v>7810</v>
      </c>
      <c r="G234" s="43">
        <v>0.55</v>
      </c>
      <c r="H234" s="43">
        <f t="shared" si="6"/>
        <v>4295.5</v>
      </c>
      <c r="I234" s="43" t="s">
        <v>65</v>
      </c>
      <c r="J234" s="43"/>
      <c r="K234" s="43"/>
    </row>
    <row r="235" spans="1:11">
      <c r="A235" s="41">
        <v>45762</v>
      </c>
      <c r="B235" s="43" t="s">
        <v>257</v>
      </c>
      <c r="C235" s="43"/>
      <c r="D235" s="43" t="s">
        <v>256</v>
      </c>
      <c r="E235" s="43" t="s">
        <v>14</v>
      </c>
      <c r="F235" s="43">
        <v>7000</v>
      </c>
      <c r="G235" s="43">
        <v>0.62</v>
      </c>
      <c r="H235" s="43">
        <f t="shared" si="6"/>
        <v>4340</v>
      </c>
      <c r="I235" s="43" t="s">
        <v>271</v>
      </c>
      <c r="J235" s="43" t="s">
        <v>46</v>
      </c>
      <c r="K235" s="43"/>
    </row>
    <row r="236" spans="1:11">
      <c r="A236" s="41">
        <v>45763</v>
      </c>
      <c r="B236" s="43" t="s">
        <v>257</v>
      </c>
      <c r="C236" s="43"/>
      <c r="D236" s="43" t="s">
        <v>357</v>
      </c>
      <c r="E236" s="43" t="s">
        <v>85</v>
      </c>
      <c r="F236" s="43">
        <v>2010</v>
      </c>
      <c r="G236" s="43">
        <v>1.03</v>
      </c>
      <c r="H236" s="43">
        <f t="shared" si="6"/>
        <v>2070.3</v>
      </c>
      <c r="I236" s="43" t="s">
        <v>330</v>
      </c>
      <c r="J236" s="43"/>
      <c r="K236" s="43"/>
    </row>
    <row r="237" spans="1:11">
      <c r="A237" s="41">
        <v>45763</v>
      </c>
      <c r="B237" s="43" t="s">
        <v>257</v>
      </c>
      <c r="C237" s="43"/>
      <c r="D237" s="43" t="s">
        <v>227</v>
      </c>
      <c r="E237" s="43" t="s">
        <v>62</v>
      </c>
      <c r="F237" s="43">
        <v>6210</v>
      </c>
      <c r="G237" s="43">
        <v>0.55</v>
      </c>
      <c r="H237" s="43">
        <f t="shared" si="6"/>
        <v>3415.5</v>
      </c>
      <c r="I237" s="43" t="s">
        <v>356</v>
      </c>
      <c r="J237" s="43"/>
      <c r="K237" s="43"/>
    </row>
    <row r="238" spans="1:11">
      <c r="A238" s="41">
        <v>45766</v>
      </c>
      <c r="B238" s="43" t="s">
        <v>257</v>
      </c>
      <c r="C238" s="43"/>
      <c r="D238" s="43" t="s">
        <v>227</v>
      </c>
      <c r="E238" s="43" t="s">
        <v>62</v>
      </c>
      <c r="F238" s="43">
        <v>45</v>
      </c>
      <c r="G238" s="43">
        <v>0.55</v>
      </c>
      <c r="H238" s="43">
        <f t="shared" si="6"/>
        <v>24.75</v>
      </c>
      <c r="I238" s="43" t="s">
        <v>356</v>
      </c>
      <c r="J238" s="43"/>
      <c r="K238" s="43"/>
    </row>
    <row r="239" spans="1:11">
      <c r="A239" s="41">
        <v>45768</v>
      </c>
      <c r="B239" s="43" t="s">
        <v>257</v>
      </c>
      <c r="C239" s="43"/>
      <c r="D239" s="43" t="s">
        <v>227</v>
      </c>
      <c r="E239" s="43" t="s">
        <v>62</v>
      </c>
      <c r="F239" s="43">
        <v>238</v>
      </c>
      <c r="G239" s="43">
        <v>0.55</v>
      </c>
      <c r="H239" s="43">
        <f t="shared" si="6"/>
        <v>130.9</v>
      </c>
      <c r="I239" s="43" t="s">
        <v>65</v>
      </c>
      <c r="J239" s="43"/>
      <c r="K239" s="43"/>
    </row>
    <row r="240" spans="1:11">
      <c r="A240" s="41">
        <v>45769</v>
      </c>
      <c r="B240" s="43" t="s">
        <v>257</v>
      </c>
      <c r="C240" s="43"/>
      <c r="D240" s="43" t="s">
        <v>259</v>
      </c>
      <c r="E240" s="43" t="s">
        <v>14</v>
      </c>
      <c r="F240" s="43">
        <v>40000</v>
      </c>
      <c r="G240" s="43">
        <v>0.55</v>
      </c>
      <c r="H240" s="43">
        <f t="shared" si="6"/>
        <v>22000</v>
      </c>
      <c r="I240" s="43" t="s">
        <v>61</v>
      </c>
      <c r="J240" s="43" t="s">
        <v>46</v>
      </c>
      <c r="K240" s="43"/>
    </row>
    <row r="241" spans="1:11">
      <c r="A241" s="44">
        <v>45772</v>
      </c>
      <c r="B241" s="45" t="s">
        <v>257</v>
      </c>
      <c r="C241" s="45"/>
      <c r="D241" s="45" t="s">
        <v>227</v>
      </c>
      <c r="E241" s="45" t="s">
        <v>62</v>
      </c>
      <c r="F241" s="45">
        <v>10000</v>
      </c>
      <c r="G241" s="45">
        <v>0.55</v>
      </c>
      <c r="H241" s="45">
        <f t="shared" si="6"/>
        <v>5500</v>
      </c>
      <c r="I241" s="43" t="s">
        <v>356</v>
      </c>
      <c r="J241" s="43"/>
      <c r="K241" s="43"/>
    </row>
    <row r="242" spans="1:11">
      <c r="A242" s="44">
        <v>45773</v>
      </c>
      <c r="B242" s="45" t="s">
        <v>257</v>
      </c>
      <c r="C242" s="45"/>
      <c r="D242" s="45" t="s">
        <v>227</v>
      </c>
      <c r="E242" s="45" t="s">
        <v>62</v>
      </c>
      <c r="F242" s="45">
        <v>30000</v>
      </c>
      <c r="G242" s="45">
        <v>0.55</v>
      </c>
      <c r="H242" s="45">
        <f t="shared" si="6"/>
        <v>16500</v>
      </c>
      <c r="I242" s="43" t="s">
        <v>356</v>
      </c>
      <c r="J242" s="43"/>
      <c r="K242" s="43"/>
    </row>
    <row r="243" spans="1:11">
      <c r="A243" s="44">
        <v>45775</v>
      </c>
      <c r="B243" s="45" t="s">
        <v>257</v>
      </c>
      <c r="C243" s="45"/>
      <c r="D243" s="45" t="s">
        <v>227</v>
      </c>
      <c r="E243" s="45" t="s">
        <v>62</v>
      </c>
      <c r="F243" s="45">
        <v>20000</v>
      </c>
      <c r="G243" s="45">
        <v>0.55</v>
      </c>
      <c r="H243" s="45">
        <f t="shared" si="6"/>
        <v>11000</v>
      </c>
      <c r="I243" s="43" t="s">
        <v>356</v>
      </c>
      <c r="J243" s="43"/>
      <c r="K243" s="43"/>
    </row>
    <row r="244" spans="1:11">
      <c r="A244" s="44">
        <v>45776</v>
      </c>
      <c r="B244" s="45" t="s">
        <v>257</v>
      </c>
      <c r="C244" s="45"/>
      <c r="D244" s="45" t="s">
        <v>357</v>
      </c>
      <c r="E244" s="45" t="s">
        <v>99</v>
      </c>
      <c r="F244" s="45">
        <v>305</v>
      </c>
      <c r="G244" s="45">
        <v>1.03</v>
      </c>
      <c r="H244" s="45">
        <f t="shared" si="6"/>
        <v>314.15</v>
      </c>
      <c r="I244" s="43" t="s">
        <v>189</v>
      </c>
      <c r="J244" s="43"/>
      <c r="K244" s="43"/>
    </row>
    <row r="245" spans="1:11">
      <c r="A245" s="44">
        <v>45776</v>
      </c>
      <c r="B245" s="45" t="s">
        <v>257</v>
      </c>
      <c r="C245" s="45"/>
      <c r="D245" s="45" t="s">
        <v>227</v>
      </c>
      <c r="E245" s="45" t="s">
        <v>62</v>
      </c>
      <c r="F245" s="45">
        <v>10070</v>
      </c>
      <c r="G245" s="45">
        <v>0.55</v>
      </c>
      <c r="H245" s="45">
        <f t="shared" si="6"/>
        <v>5538.5</v>
      </c>
      <c r="I245" s="43" t="s">
        <v>356</v>
      </c>
      <c r="J245" s="43"/>
      <c r="K245" s="43"/>
    </row>
    <row r="246" s="35" customFormat="1" spans="1:11">
      <c r="A246" s="44">
        <v>45755</v>
      </c>
      <c r="B246" s="45" t="s">
        <v>477</v>
      </c>
      <c r="C246" s="45" t="s">
        <v>1063</v>
      </c>
      <c r="D246" s="45" t="s">
        <v>474</v>
      </c>
      <c r="E246" s="45" t="s">
        <v>14</v>
      </c>
      <c r="F246" s="45">
        <v>20000</v>
      </c>
      <c r="G246" s="45">
        <v>2.25</v>
      </c>
      <c r="H246" s="45">
        <f t="shared" si="6"/>
        <v>45000</v>
      </c>
      <c r="I246" s="45" t="s">
        <v>94</v>
      </c>
      <c r="J246" s="45"/>
      <c r="K246" s="45"/>
    </row>
    <row r="247" s="35" customFormat="1" spans="1:11">
      <c r="A247" s="44">
        <v>45756</v>
      </c>
      <c r="B247" s="45" t="s">
        <v>477</v>
      </c>
      <c r="C247" s="45" t="s">
        <v>1064</v>
      </c>
      <c r="D247" s="45" t="s">
        <v>93</v>
      </c>
      <c r="E247" s="45" t="s">
        <v>14</v>
      </c>
      <c r="F247" s="45">
        <v>10000</v>
      </c>
      <c r="G247" s="45">
        <v>3.8</v>
      </c>
      <c r="H247" s="45">
        <f t="shared" si="6"/>
        <v>38000</v>
      </c>
      <c r="I247" s="45" t="s">
        <v>94</v>
      </c>
      <c r="J247" s="45"/>
      <c r="K247" s="45"/>
    </row>
    <row r="248" spans="1:11">
      <c r="A248" s="41">
        <v>45773</v>
      </c>
      <c r="B248" s="43" t="s">
        <v>477</v>
      </c>
      <c r="C248" s="43" t="s">
        <v>1065</v>
      </c>
      <c r="D248" s="43" t="s">
        <v>95</v>
      </c>
      <c r="E248" s="43" t="s">
        <v>14</v>
      </c>
      <c r="F248" s="43">
        <v>9000</v>
      </c>
      <c r="G248" s="43">
        <v>4.3</v>
      </c>
      <c r="H248" s="43">
        <f t="shared" si="6"/>
        <v>38700</v>
      </c>
      <c r="I248" s="43" t="s">
        <v>94</v>
      </c>
      <c r="J248" s="43"/>
      <c r="K248" s="43"/>
    </row>
    <row r="249" spans="1:11">
      <c r="A249" s="41">
        <v>45754</v>
      </c>
      <c r="B249" s="43" t="s">
        <v>861</v>
      </c>
      <c r="C249" s="43" t="s">
        <v>1066</v>
      </c>
      <c r="D249" s="43" t="s">
        <v>282</v>
      </c>
      <c r="E249" s="43" t="s">
        <v>14</v>
      </c>
      <c r="F249" s="43">
        <v>2000</v>
      </c>
      <c r="G249" s="43">
        <v>0.85</v>
      </c>
      <c r="H249" s="43">
        <f t="shared" si="6"/>
        <v>1700</v>
      </c>
      <c r="I249" s="43" t="s">
        <v>283</v>
      </c>
      <c r="J249" s="43" t="s">
        <v>701</v>
      </c>
      <c r="K249" s="43"/>
    </row>
    <row r="250" spans="1:11">
      <c r="A250" s="41">
        <v>45764</v>
      </c>
      <c r="B250" s="43" t="s">
        <v>861</v>
      </c>
      <c r="C250" s="43" t="s">
        <v>1067</v>
      </c>
      <c r="D250" s="43" t="s">
        <v>1068</v>
      </c>
      <c r="E250" s="43" t="s">
        <v>14</v>
      </c>
      <c r="F250" s="43">
        <v>385</v>
      </c>
      <c r="G250" s="43">
        <v>0.85</v>
      </c>
      <c r="H250" s="43">
        <f t="shared" si="6"/>
        <v>327.25</v>
      </c>
      <c r="I250" s="43" t="s">
        <v>208</v>
      </c>
      <c r="J250" s="43"/>
      <c r="K250" s="43"/>
    </row>
    <row r="251" spans="1:11">
      <c r="A251" s="41">
        <v>45762</v>
      </c>
      <c r="B251" s="43" t="s">
        <v>861</v>
      </c>
      <c r="C251" s="43" t="s">
        <v>1069</v>
      </c>
      <c r="D251" s="43" t="s">
        <v>282</v>
      </c>
      <c r="E251" s="43" t="s">
        <v>14</v>
      </c>
      <c r="F251" s="43">
        <v>10000</v>
      </c>
      <c r="G251" s="43">
        <v>0.92</v>
      </c>
      <c r="H251" s="43">
        <f t="shared" si="6"/>
        <v>9200</v>
      </c>
      <c r="I251" s="43" t="s">
        <v>283</v>
      </c>
      <c r="J251" s="43" t="s">
        <v>1070</v>
      </c>
      <c r="K251" s="43"/>
    </row>
    <row r="252" customFormat="1" spans="1:11">
      <c r="A252" s="41">
        <v>45749</v>
      </c>
      <c r="B252" s="43" t="s">
        <v>156</v>
      </c>
      <c r="C252" s="43"/>
      <c r="D252" s="43" t="s">
        <v>1071</v>
      </c>
      <c r="E252" s="43" t="s">
        <v>461</v>
      </c>
      <c r="F252" s="43">
        <v>7600</v>
      </c>
      <c r="G252" s="43">
        <v>0.15</v>
      </c>
      <c r="H252" s="43">
        <f t="shared" si="6"/>
        <v>1140</v>
      </c>
      <c r="I252" s="43" t="s">
        <v>213</v>
      </c>
      <c r="J252" s="43" t="s">
        <v>1072</v>
      </c>
      <c r="K252" s="43"/>
    </row>
    <row r="253" s="35" customFormat="1" spans="1:11">
      <c r="A253" s="44">
        <v>45754</v>
      </c>
      <c r="B253" s="45" t="s">
        <v>156</v>
      </c>
      <c r="C253" s="45"/>
      <c r="D253" s="45" t="s">
        <v>1071</v>
      </c>
      <c r="E253" s="45" t="s">
        <v>461</v>
      </c>
      <c r="F253" s="45">
        <v>62000</v>
      </c>
      <c r="G253" s="45">
        <v>0.15</v>
      </c>
      <c r="H253" s="45">
        <f t="shared" si="6"/>
        <v>9300</v>
      </c>
      <c r="I253" s="45" t="s">
        <v>213</v>
      </c>
      <c r="J253" s="45"/>
      <c r="K253" s="45"/>
    </row>
    <row r="254" s="35" customFormat="1" spans="1:11">
      <c r="A254" s="44">
        <v>45754</v>
      </c>
      <c r="B254" s="45" t="s">
        <v>156</v>
      </c>
      <c r="C254" s="45"/>
      <c r="D254" s="45" t="s">
        <v>1073</v>
      </c>
      <c r="E254" s="45" t="s">
        <v>158</v>
      </c>
      <c r="F254" s="45">
        <v>50000</v>
      </c>
      <c r="G254" s="45">
        <v>0.23</v>
      </c>
      <c r="H254" s="45">
        <f t="shared" si="6"/>
        <v>11500</v>
      </c>
      <c r="I254" s="45" t="s">
        <v>61</v>
      </c>
      <c r="J254" s="45"/>
      <c r="K254" s="45"/>
    </row>
    <row r="255" s="35" customFormat="1" spans="1:11">
      <c r="A255" s="44">
        <v>45756</v>
      </c>
      <c r="B255" s="45" t="s">
        <v>156</v>
      </c>
      <c r="C255" s="45"/>
      <c r="D255" s="45" t="s">
        <v>1074</v>
      </c>
      <c r="E255" s="45" t="s">
        <v>158</v>
      </c>
      <c r="F255" s="45">
        <v>50000</v>
      </c>
      <c r="G255" s="45">
        <v>0.17</v>
      </c>
      <c r="H255" s="45">
        <f t="shared" si="6"/>
        <v>8500</v>
      </c>
      <c r="I255" s="45" t="s">
        <v>61</v>
      </c>
      <c r="J255" s="45" t="s">
        <v>46</v>
      </c>
      <c r="K255" s="45"/>
    </row>
    <row r="256" s="35" customFormat="1" spans="1:11">
      <c r="A256" s="44">
        <v>45761</v>
      </c>
      <c r="B256" s="45" t="s">
        <v>156</v>
      </c>
      <c r="C256" s="45"/>
      <c r="D256" s="45" t="s">
        <v>1071</v>
      </c>
      <c r="E256" s="45" t="s">
        <v>461</v>
      </c>
      <c r="F256" s="45">
        <v>31187</v>
      </c>
      <c r="G256" s="45">
        <v>0.15</v>
      </c>
      <c r="H256" s="45">
        <f t="shared" si="6"/>
        <v>4678.05</v>
      </c>
      <c r="I256" s="45" t="s">
        <v>61</v>
      </c>
      <c r="J256" s="45" t="s">
        <v>46</v>
      </c>
      <c r="K256" s="45"/>
    </row>
    <row r="257" s="35" customFormat="1" spans="1:11">
      <c r="A257" s="44">
        <v>45762</v>
      </c>
      <c r="B257" s="45" t="s">
        <v>156</v>
      </c>
      <c r="C257" s="45"/>
      <c r="D257" s="45" t="s">
        <v>1075</v>
      </c>
      <c r="E257" s="45" t="s">
        <v>158</v>
      </c>
      <c r="F257" s="45">
        <v>54000</v>
      </c>
      <c r="G257" s="45">
        <v>0.17</v>
      </c>
      <c r="H257" s="45">
        <f t="shared" si="6"/>
        <v>9180</v>
      </c>
      <c r="I257" s="45" t="s">
        <v>271</v>
      </c>
      <c r="J257" s="45" t="s">
        <v>46</v>
      </c>
      <c r="K257" s="45"/>
    </row>
    <row r="258" s="35" customFormat="1" spans="1:11">
      <c r="A258" s="44">
        <v>45763</v>
      </c>
      <c r="B258" s="45" t="s">
        <v>156</v>
      </c>
      <c r="C258" s="45"/>
      <c r="D258" s="45" t="s">
        <v>1075</v>
      </c>
      <c r="E258" s="45" t="s">
        <v>461</v>
      </c>
      <c r="F258" s="45">
        <v>90000</v>
      </c>
      <c r="G258" s="45">
        <v>0.17</v>
      </c>
      <c r="H258" s="45">
        <f t="shared" si="6"/>
        <v>15300</v>
      </c>
      <c r="I258" s="45" t="s">
        <v>61</v>
      </c>
      <c r="J258" s="45" t="s">
        <v>46</v>
      </c>
      <c r="K258" s="45"/>
    </row>
    <row r="259" s="35" customFormat="1" spans="1:11">
      <c r="A259" s="44">
        <v>45765</v>
      </c>
      <c r="B259" s="45" t="s">
        <v>156</v>
      </c>
      <c r="C259" s="45"/>
      <c r="D259" s="45" t="s">
        <v>1075</v>
      </c>
      <c r="E259" s="45" t="s">
        <v>461</v>
      </c>
      <c r="F259" s="45">
        <v>48000</v>
      </c>
      <c r="G259" s="45">
        <v>0.17</v>
      </c>
      <c r="H259" s="45">
        <f t="shared" si="6"/>
        <v>8160</v>
      </c>
      <c r="I259" s="45" t="s">
        <v>61</v>
      </c>
      <c r="J259" s="45" t="s">
        <v>46</v>
      </c>
      <c r="K259" s="45"/>
    </row>
    <row r="260" s="35" customFormat="1" spans="1:11">
      <c r="A260" s="44">
        <v>45765</v>
      </c>
      <c r="B260" s="45" t="s">
        <v>156</v>
      </c>
      <c r="C260" s="45"/>
      <c r="D260" s="45" t="s">
        <v>1076</v>
      </c>
      <c r="E260" s="45" t="s">
        <v>461</v>
      </c>
      <c r="F260" s="45">
        <v>100000</v>
      </c>
      <c r="G260" s="45">
        <v>0.17</v>
      </c>
      <c r="H260" s="45">
        <f t="shared" si="6"/>
        <v>17000</v>
      </c>
      <c r="I260" s="45" t="s">
        <v>61</v>
      </c>
      <c r="J260" s="45" t="s">
        <v>46</v>
      </c>
      <c r="K260" s="45"/>
    </row>
    <row r="261" s="35" customFormat="1" spans="1:11">
      <c r="A261" s="44">
        <v>45765</v>
      </c>
      <c r="B261" s="45" t="s">
        <v>156</v>
      </c>
      <c r="C261" s="45"/>
      <c r="D261" s="45" t="s">
        <v>1076</v>
      </c>
      <c r="E261" s="45" t="s">
        <v>158</v>
      </c>
      <c r="F261" s="45">
        <v>95000</v>
      </c>
      <c r="G261" s="45">
        <v>0.17</v>
      </c>
      <c r="H261" s="45">
        <f t="shared" ref="H261:H266" si="7">F261*G261</f>
        <v>16150</v>
      </c>
      <c r="I261" s="45" t="s">
        <v>61</v>
      </c>
      <c r="J261" s="45" t="s">
        <v>46</v>
      </c>
      <c r="K261" s="45"/>
    </row>
    <row r="262" s="35" customFormat="1" spans="1:11">
      <c r="A262" s="44">
        <v>45766</v>
      </c>
      <c r="B262" s="45" t="s">
        <v>156</v>
      </c>
      <c r="C262" s="45"/>
      <c r="D262" s="45" t="s">
        <v>1077</v>
      </c>
      <c r="E262" s="45" t="s">
        <v>158</v>
      </c>
      <c r="F262" s="45">
        <v>100000</v>
      </c>
      <c r="G262" s="45">
        <v>0.125</v>
      </c>
      <c r="H262" s="45">
        <f t="shared" si="7"/>
        <v>12500</v>
      </c>
      <c r="I262" s="45" t="s">
        <v>61</v>
      </c>
      <c r="J262" s="45" t="s">
        <v>46</v>
      </c>
      <c r="K262" s="45"/>
    </row>
    <row r="263" s="35" customFormat="1" spans="1:11">
      <c r="A263" s="44">
        <v>45768</v>
      </c>
      <c r="B263" s="45" t="s">
        <v>156</v>
      </c>
      <c r="C263" s="45"/>
      <c r="D263" s="45" t="s">
        <v>1078</v>
      </c>
      <c r="E263" s="45" t="s">
        <v>158</v>
      </c>
      <c r="F263" s="45">
        <v>6000</v>
      </c>
      <c r="G263" s="45">
        <v>0.125</v>
      </c>
      <c r="H263" s="45">
        <f t="shared" si="7"/>
        <v>750</v>
      </c>
      <c r="I263" s="45" t="s">
        <v>61</v>
      </c>
      <c r="J263" s="45" t="s">
        <v>46</v>
      </c>
      <c r="K263" s="45"/>
    </row>
    <row r="264" s="35" customFormat="1" spans="1:11">
      <c r="A264" s="44">
        <v>45768</v>
      </c>
      <c r="B264" s="45" t="s">
        <v>156</v>
      </c>
      <c r="C264" s="45"/>
      <c r="D264" s="45" t="s">
        <v>1077</v>
      </c>
      <c r="E264" s="45" t="s">
        <v>158</v>
      </c>
      <c r="F264" s="45">
        <v>85000</v>
      </c>
      <c r="G264" s="45">
        <v>0.125</v>
      </c>
      <c r="H264" s="45">
        <f t="shared" si="7"/>
        <v>10625</v>
      </c>
      <c r="I264" s="45" t="s">
        <v>61</v>
      </c>
      <c r="J264" s="45" t="s">
        <v>46</v>
      </c>
      <c r="K264" s="45"/>
    </row>
    <row r="265" s="35" customFormat="1" spans="1:11">
      <c r="A265" s="44">
        <v>45768</v>
      </c>
      <c r="B265" s="45" t="s">
        <v>156</v>
      </c>
      <c r="C265" s="45"/>
      <c r="D265" s="45" t="s">
        <v>1079</v>
      </c>
      <c r="E265" s="45" t="s">
        <v>158</v>
      </c>
      <c r="F265" s="45">
        <v>12000</v>
      </c>
      <c r="G265" s="45">
        <v>0.15</v>
      </c>
      <c r="H265" s="45">
        <f t="shared" si="7"/>
        <v>1800</v>
      </c>
      <c r="I265" s="45" t="s">
        <v>1038</v>
      </c>
      <c r="J265" s="45" t="s">
        <v>46</v>
      </c>
      <c r="K265" s="45"/>
    </row>
    <row r="266" s="35" customFormat="1" spans="1:11">
      <c r="A266" s="44">
        <v>45769</v>
      </c>
      <c r="B266" s="45" t="s">
        <v>156</v>
      </c>
      <c r="C266" s="45"/>
      <c r="D266" s="45" t="s">
        <v>1079</v>
      </c>
      <c r="E266" s="45" t="s">
        <v>158</v>
      </c>
      <c r="F266" s="45">
        <v>48000</v>
      </c>
      <c r="G266" s="45">
        <v>0.15</v>
      </c>
      <c r="H266" s="45">
        <f t="shared" si="7"/>
        <v>7200</v>
      </c>
      <c r="I266" s="45" t="s">
        <v>1038</v>
      </c>
      <c r="J266" s="45" t="s">
        <v>46</v>
      </c>
      <c r="K266" s="45"/>
    </row>
    <row r="267" spans="1:11">
      <c r="A267" s="41">
        <v>45749</v>
      </c>
      <c r="B267" s="43" t="s">
        <v>162</v>
      </c>
      <c r="C267" s="43" t="s">
        <v>1080</v>
      </c>
      <c r="D267" s="43" t="s">
        <v>1081</v>
      </c>
      <c r="E267" s="43" t="s">
        <v>158</v>
      </c>
      <c r="F267" s="43">
        <v>5000</v>
      </c>
      <c r="G267" s="43">
        <v>0.28</v>
      </c>
      <c r="H267" s="43">
        <f t="shared" ref="H267:H295" si="8">F267*G267</f>
        <v>1400</v>
      </c>
      <c r="I267" s="43" t="s">
        <v>143</v>
      </c>
      <c r="J267" s="43" t="s">
        <v>46</v>
      </c>
      <c r="K267" s="43"/>
    </row>
    <row r="268" spans="1:11">
      <c r="A268" s="41">
        <v>45750</v>
      </c>
      <c r="B268" s="43" t="s">
        <v>162</v>
      </c>
      <c r="C268" s="43" t="s">
        <v>1082</v>
      </c>
      <c r="D268" s="43" t="s">
        <v>441</v>
      </c>
      <c r="E268" s="43" t="s">
        <v>158</v>
      </c>
      <c r="F268" s="43">
        <v>20000</v>
      </c>
      <c r="G268" s="43">
        <v>0.17</v>
      </c>
      <c r="H268" s="43">
        <f t="shared" si="8"/>
        <v>3400</v>
      </c>
      <c r="I268" s="43" t="s">
        <v>61</v>
      </c>
      <c r="J268" s="43" t="s">
        <v>46</v>
      </c>
      <c r="K268" s="43"/>
    </row>
    <row r="269" spans="1:11">
      <c r="A269" s="41">
        <v>45750</v>
      </c>
      <c r="B269" s="43" t="s">
        <v>162</v>
      </c>
      <c r="C269" s="43" t="s">
        <v>1082</v>
      </c>
      <c r="D269" s="43" t="s">
        <v>1083</v>
      </c>
      <c r="E269" s="43" t="s">
        <v>158</v>
      </c>
      <c r="F269" s="43">
        <v>10000</v>
      </c>
      <c r="G269" s="43">
        <v>0.25</v>
      </c>
      <c r="H269" s="43">
        <f t="shared" si="8"/>
        <v>2500</v>
      </c>
      <c r="I269" s="43" t="s">
        <v>300</v>
      </c>
      <c r="J269" s="43" t="s">
        <v>46</v>
      </c>
      <c r="K269" s="43"/>
    </row>
    <row r="270" spans="1:11">
      <c r="A270" s="41">
        <v>45755</v>
      </c>
      <c r="B270" s="43" t="s">
        <v>162</v>
      </c>
      <c r="C270" s="43" t="s">
        <v>1084</v>
      </c>
      <c r="D270" s="43" t="s">
        <v>1076</v>
      </c>
      <c r="E270" s="43" t="s">
        <v>158</v>
      </c>
      <c r="F270" s="43">
        <v>50000</v>
      </c>
      <c r="G270" s="43">
        <v>0.17</v>
      </c>
      <c r="H270" s="43">
        <f t="shared" si="8"/>
        <v>8500</v>
      </c>
      <c r="I270" s="43" t="s">
        <v>61</v>
      </c>
      <c r="J270" s="43" t="s">
        <v>46</v>
      </c>
      <c r="K270" s="43"/>
    </row>
    <row r="271" spans="1:11">
      <c r="A271" s="41">
        <v>45755</v>
      </c>
      <c r="B271" s="43" t="s">
        <v>162</v>
      </c>
      <c r="C271" s="43" t="s">
        <v>1084</v>
      </c>
      <c r="D271" s="43" t="s">
        <v>172</v>
      </c>
      <c r="E271" s="43" t="s">
        <v>158</v>
      </c>
      <c r="F271" s="43">
        <v>33000</v>
      </c>
      <c r="G271" s="43">
        <v>0.17</v>
      </c>
      <c r="H271" s="43">
        <f t="shared" si="8"/>
        <v>5610</v>
      </c>
      <c r="I271" s="43" t="s">
        <v>61</v>
      </c>
      <c r="J271" s="43" t="s">
        <v>46</v>
      </c>
      <c r="K271" s="43"/>
    </row>
    <row r="272" spans="1:11">
      <c r="A272" s="41">
        <v>45755</v>
      </c>
      <c r="B272" s="43" t="s">
        <v>162</v>
      </c>
      <c r="C272" s="43" t="s">
        <v>1085</v>
      </c>
      <c r="D272" s="43" t="s">
        <v>1083</v>
      </c>
      <c r="E272" s="43" t="s">
        <v>158</v>
      </c>
      <c r="F272" s="43">
        <v>30000</v>
      </c>
      <c r="G272" s="43">
        <v>0.25</v>
      </c>
      <c r="H272" s="43">
        <f t="shared" si="8"/>
        <v>7500</v>
      </c>
      <c r="I272" s="43" t="s">
        <v>61</v>
      </c>
      <c r="J272" s="43" t="s">
        <v>912</v>
      </c>
      <c r="K272" s="43"/>
    </row>
    <row r="273" spans="1:11">
      <c r="A273" s="41">
        <v>45756</v>
      </c>
      <c r="B273" s="43" t="s">
        <v>162</v>
      </c>
      <c r="C273" s="43" t="s">
        <v>1086</v>
      </c>
      <c r="D273" s="43" t="s">
        <v>462</v>
      </c>
      <c r="E273" s="43" t="s">
        <v>158</v>
      </c>
      <c r="F273" s="43">
        <v>50000</v>
      </c>
      <c r="G273" s="43">
        <v>0.2</v>
      </c>
      <c r="H273" s="43">
        <f t="shared" si="8"/>
        <v>10000</v>
      </c>
      <c r="I273" s="43" t="s">
        <v>61</v>
      </c>
      <c r="J273" s="43" t="s">
        <v>46</v>
      </c>
      <c r="K273" s="43"/>
    </row>
    <row r="274" spans="1:11">
      <c r="A274" s="41">
        <v>45757</v>
      </c>
      <c r="B274" s="43" t="s">
        <v>162</v>
      </c>
      <c r="C274" s="43" t="s">
        <v>1087</v>
      </c>
      <c r="D274" s="43" t="s">
        <v>1088</v>
      </c>
      <c r="E274" s="43" t="s">
        <v>158</v>
      </c>
      <c r="F274" s="43">
        <v>14000</v>
      </c>
      <c r="G274" s="43">
        <v>0.25</v>
      </c>
      <c r="H274" s="43">
        <f t="shared" si="8"/>
        <v>3500</v>
      </c>
      <c r="I274" s="43" t="s">
        <v>166</v>
      </c>
      <c r="J274" s="43" t="s">
        <v>46</v>
      </c>
      <c r="K274" s="43"/>
    </row>
    <row r="275" spans="1:11">
      <c r="A275" s="41">
        <v>45757</v>
      </c>
      <c r="B275" s="43" t="s">
        <v>162</v>
      </c>
      <c r="C275" s="43" t="s">
        <v>1087</v>
      </c>
      <c r="D275" s="43" t="s">
        <v>1089</v>
      </c>
      <c r="E275" s="43" t="s">
        <v>158</v>
      </c>
      <c r="F275" s="43">
        <v>50000</v>
      </c>
      <c r="G275" s="43">
        <v>0.25</v>
      </c>
      <c r="H275" s="43">
        <f t="shared" si="8"/>
        <v>12500</v>
      </c>
      <c r="I275" s="43" t="s">
        <v>61</v>
      </c>
      <c r="J275" s="43" t="s">
        <v>46</v>
      </c>
      <c r="K275" s="43"/>
    </row>
    <row r="276" spans="1:11">
      <c r="A276" s="41">
        <v>45758</v>
      </c>
      <c r="B276" s="43" t="s">
        <v>162</v>
      </c>
      <c r="C276" s="43" t="s">
        <v>1090</v>
      </c>
      <c r="D276" s="43" t="s">
        <v>1081</v>
      </c>
      <c r="E276" s="43" t="s">
        <v>158</v>
      </c>
      <c r="F276" s="43">
        <v>10000</v>
      </c>
      <c r="G276" s="43">
        <v>0.28</v>
      </c>
      <c r="H276" s="43">
        <f t="shared" si="8"/>
        <v>2800</v>
      </c>
      <c r="I276" s="43" t="s">
        <v>143</v>
      </c>
      <c r="J276" s="43" t="s">
        <v>46</v>
      </c>
      <c r="K276" s="43"/>
    </row>
    <row r="277" spans="1:11">
      <c r="A277" s="41">
        <v>45758</v>
      </c>
      <c r="B277" s="43" t="s">
        <v>162</v>
      </c>
      <c r="C277" s="43" t="s">
        <v>1090</v>
      </c>
      <c r="D277" s="43" t="s">
        <v>170</v>
      </c>
      <c r="E277" s="43" t="s">
        <v>158</v>
      </c>
      <c r="F277" s="43">
        <v>10000</v>
      </c>
      <c r="G277" s="43">
        <v>0.17</v>
      </c>
      <c r="H277" s="43">
        <f t="shared" si="8"/>
        <v>1700</v>
      </c>
      <c r="I277" s="43" t="s">
        <v>61</v>
      </c>
      <c r="J277" s="43" t="s">
        <v>46</v>
      </c>
      <c r="K277" s="43"/>
    </row>
    <row r="278" spans="1:11">
      <c r="A278" s="41">
        <v>45759</v>
      </c>
      <c r="B278" s="43" t="s">
        <v>162</v>
      </c>
      <c r="C278" s="43" t="s">
        <v>1091</v>
      </c>
      <c r="D278" s="43" t="s">
        <v>462</v>
      </c>
      <c r="E278" s="43" t="s">
        <v>158</v>
      </c>
      <c r="F278" s="43">
        <v>30000</v>
      </c>
      <c r="G278" s="43">
        <v>0.2</v>
      </c>
      <c r="H278" s="43">
        <f t="shared" si="8"/>
        <v>6000</v>
      </c>
      <c r="I278" s="43" t="s">
        <v>61</v>
      </c>
      <c r="J278" s="43" t="s">
        <v>912</v>
      </c>
      <c r="K278" s="43"/>
    </row>
    <row r="279" spans="1:11">
      <c r="A279" s="41">
        <v>45759</v>
      </c>
      <c r="B279" s="43" t="s">
        <v>162</v>
      </c>
      <c r="C279" s="43" t="s">
        <v>1092</v>
      </c>
      <c r="D279" s="43" t="s">
        <v>1089</v>
      </c>
      <c r="E279" s="43" t="s">
        <v>158</v>
      </c>
      <c r="F279" s="43">
        <v>10000</v>
      </c>
      <c r="G279" s="43">
        <v>0.25</v>
      </c>
      <c r="H279" s="43">
        <f t="shared" si="8"/>
        <v>2500</v>
      </c>
      <c r="I279" s="43" t="s">
        <v>61</v>
      </c>
      <c r="J279" s="43" t="s">
        <v>46</v>
      </c>
      <c r="K279" s="43"/>
    </row>
    <row r="280" spans="1:11">
      <c r="A280" s="41">
        <v>45764</v>
      </c>
      <c r="B280" s="43" t="s">
        <v>162</v>
      </c>
      <c r="C280" s="43" t="s">
        <v>1093</v>
      </c>
      <c r="D280" s="43" t="s">
        <v>1076</v>
      </c>
      <c r="E280" s="43" t="s">
        <v>158</v>
      </c>
      <c r="F280" s="43">
        <v>50000</v>
      </c>
      <c r="G280" s="43">
        <v>0.17</v>
      </c>
      <c r="H280" s="43">
        <f t="shared" si="8"/>
        <v>8500</v>
      </c>
      <c r="I280" s="43" t="s">
        <v>61</v>
      </c>
      <c r="J280" s="43" t="s">
        <v>46</v>
      </c>
      <c r="K280" s="43"/>
    </row>
    <row r="281" spans="1:11">
      <c r="A281" s="41">
        <v>45765</v>
      </c>
      <c r="B281" s="43" t="s">
        <v>162</v>
      </c>
      <c r="C281" s="43" t="s">
        <v>1094</v>
      </c>
      <c r="D281" s="43" t="s">
        <v>468</v>
      </c>
      <c r="E281" s="43" t="s">
        <v>158</v>
      </c>
      <c r="F281" s="43">
        <v>30000</v>
      </c>
      <c r="G281" s="43">
        <v>0.24</v>
      </c>
      <c r="H281" s="43">
        <f t="shared" si="8"/>
        <v>7200</v>
      </c>
      <c r="I281" s="43" t="s">
        <v>94</v>
      </c>
      <c r="J281" s="43"/>
      <c r="K281" s="43"/>
    </row>
    <row r="282" spans="1:11">
      <c r="A282" s="41">
        <v>45765</v>
      </c>
      <c r="B282" s="43" t="s">
        <v>162</v>
      </c>
      <c r="C282" s="43" t="s">
        <v>1094</v>
      </c>
      <c r="D282" s="43" t="s">
        <v>168</v>
      </c>
      <c r="E282" s="43" t="s">
        <v>158</v>
      </c>
      <c r="F282" s="43">
        <v>30000</v>
      </c>
      <c r="G282" s="43">
        <v>0.24</v>
      </c>
      <c r="H282" s="43">
        <f t="shared" si="8"/>
        <v>7200</v>
      </c>
      <c r="I282" s="43" t="s">
        <v>94</v>
      </c>
      <c r="J282" s="43"/>
      <c r="K282" s="43"/>
    </row>
    <row r="283" spans="1:11">
      <c r="A283" s="41">
        <v>45765</v>
      </c>
      <c r="B283" s="43" t="s">
        <v>162</v>
      </c>
      <c r="C283" s="43" t="s">
        <v>1094</v>
      </c>
      <c r="D283" s="43" t="s">
        <v>1095</v>
      </c>
      <c r="E283" s="43" t="s">
        <v>158</v>
      </c>
      <c r="F283" s="43">
        <v>550</v>
      </c>
      <c r="G283" s="43">
        <v>0.25</v>
      </c>
      <c r="H283" s="43">
        <f t="shared" si="8"/>
        <v>137.5</v>
      </c>
      <c r="I283" s="43" t="s">
        <v>1057</v>
      </c>
      <c r="J283" s="43"/>
      <c r="K283" s="43"/>
    </row>
    <row r="284" spans="1:11">
      <c r="A284" s="41">
        <v>45768</v>
      </c>
      <c r="B284" s="43" t="s">
        <v>162</v>
      </c>
      <c r="C284" s="43" t="s">
        <v>1096</v>
      </c>
      <c r="D284" s="43" t="s">
        <v>170</v>
      </c>
      <c r="E284" s="43" t="s">
        <v>158</v>
      </c>
      <c r="F284" s="43">
        <v>100000</v>
      </c>
      <c r="G284" s="43">
        <v>0.17</v>
      </c>
      <c r="H284" s="43">
        <f t="shared" si="8"/>
        <v>17000</v>
      </c>
      <c r="I284" s="43" t="s">
        <v>61</v>
      </c>
      <c r="J284" s="43" t="s">
        <v>46</v>
      </c>
      <c r="K284" s="43"/>
    </row>
    <row r="285" spans="1:11">
      <c r="A285" s="41">
        <v>45769</v>
      </c>
      <c r="B285" s="43" t="s">
        <v>162</v>
      </c>
      <c r="C285" s="43" t="s">
        <v>1097</v>
      </c>
      <c r="D285" s="43" t="s">
        <v>170</v>
      </c>
      <c r="E285" s="43" t="s">
        <v>158</v>
      </c>
      <c r="F285" s="43">
        <v>90000</v>
      </c>
      <c r="G285" s="43">
        <v>0.17</v>
      </c>
      <c r="H285" s="43">
        <f t="shared" si="8"/>
        <v>15300</v>
      </c>
      <c r="I285" s="43" t="s">
        <v>61</v>
      </c>
      <c r="J285" s="43" t="s">
        <v>46</v>
      </c>
      <c r="K285" s="43"/>
    </row>
    <row r="286" spans="1:11">
      <c r="A286" s="41">
        <v>45769</v>
      </c>
      <c r="B286" s="43" t="s">
        <v>162</v>
      </c>
      <c r="C286" s="43" t="s">
        <v>1098</v>
      </c>
      <c r="D286" s="43" t="s">
        <v>1099</v>
      </c>
      <c r="E286" s="43" t="s">
        <v>158</v>
      </c>
      <c r="F286" s="43">
        <v>1400</v>
      </c>
      <c r="G286" s="43">
        <v>0.34</v>
      </c>
      <c r="H286" s="43">
        <f t="shared" si="8"/>
        <v>476</v>
      </c>
      <c r="I286" s="43" t="s">
        <v>61</v>
      </c>
      <c r="J286" s="43" t="s">
        <v>46</v>
      </c>
      <c r="K286" s="43"/>
    </row>
    <row r="287" spans="1:11">
      <c r="A287" s="41">
        <v>45771</v>
      </c>
      <c r="B287" s="43" t="s">
        <v>162</v>
      </c>
      <c r="C287" s="43" t="s">
        <v>1100</v>
      </c>
      <c r="D287" s="43" t="s">
        <v>1101</v>
      </c>
      <c r="E287" s="43" t="s">
        <v>158</v>
      </c>
      <c r="F287" s="43">
        <v>500</v>
      </c>
      <c r="G287" s="43">
        <v>0.28</v>
      </c>
      <c r="H287" s="43">
        <v>0.28</v>
      </c>
      <c r="I287" s="43" t="s">
        <v>982</v>
      </c>
      <c r="J287" s="43"/>
      <c r="K287" s="43"/>
    </row>
    <row r="288" spans="1:11">
      <c r="A288" s="41">
        <v>45775</v>
      </c>
      <c r="B288" s="43" t="s">
        <v>162</v>
      </c>
      <c r="C288" s="43" t="s">
        <v>1102</v>
      </c>
      <c r="D288" s="43" t="s">
        <v>1101</v>
      </c>
      <c r="E288" s="43" t="s">
        <v>158</v>
      </c>
      <c r="F288" s="43">
        <v>2000</v>
      </c>
      <c r="G288" s="43">
        <v>0.28</v>
      </c>
      <c r="H288" s="43">
        <f>F288*G288</f>
        <v>560</v>
      </c>
      <c r="I288" s="43" t="s">
        <v>982</v>
      </c>
      <c r="J288" s="43"/>
      <c r="K288" s="43"/>
    </row>
    <row r="289" spans="1:11">
      <c r="A289" s="41">
        <v>45759</v>
      </c>
      <c r="B289" s="43" t="s">
        <v>225</v>
      </c>
      <c r="C289" s="87" t="s">
        <v>1103</v>
      </c>
      <c r="D289" s="43" t="s">
        <v>227</v>
      </c>
      <c r="E289" s="43" t="s">
        <v>123</v>
      </c>
      <c r="F289" s="43">
        <v>414</v>
      </c>
      <c r="G289" s="43">
        <v>0.7</v>
      </c>
      <c r="H289" s="43">
        <f t="shared" ref="H289:H304" si="9">F289*G289</f>
        <v>289.8</v>
      </c>
      <c r="I289" s="43" t="s">
        <v>208</v>
      </c>
      <c r="J289" s="43"/>
      <c r="K289" s="43"/>
    </row>
    <row r="290" spans="1:11">
      <c r="A290" s="41">
        <v>45759</v>
      </c>
      <c r="B290" s="43" t="s">
        <v>225</v>
      </c>
      <c r="C290" s="87" t="s">
        <v>1103</v>
      </c>
      <c r="D290" s="43" t="s">
        <v>1104</v>
      </c>
      <c r="E290" s="43" t="s">
        <v>123</v>
      </c>
      <c r="F290" s="43">
        <v>6010</v>
      </c>
      <c r="G290" s="43">
        <v>0.68</v>
      </c>
      <c r="H290" s="43">
        <f t="shared" si="9"/>
        <v>4086.8</v>
      </c>
      <c r="I290" s="43" t="s">
        <v>437</v>
      </c>
      <c r="J290" s="43"/>
      <c r="K290" s="43"/>
    </row>
    <row r="291" spans="1:11">
      <c r="A291" s="41">
        <v>45758</v>
      </c>
      <c r="B291" s="43" t="s">
        <v>74</v>
      </c>
      <c r="C291" s="43"/>
      <c r="D291" s="43" t="s">
        <v>122</v>
      </c>
      <c r="E291" s="43" t="s">
        <v>450</v>
      </c>
      <c r="F291" s="43">
        <v>2011</v>
      </c>
      <c r="G291" s="43">
        <v>0.75</v>
      </c>
      <c r="H291" s="43">
        <f t="shared" si="9"/>
        <v>1508.25</v>
      </c>
      <c r="I291" s="43" t="s">
        <v>864</v>
      </c>
      <c r="J291" s="43"/>
      <c r="K291" s="43"/>
    </row>
    <row r="292" spans="1:11">
      <c r="A292" s="41">
        <v>45763</v>
      </c>
      <c r="B292" s="43" t="s">
        <v>74</v>
      </c>
      <c r="C292" s="43" t="s">
        <v>1105</v>
      </c>
      <c r="D292" s="43" t="s">
        <v>59</v>
      </c>
      <c r="E292" s="43" t="s">
        <v>60</v>
      </c>
      <c r="F292" s="43">
        <v>4007</v>
      </c>
      <c r="G292" s="43">
        <v>0.6</v>
      </c>
      <c r="H292" s="43">
        <f t="shared" si="9"/>
        <v>2404.2</v>
      </c>
      <c r="I292" s="43" t="s">
        <v>77</v>
      </c>
      <c r="J292" s="43"/>
      <c r="K292" s="43"/>
    </row>
    <row r="293" spans="1:11">
      <c r="A293" s="41">
        <v>45759</v>
      </c>
      <c r="B293" s="43" t="s">
        <v>1106</v>
      </c>
      <c r="C293" s="43" t="s">
        <v>1107</v>
      </c>
      <c r="D293" s="43" t="s">
        <v>875</v>
      </c>
      <c r="E293" s="43" t="s">
        <v>1108</v>
      </c>
      <c r="F293" s="43">
        <v>5</v>
      </c>
      <c r="G293" s="43">
        <v>5.65</v>
      </c>
      <c r="H293" s="43">
        <f t="shared" si="9"/>
        <v>28.25</v>
      </c>
      <c r="I293" s="43" t="s">
        <v>920</v>
      </c>
      <c r="J293" s="43"/>
      <c r="K293" s="43"/>
    </row>
    <row r="294" spans="1:11">
      <c r="A294" s="41">
        <v>45759</v>
      </c>
      <c r="B294" s="43" t="s">
        <v>1106</v>
      </c>
      <c r="C294" s="43" t="s">
        <v>1107</v>
      </c>
      <c r="D294" s="43" t="s">
        <v>1109</v>
      </c>
      <c r="E294" s="43" t="s">
        <v>1110</v>
      </c>
      <c r="F294" s="43">
        <v>5</v>
      </c>
      <c r="G294" s="43">
        <v>4.3</v>
      </c>
      <c r="H294" s="43">
        <f t="shared" si="9"/>
        <v>21.5</v>
      </c>
      <c r="I294" s="43" t="s">
        <v>920</v>
      </c>
      <c r="J294" s="43"/>
      <c r="K294" s="43"/>
    </row>
    <row r="295" spans="1:11">
      <c r="A295" s="41">
        <v>45759</v>
      </c>
      <c r="B295" s="43" t="s">
        <v>1106</v>
      </c>
      <c r="C295" s="43" t="s">
        <v>1107</v>
      </c>
      <c r="D295" s="43" t="s">
        <v>876</v>
      </c>
      <c r="E295" s="43" t="s">
        <v>1108</v>
      </c>
      <c r="F295" s="43">
        <v>5</v>
      </c>
      <c r="G295" s="43">
        <v>6.7</v>
      </c>
      <c r="H295" s="43">
        <f t="shared" si="9"/>
        <v>33.5</v>
      </c>
      <c r="I295" s="43" t="s">
        <v>920</v>
      </c>
      <c r="J295" s="43"/>
      <c r="K295" s="43"/>
    </row>
    <row r="296" spans="1:11">
      <c r="A296" s="41">
        <v>45759</v>
      </c>
      <c r="B296" s="43" t="s">
        <v>1106</v>
      </c>
      <c r="C296" s="43" t="s">
        <v>1107</v>
      </c>
      <c r="D296" s="43" t="s">
        <v>1111</v>
      </c>
      <c r="E296" s="43" t="s">
        <v>447</v>
      </c>
      <c r="F296" s="43">
        <v>5</v>
      </c>
      <c r="G296" s="43">
        <v>2.7</v>
      </c>
      <c r="H296" s="43">
        <f t="shared" si="9"/>
        <v>13.5</v>
      </c>
      <c r="I296" s="43" t="s">
        <v>920</v>
      </c>
      <c r="J296" s="43"/>
      <c r="K296" s="43"/>
    </row>
    <row r="297" spans="1:11">
      <c r="A297" s="41">
        <v>45759</v>
      </c>
      <c r="B297" s="43" t="s">
        <v>1106</v>
      </c>
      <c r="C297" s="43" t="s">
        <v>1107</v>
      </c>
      <c r="D297" s="43" t="s">
        <v>1112</v>
      </c>
      <c r="E297" s="43" t="s">
        <v>1113</v>
      </c>
      <c r="F297" s="43">
        <v>5</v>
      </c>
      <c r="G297" s="43">
        <v>4</v>
      </c>
      <c r="H297" s="43">
        <f t="shared" si="9"/>
        <v>20</v>
      </c>
      <c r="I297" s="43" t="s">
        <v>920</v>
      </c>
      <c r="J297" s="43"/>
      <c r="K297" s="43"/>
    </row>
    <row r="298" spans="1:11">
      <c r="A298" s="41">
        <v>45776</v>
      </c>
      <c r="B298" s="43" t="s">
        <v>1106</v>
      </c>
      <c r="C298" s="43" t="s">
        <v>1114</v>
      </c>
      <c r="D298" s="43" t="s">
        <v>871</v>
      </c>
      <c r="E298" s="43" t="s">
        <v>111</v>
      </c>
      <c r="F298" s="43">
        <v>1682</v>
      </c>
      <c r="G298" s="43">
        <v>3.5</v>
      </c>
      <c r="H298" s="43">
        <f t="shared" si="9"/>
        <v>5887</v>
      </c>
      <c r="I298" s="43" t="s">
        <v>872</v>
      </c>
      <c r="J298" s="43"/>
      <c r="K298" s="43"/>
    </row>
    <row r="299" spans="1:11">
      <c r="A299" s="41">
        <v>45755</v>
      </c>
      <c r="B299" s="43" t="s">
        <v>184</v>
      </c>
      <c r="C299" s="43" t="s">
        <v>1115</v>
      </c>
      <c r="D299" s="43" t="s">
        <v>13</v>
      </c>
      <c r="E299" s="43" t="s">
        <v>14</v>
      </c>
      <c r="F299" s="43">
        <v>5220</v>
      </c>
      <c r="G299" s="43">
        <v>1.54</v>
      </c>
      <c r="H299" s="43">
        <f t="shared" si="9"/>
        <v>8038.8</v>
      </c>
      <c r="I299" s="43" t="s">
        <v>1116</v>
      </c>
      <c r="J299" s="43" t="s">
        <v>46</v>
      </c>
      <c r="K299" s="43"/>
    </row>
    <row r="300" spans="1:11">
      <c r="A300" s="41">
        <v>45758</v>
      </c>
      <c r="B300" s="43" t="s">
        <v>184</v>
      </c>
      <c r="C300" s="43" t="s">
        <v>1117</v>
      </c>
      <c r="D300" s="43" t="s">
        <v>1118</v>
      </c>
      <c r="E300" s="43" t="s">
        <v>14</v>
      </c>
      <c r="F300" s="43">
        <v>15</v>
      </c>
      <c r="G300" s="43">
        <v>1.75</v>
      </c>
      <c r="H300" s="43">
        <f t="shared" si="9"/>
        <v>26.25</v>
      </c>
      <c r="I300" s="43" t="s">
        <v>69</v>
      </c>
      <c r="J300" s="43"/>
      <c r="K300" s="43"/>
    </row>
    <row r="301" spans="1:11">
      <c r="A301" s="41">
        <v>45762</v>
      </c>
      <c r="B301" s="43" t="s">
        <v>184</v>
      </c>
      <c r="C301" s="43" t="s">
        <v>1119</v>
      </c>
      <c r="D301" s="43" t="s">
        <v>38</v>
      </c>
      <c r="E301" s="43" t="s">
        <v>14</v>
      </c>
      <c r="F301" s="43">
        <v>2035</v>
      </c>
      <c r="G301" s="43">
        <v>1.35</v>
      </c>
      <c r="H301" s="43">
        <f t="shared" si="9"/>
        <v>2747.25</v>
      </c>
      <c r="I301" s="43" t="s">
        <v>78</v>
      </c>
      <c r="J301" s="43"/>
      <c r="K301" s="43"/>
    </row>
    <row r="302" spans="1:11">
      <c r="A302" s="41">
        <v>45768</v>
      </c>
      <c r="B302" s="43" t="s">
        <v>184</v>
      </c>
      <c r="C302" s="43" t="s">
        <v>1120</v>
      </c>
      <c r="D302" s="43" t="s">
        <v>1121</v>
      </c>
      <c r="E302" s="43" t="s">
        <v>14</v>
      </c>
      <c r="F302" s="43">
        <v>35</v>
      </c>
      <c r="G302" s="43">
        <v>1.35</v>
      </c>
      <c r="H302" s="43">
        <f t="shared" si="9"/>
        <v>47.25</v>
      </c>
      <c r="I302" s="43" t="s">
        <v>28</v>
      </c>
      <c r="J302" s="43"/>
      <c r="K302" s="43"/>
    </row>
    <row r="303" spans="1:11">
      <c r="A303" s="41">
        <v>45769</v>
      </c>
      <c r="B303" s="43" t="s">
        <v>184</v>
      </c>
      <c r="C303" s="43" t="s">
        <v>1122</v>
      </c>
      <c r="D303" s="43" t="s">
        <v>181</v>
      </c>
      <c r="E303" s="43" t="s">
        <v>14</v>
      </c>
      <c r="F303" s="43">
        <v>10000</v>
      </c>
      <c r="G303" s="43">
        <v>2.25</v>
      </c>
      <c r="H303" s="43">
        <f t="shared" si="9"/>
        <v>22500</v>
      </c>
      <c r="I303" s="43" t="s">
        <v>94</v>
      </c>
      <c r="J303" s="43" t="s">
        <v>46</v>
      </c>
      <c r="K303" s="43"/>
    </row>
    <row r="304" spans="1:11">
      <c r="A304" s="41">
        <v>45769</v>
      </c>
      <c r="B304" s="43" t="s">
        <v>184</v>
      </c>
      <c r="C304" s="43" t="s">
        <v>1122</v>
      </c>
      <c r="D304" s="43" t="s">
        <v>772</v>
      </c>
      <c r="E304" s="43" t="s">
        <v>14</v>
      </c>
      <c r="F304" s="43">
        <v>19000</v>
      </c>
      <c r="G304" s="43">
        <v>1.15</v>
      </c>
      <c r="H304" s="43">
        <f t="shared" si="9"/>
        <v>21850</v>
      </c>
      <c r="I304" s="43" t="s">
        <v>271</v>
      </c>
      <c r="J304" s="43" t="s">
        <v>46</v>
      </c>
      <c r="K304" s="43"/>
    </row>
    <row r="305" spans="1:11">
      <c r="A305" s="41">
        <v>45758</v>
      </c>
      <c r="B305" s="43" t="s">
        <v>551</v>
      </c>
      <c r="C305" s="43" t="s">
        <v>1123</v>
      </c>
      <c r="D305" s="43" t="s">
        <v>552</v>
      </c>
      <c r="E305" s="43" t="s">
        <v>14</v>
      </c>
      <c r="F305" s="43">
        <v>102000</v>
      </c>
      <c r="G305" s="43">
        <v>0.49</v>
      </c>
      <c r="H305" s="43">
        <f t="shared" ref="H305:H313" si="10">F305*G305</f>
        <v>49980</v>
      </c>
      <c r="I305" s="43" t="s">
        <v>243</v>
      </c>
      <c r="J305" s="43" t="s">
        <v>46</v>
      </c>
      <c r="K305" s="43"/>
    </row>
    <row r="306" spans="1:11">
      <c r="A306" s="41">
        <v>45758</v>
      </c>
      <c r="B306" s="43" t="s">
        <v>551</v>
      </c>
      <c r="C306" s="43" t="s">
        <v>1124</v>
      </c>
      <c r="D306" s="43" t="s">
        <v>380</v>
      </c>
      <c r="E306" s="43" t="s">
        <v>14</v>
      </c>
      <c r="F306" s="43">
        <v>6000</v>
      </c>
      <c r="G306" s="43">
        <v>0.8</v>
      </c>
      <c r="H306" s="43">
        <f t="shared" si="10"/>
        <v>4800</v>
      </c>
      <c r="I306" s="43" t="s">
        <v>243</v>
      </c>
      <c r="J306" s="43" t="s">
        <v>46</v>
      </c>
      <c r="K306" s="43"/>
    </row>
    <row r="307" spans="1:11">
      <c r="A307" s="41">
        <v>45755</v>
      </c>
      <c r="B307" s="43" t="s">
        <v>439</v>
      </c>
      <c r="C307" s="43" t="s">
        <v>1125</v>
      </c>
      <c r="D307" s="43" t="s">
        <v>828</v>
      </c>
      <c r="E307" s="43" t="s">
        <v>158</v>
      </c>
      <c r="F307" s="43">
        <v>102000</v>
      </c>
      <c r="G307" s="43">
        <v>0.125</v>
      </c>
      <c r="H307" s="43">
        <f t="shared" si="10"/>
        <v>12750</v>
      </c>
      <c r="I307" s="43" t="s">
        <v>61</v>
      </c>
      <c r="J307" s="43" t="s">
        <v>46</v>
      </c>
      <c r="K307" s="43"/>
    </row>
    <row r="308" spans="1:11">
      <c r="A308" s="41">
        <v>45758</v>
      </c>
      <c r="B308" s="43" t="s">
        <v>439</v>
      </c>
      <c r="C308" s="43" t="s">
        <v>1126</v>
      </c>
      <c r="D308" s="43" t="s">
        <v>828</v>
      </c>
      <c r="E308" s="43" t="s">
        <v>158</v>
      </c>
      <c r="F308" s="43">
        <v>98000</v>
      </c>
      <c r="G308" s="43">
        <v>0.125</v>
      </c>
      <c r="H308" s="43">
        <f t="shared" si="10"/>
        <v>12250</v>
      </c>
      <c r="I308" s="43" t="s">
        <v>61</v>
      </c>
      <c r="J308" s="43" t="s">
        <v>46</v>
      </c>
      <c r="K308" s="43"/>
    </row>
    <row r="309" spans="1:11">
      <c r="A309" s="41">
        <v>45758</v>
      </c>
      <c r="B309" s="43" t="s">
        <v>439</v>
      </c>
      <c r="C309" s="43" t="s">
        <v>1126</v>
      </c>
      <c r="D309" s="43" t="s">
        <v>1127</v>
      </c>
      <c r="E309" s="43" t="s">
        <v>158</v>
      </c>
      <c r="F309" s="43">
        <v>200000</v>
      </c>
      <c r="G309" s="43">
        <v>0.125</v>
      </c>
      <c r="H309" s="43">
        <f t="shared" si="10"/>
        <v>25000</v>
      </c>
      <c r="I309" s="43" t="s">
        <v>61</v>
      </c>
      <c r="J309" s="43" t="s">
        <v>46</v>
      </c>
      <c r="K309" s="43"/>
    </row>
    <row r="310" spans="1:11">
      <c r="A310" s="41">
        <v>45755</v>
      </c>
      <c r="B310" s="43" t="s">
        <v>263</v>
      </c>
      <c r="C310" s="87" t="s">
        <v>1128</v>
      </c>
      <c r="D310" s="43" t="s">
        <v>1028</v>
      </c>
      <c r="E310" s="43" t="s">
        <v>158</v>
      </c>
      <c r="F310" s="43">
        <v>10000</v>
      </c>
      <c r="G310" s="43">
        <v>0.136</v>
      </c>
      <c r="H310" s="43">
        <f t="shared" si="10"/>
        <v>1360</v>
      </c>
      <c r="I310" s="43" t="s">
        <v>61</v>
      </c>
      <c r="J310" s="43" t="s">
        <v>46</v>
      </c>
      <c r="K310" s="43"/>
    </row>
    <row r="311" spans="1:11">
      <c r="A311" s="41">
        <v>45764</v>
      </c>
      <c r="B311" s="43" t="s">
        <v>534</v>
      </c>
      <c r="C311" s="87" t="s">
        <v>1129</v>
      </c>
      <c r="D311" s="43" t="s">
        <v>76</v>
      </c>
      <c r="E311" s="43" t="s">
        <v>60</v>
      </c>
      <c r="F311" s="43">
        <v>20200</v>
      </c>
      <c r="G311" s="43">
        <v>0.4</v>
      </c>
      <c r="H311" s="43">
        <f t="shared" si="10"/>
        <v>8080</v>
      </c>
      <c r="I311" s="43" t="s">
        <v>100</v>
      </c>
      <c r="J311" s="43"/>
      <c r="K311" s="43"/>
    </row>
    <row r="312" spans="1:11">
      <c r="A312" s="41">
        <v>45764</v>
      </c>
      <c r="B312" s="43" t="s">
        <v>1130</v>
      </c>
      <c r="C312" s="43"/>
      <c r="D312" s="43" t="s">
        <v>1131</v>
      </c>
      <c r="E312" s="43" t="s">
        <v>1132</v>
      </c>
      <c r="F312" s="43">
        <v>101</v>
      </c>
      <c r="G312" s="43">
        <v>1.15</v>
      </c>
      <c r="H312" s="43">
        <f t="shared" si="10"/>
        <v>116.15</v>
      </c>
      <c r="I312" s="43" t="s">
        <v>520</v>
      </c>
      <c r="J312" s="43"/>
      <c r="K312" s="43"/>
    </row>
    <row r="313" spans="1:11">
      <c r="A313" s="41">
        <v>45764</v>
      </c>
      <c r="B313" s="43" t="s">
        <v>1133</v>
      </c>
      <c r="C313" s="43">
        <v>20250417001</v>
      </c>
      <c r="D313" s="43" t="s">
        <v>1134</v>
      </c>
      <c r="E313" s="43"/>
      <c r="F313" s="43">
        <v>4000</v>
      </c>
      <c r="G313" s="43">
        <v>0.007</v>
      </c>
      <c r="H313" s="43">
        <f t="shared" si="10"/>
        <v>28</v>
      </c>
      <c r="I313" s="43" t="s">
        <v>999</v>
      </c>
      <c r="J313" s="43" t="s">
        <v>1135</v>
      </c>
      <c r="K313" s="43"/>
    </row>
    <row r="314" spans="1:11">
      <c r="A314" s="41">
        <v>45764</v>
      </c>
      <c r="B314" s="43" t="s">
        <v>1133</v>
      </c>
      <c r="C314" s="43">
        <v>20250417001</v>
      </c>
      <c r="D314" s="43" t="s">
        <v>1136</v>
      </c>
      <c r="E314" s="43">
        <v>1</v>
      </c>
      <c r="F314" s="43"/>
      <c r="G314" s="43"/>
      <c r="H314" s="43">
        <v>8</v>
      </c>
      <c r="I314" s="43" t="s">
        <v>999</v>
      </c>
      <c r="J314" s="43" t="s">
        <v>1135</v>
      </c>
      <c r="K314" s="43"/>
    </row>
    <row r="315" spans="1:11">
      <c r="A315" s="41">
        <v>45755</v>
      </c>
      <c r="B315" s="43" t="s">
        <v>808</v>
      </c>
      <c r="C315" s="43"/>
      <c r="D315" s="43" t="s">
        <v>290</v>
      </c>
      <c r="E315" s="43" t="s">
        <v>14</v>
      </c>
      <c r="F315" s="43">
        <v>50000</v>
      </c>
      <c r="G315" s="43">
        <v>0.95</v>
      </c>
      <c r="H315" s="43">
        <f t="shared" ref="H315:H320" si="11">F315*G315</f>
        <v>47500</v>
      </c>
      <c r="I315" s="43" t="s">
        <v>45</v>
      </c>
      <c r="J315" s="43"/>
      <c r="K315" s="43"/>
    </row>
    <row r="316" spans="1:11">
      <c r="A316" s="41">
        <v>45772</v>
      </c>
      <c r="B316" s="43" t="s">
        <v>808</v>
      </c>
      <c r="C316" s="43"/>
      <c r="D316" s="43" t="s">
        <v>290</v>
      </c>
      <c r="E316" s="43" t="s">
        <v>14</v>
      </c>
      <c r="F316" s="43">
        <v>6100</v>
      </c>
      <c r="G316" s="43">
        <v>0.95</v>
      </c>
      <c r="H316" s="43">
        <f t="shared" si="11"/>
        <v>5795</v>
      </c>
      <c r="I316" s="43" t="s">
        <v>45</v>
      </c>
      <c r="J316" s="43" t="s">
        <v>46</v>
      </c>
      <c r="K316" s="43"/>
    </row>
    <row r="317" spans="1:11">
      <c r="A317" s="44">
        <v>45774</v>
      </c>
      <c r="B317" s="45" t="s">
        <v>808</v>
      </c>
      <c r="C317" s="45"/>
      <c r="D317" s="45" t="s">
        <v>290</v>
      </c>
      <c r="E317" s="45" t="s">
        <v>14</v>
      </c>
      <c r="F317" s="45">
        <v>10000</v>
      </c>
      <c r="G317" s="45">
        <v>0.95</v>
      </c>
      <c r="H317" s="45">
        <f t="shared" si="11"/>
        <v>9500</v>
      </c>
      <c r="I317" s="45" t="s">
        <v>45</v>
      </c>
      <c r="J317" s="43" t="s">
        <v>46</v>
      </c>
      <c r="K317" s="43"/>
    </row>
    <row r="318" spans="1:11">
      <c r="A318" s="44">
        <v>45774</v>
      </c>
      <c r="B318" s="45" t="s">
        <v>808</v>
      </c>
      <c r="C318" s="45"/>
      <c r="D318" s="45" t="s">
        <v>256</v>
      </c>
      <c r="E318" s="45" t="s">
        <v>14</v>
      </c>
      <c r="F318" s="45">
        <v>5250</v>
      </c>
      <c r="G318" s="45">
        <v>0.7</v>
      </c>
      <c r="H318" s="45">
        <f t="shared" si="11"/>
        <v>3675</v>
      </c>
      <c r="I318" s="45" t="s">
        <v>271</v>
      </c>
      <c r="J318" s="43" t="s">
        <v>46</v>
      </c>
      <c r="K318" s="43"/>
    </row>
    <row r="319" spans="1:11">
      <c r="A319" s="41">
        <v>45762</v>
      </c>
      <c r="B319" s="43" t="s">
        <v>1106</v>
      </c>
      <c r="C319" s="43" t="s">
        <v>1137</v>
      </c>
      <c r="D319" s="43" t="s">
        <v>478</v>
      </c>
      <c r="E319" s="43" t="s">
        <v>361</v>
      </c>
      <c r="F319" s="43">
        <v>1005</v>
      </c>
      <c r="G319" s="43">
        <v>5.8</v>
      </c>
      <c r="H319" s="43">
        <f t="shared" si="11"/>
        <v>5829</v>
      </c>
      <c r="I319" s="43" t="s">
        <v>330</v>
      </c>
      <c r="J319" s="43"/>
      <c r="K319" s="43"/>
    </row>
    <row r="320" spans="1:11">
      <c r="A320" s="41">
        <v>45750</v>
      </c>
      <c r="B320" s="43" t="s">
        <v>194</v>
      </c>
      <c r="C320" s="43"/>
      <c r="D320" s="43" t="s">
        <v>198</v>
      </c>
      <c r="E320" s="43" t="s">
        <v>116</v>
      </c>
      <c r="F320" s="43">
        <v>15023</v>
      </c>
      <c r="G320" s="43">
        <v>1.05</v>
      </c>
      <c r="H320" s="43">
        <f t="shared" si="11"/>
        <v>15774.15</v>
      </c>
      <c r="I320" s="43" t="s">
        <v>200</v>
      </c>
      <c r="J320" s="43"/>
      <c r="K320" s="43"/>
    </row>
    <row r="321" spans="1:11">
      <c r="A321" s="41">
        <v>45750</v>
      </c>
      <c r="B321" s="43" t="s">
        <v>194</v>
      </c>
      <c r="C321" s="43"/>
      <c r="D321" s="43" t="s">
        <v>201</v>
      </c>
      <c r="E321" s="43" t="s">
        <v>14</v>
      </c>
      <c r="F321" s="43">
        <v>65</v>
      </c>
      <c r="G321" s="43">
        <v>0</v>
      </c>
      <c r="H321" s="43"/>
      <c r="I321" s="43" t="s">
        <v>32</v>
      </c>
      <c r="J321" s="43"/>
      <c r="K321" s="43"/>
    </row>
    <row r="322" spans="1:11">
      <c r="A322" s="41">
        <v>45750</v>
      </c>
      <c r="B322" s="43" t="s">
        <v>194</v>
      </c>
      <c r="C322" s="43"/>
      <c r="D322" s="43" t="s">
        <v>198</v>
      </c>
      <c r="E322" s="43" t="s">
        <v>116</v>
      </c>
      <c r="F322" s="43">
        <v>100</v>
      </c>
      <c r="G322" s="43">
        <v>0</v>
      </c>
      <c r="H322" s="43"/>
      <c r="I322" s="43" t="s">
        <v>475</v>
      </c>
      <c r="J322" s="43"/>
      <c r="K322" s="43"/>
    </row>
    <row r="323" spans="1:11">
      <c r="A323" s="41">
        <v>45761</v>
      </c>
      <c r="B323" s="43" t="s">
        <v>194</v>
      </c>
      <c r="C323" s="43"/>
      <c r="D323" s="43" t="s">
        <v>195</v>
      </c>
      <c r="E323" s="43" t="s">
        <v>365</v>
      </c>
      <c r="F323" s="43">
        <v>1033</v>
      </c>
      <c r="G323" s="43">
        <v>0.8</v>
      </c>
      <c r="H323" s="43">
        <f t="shared" ref="H323:H331" si="12">F323*G323</f>
        <v>826.4</v>
      </c>
      <c r="I323" s="43" t="s">
        <v>126</v>
      </c>
      <c r="J323" s="43" t="s">
        <v>983</v>
      </c>
      <c r="K323" s="43">
        <v>0.97</v>
      </c>
    </row>
    <row r="324" spans="1:11">
      <c r="A324" s="41">
        <v>45761</v>
      </c>
      <c r="B324" s="43" t="s">
        <v>194</v>
      </c>
      <c r="C324" s="43"/>
      <c r="D324" s="43" t="s">
        <v>195</v>
      </c>
      <c r="E324" s="43" t="s">
        <v>123</v>
      </c>
      <c r="F324" s="43">
        <v>2030</v>
      </c>
      <c r="G324" s="43">
        <v>0.73</v>
      </c>
      <c r="H324" s="43">
        <f t="shared" si="12"/>
        <v>1481.9</v>
      </c>
      <c r="I324" s="43" t="s">
        <v>126</v>
      </c>
      <c r="J324" s="43"/>
      <c r="K324" s="43"/>
    </row>
    <row r="325" spans="1:11">
      <c r="A325" s="41">
        <v>45761</v>
      </c>
      <c r="B325" s="43" t="s">
        <v>194</v>
      </c>
      <c r="C325" s="43"/>
      <c r="D325" s="43" t="s">
        <v>195</v>
      </c>
      <c r="E325" s="43" t="s">
        <v>99</v>
      </c>
      <c r="F325" s="43">
        <v>1015</v>
      </c>
      <c r="G325" s="43">
        <v>0.83</v>
      </c>
      <c r="H325" s="43">
        <f t="shared" si="12"/>
        <v>842.45</v>
      </c>
      <c r="I325" s="43" t="s">
        <v>206</v>
      </c>
      <c r="J325" s="43" t="s">
        <v>90</v>
      </c>
      <c r="K325" s="43">
        <v>1</v>
      </c>
    </row>
    <row r="326" spans="1:11">
      <c r="A326" s="41">
        <v>45761</v>
      </c>
      <c r="B326" s="43" t="s">
        <v>194</v>
      </c>
      <c r="C326" s="43"/>
      <c r="D326" s="43" t="s">
        <v>368</v>
      </c>
      <c r="E326" s="43" t="s">
        <v>99</v>
      </c>
      <c r="F326" s="43">
        <v>3110</v>
      </c>
      <c r="G326" s="43">
        <v>1.1</v>
      </c>
      <c r="H326" s="43">
        <f t="shared" si="12"/>
        <v>3421</v>
      </c>
      <c r="I326" s="43" t="s">
        <v>466</v>
      </c>
      <c r="J326" s="43" t="s">
        <v>90</v>
      </c>
      <c r="K326" s="43">
        <v>1.27</v>
      </c>
    </row>
    <row r="327" spans="1:11">
      <c r="A327" s="41">
        <v>45761</v>
      </c>
      <c r="B327" s="43" t="s">
        <v>194</v>
      </c>
      <c r="C327" s="43"/>
      <c r="D327" s="43" t="s">
        <v>203</v>
      </c>
      <c r="E327" s="43" t="s">
        <v>124</v>
      </c>
      <c r="F327" s="43">
        <v>412</v>
      </c>
      <c r="G327" s="43">
        <v>0.9</v>
      </c>
      <c r="H327" s="43">
        <f t="shared" si="12"/>
        <v>370.8</v>
      </c>
      <c r="I327" s="43" t="s">
        <v>740</v>
      </c>
      <c r="J327" s="43"/>
      <c r="K327" s="43"/>
    </row>
    <row r="328" spans="1:11">
      <c r="A328" s="41">
        <v>45767</v>
      </c>
      <c r="B328" s="43" t="s">
        <v>194</v>
      </c>
      <c r="C328" s="43"/>
      <c r="D328" s="43" t="s">
        <v>195</v>
      </c>
      <c r="E328" s="43" t="s">
        <v>60</v>
      </c>
      <c r="F328" s="43">
        <v>2020</v>
      </c>
      <c r="G328" s="43">
        <v>0.83</v>
      </c>
      <c r="H328" s="43">
        <f t="shared" si="12"/>
        <v>1676.6</v>
      </c>
      <c r="I328" s="43" t="s">
        <v>206</v>
      </c>
      <c r="J328" s="43"/>
      <c r="K328" s="43"/>
    </row>
    <row r="329" spans="1:11">
      <c r="A329" s="41">
        <v>45767</v>
      </c>
      <c r="B329" s="43" t="s">
        <v>194</v>
      </c>
      <c r="C329" s="43"/>
      <c r="D329" s="43" t="s">
        <v>1138</v>
      </c>
      <c r="E329" s="43" t="s">
        <v>1139</v>
      </c>
      <c r="F329" s="43">
        <v>10007</v>
      </c>
      <c r="G329" s="43">
        <v>0.98</v>
      </c>
      <c r="H329" s="43">
        <f t="shared" si="12"/>
        <v>9806.86</v>
      </c>
      <c r="I329" s="43" t="s">
        <v>415</v>
      </c>
      <c r="J329" s="43" t="s">
        <v>416</v>
      </c>
      <c r="K329" s="43">
        <v>1.21</v>
      </c>
    </row>
    <row r="330" spans="1:11">
      <c r="A330" s="41">
        <v>45774</v>
      </c>
      <c r="B330" s="43" t="s">
        <v>194</v>
      </c>
      <c r="C330" s="43"/>
      <c r="D330" s="43" t="s">
        <v>195</v>
      </c>
      <c r="E330" s="43" t="s">
        <v>123</v>
      </c>
      <c r="F330" s="43">
        <v>2032</v>
      </c>
      <c r="G330" s="43">
        <v>0.73</v>
      </c>
      <c r="H330" s="43">
        <f t="shared" si="12"/>
        <v>1483.36</v>
      </c>
      <c r="I330" s="43" t="s">
        <v>126</v>
      </c>
      <c r="J330" s="43"/>
      <c r="K330" s="43"/>
    </row>
    <row r="331" spans="1:11">
      <c r="A331" s="41">
        <v>45774</v>
      </c>
      <c r="B331" s="43" t="s">
        <v>194</v>
      </c>
      <c r="C331" s="43"/>
      <c r="D331" s="43" t="s">
        <v>1140</v>
      </c>
      <c r="E331" s="43" t="s">
        <v>99</v>
      </c>
      <c r="F331" s="43">
        <v>2030</v>
      </c>
      <c r="G331" s="43">
        <v>1.03</v>
      </c>
      <c r="H331" s="43">
        <f t="shared" si="12"/>
        <v>2090.9</v>
      </c>
      <c r="I331" s="43" t="s">
        <v>1141</v>
      </c>
      <c r="J331" s="43" t="s">
        <v>90</v>
      </c>
      <c r="K331" s="43">
        <v>1.2</v>
      </c>
    </row>
    <row r="332" spans="1:11">
      <c r="A332" s="41">
        <v>45776</v>
      </c>
      <c r="B332" s="43" t="s">
        <v>194</v>
      </c>
      <c r="C332" s="43"/>
      <c r="D332" s="43" t="s">
        <v>195</v>
      </c>
      <c r="E332" s="43" t="s">
        <v>99</v>
      </c>
      <c r="F332" s="43">
        <v>1016</v>
      </c>
      <c r="G332" s="43">
        <v>0.83</v>
      </c>
      <c r="H332" s="43">
        <f t="shared" ref="H332:H348" si="13">F332*G332</f>
        <v>843.28</v>
      </c>
      <c r="I332" s="43" t="s">
        <v>206</v>
      </c>
      <c r="J332" s="43" t="s">
        <v>90</v>
      </c>
      <c r="K332" s="43">
        <v>1</v>
      </c>
    </row>
    <row r="333" spans="1:11">
      <c r="A333" s="41">
        <v>45761</v>
      </c>
      <c r="B333" s="43" t="s">
        <v>215</v>
      </c>
      <c r="C333" s="43" t="s">
        <v>1142</v>
      </c>
      <c r="D333" s="43" t="s">
        <v>219</v>
      </c>
      <c r="E333" s="43" t="s">
        <v>220</v>
      </c>
      <c r="F333" s="43">
        <v>100</v>
      </c>
      <c r="G333" s="43">
        <v>2.6</v>
      </c>
      <c r="H333" s="43">
        <f t="shared" si="13"/>
        <v>260</v>
      </c>
      <c r="I333" s="43" t="s">
        <v>61</v>
      </c>
      <c r="J333" s="43"/>
      <c r="K333" s="43"/>
    </row>
    <row r="334" spans="1:11">
      <c r="A334" s="41">
        <v>45761</v>
      </c>
      <c r="B334" s="43" t="s">
        <v>215</v>
      </c>
      <c r="C334" s="43" t="s">
        <v>1142</v>
      </c>
      <c r="D334" s="43" t="s">
        <v>217</v>
      </c>
      <c r="E334" s="43" t="s">
        <v>218</v>
      </c>
      <c r="F334" s="43">
        <v>200</v>
      </c>
      <c r="G334" s="43">
        <v>2.5</v>
      </c>
      <c r="H334" s="43">
        <f t="shared" si="13"/>
        <v>500</v>
      </c>
      <c r="I334" s="43" t="s">
        <v>61</v>
      </c>
      <c r="J334" s="43"/>
      <c r="K334" s="43"/>
    </row>
    <row r="335" spans="1:11">
      <c r="A335" s="41">
        <v>45768</v>
      </c>
      <c r="B335" s="43" t="s">
        <v>215</v>
      </c>
      <c r="C335" s="43" t="s">
        <v>1143</v>
      </c>
      <c r="D335" s="43" t="s">
        <v>217</v>
      </c>
      <c r="E335" s="43" t="s">
        <v>1144</v>
      </c>
      <c r="F335" s="43">
        <v>100</v>
      </c>
      <c r="G335" s="43">
        <v>2.5</v>
      </c>
      <c r="H335" s="43">
        <f t="shared" si="13"/>
        <v>250</v>
      </c>
      <c r="I335" s="43" t="s">
        <v>61</v>
      </c>
      <c r="J335" s="43"/>
      <c r="K335" s="43"/>
    </row>
    <row r="336" spans="1:11">
      <c r="A336" s="41">
        <v>45768</v>
      </c>
      <c r="B336" s="43" t="s">
        <v>215</v>
      </c>
      <c r="C336" s="43" t="s">
        <v>1143</v>
      </c>
      <c r="D336" s="43" t="s">
        <v>217</v>
      </c>
      <c r="E336" s="43" t="s">
        <v>548</v>
      </c>
      <c r="F336" s="43">
        <v>100</v>
      </c>
      <c r="G336" s="43">
        <v>2.9</v>
      </c>
      <c r="H336" s="43">
        <f t="shared" si="13"/>
        <v>290</v>
      </c>
      <c r="I336" s="43" t="s">
        <v>61</v>
      </c>
      <c r="J336" s="43"/>
      <c r="K336" s="43"/>
    </row>
    <row r="337" spans="1:11">
      <c r="A337" s="41">
        <v>45768</v>
      </c>
      <c r="B337" s="43" t="s">
        <v>215</v>
      </c>
      <c r="C337" s="43" t="s">
        <v>1143</v>
      </c>
      <c r="D337" s="43" t="s">
        <v>219</v>
      </c>
      <c r="E337" s="43" t="s">
        <v>220</v>
      </c>
      <c r="F337" s="43">
        <v>200</v>
      </c>
      <c r="G337" s="43">
        <v>2.5</v>
      </c>
      <c r="H337" s="43">
        <f t="shared" si="13"/>
        <v>500</v>
      </c>
      <c r="I337" s="43" t="s">
        <v>61</v>
      </c>
      <c r="J337" s="43"/>
      <c r="K337" s="43"/>
    </row>
    <row r="338" spans="1:11">
      <c r="A338" s="41">
        <v>45775</v>
      </c>
      <c r="B338" s="43" t="s">
        <v>215</v>
      </c>
      <c r="C338" s="43" t="s">
        <v>1145</v>
      </c>
      <c r="D338" s="43" t="s">
        <v>217</v>
      </c>
      <c r="E338" s="43" t="s">
        <v>218</v>
      </c>
      <c r="F338" s="43">
        <v>200</v>
      </c>
      <c r="G338" s="43">
        <v>2.5</v>
      </c>
      <c r="H338" s="43">
        <f t="shared" si="13"/>
        <v>500</v>
      </c>
      <c r="I338" s="43" t="s">
        <v>61</v>
      </c>
      <c r="J338" s="43"/>
      <c r="K338" s="43"/>
    </row>
    <row r="339" spans="1:11">
      <c r="A339" s="41">
        <v>45775</v>
      </c>
      <c r="B339" s="43" t="s">
        <v>215</v>
      </c>
      <c r="C339" s="43" t="s">
        <v>1145</v>
      </c>
      <c r="D339" s="43" t="s">
        <v>217</v>
      </c>
      <c r="E339" s="43" t="s">
        <v>818</v>
      </c>
      <c r="F339" s="43">
        <v>200</v>
      </c>
      <c r="G339" s="43">
        <v>2.5</v>
      </c>
      <c r="H339" s="43">
        <f t="shared" si="13"/>
        <v>500</v>
      </c>
      <c r="I339" s="43" t="s">
        <v>61</v>
      </c>
      <c r="J339" s="43"/>
      <c r="K339" s="43"/>
    </row>
    <row r="340" spans="1:11">
      <c r="A340" s="41">
        <v>45770</v>
      </c>
      <c r="B340" s="43" t="s">
        <v>825</v>
      </c>
      <c r="C340" s="87" t="s">
        <v>1146</v>
      </c>
      <c r="D340" s="43" t="s">
        <v>772</v>
      </c>
      <c r="E340" s="43" t="s">
        <v>824</v>
      </c>
      <c r="F340" s="43">
        <v>1000</v>
      </c>
      <c r="G340" s="43">
        <v>0.37</v>
      </c>
      <c r="H340" s="43">
        <f t="shared" si="13"/>
        <v>370</v>
      </c>
      <c r="I340" s="43" t="s">
        <v>271</v>
      </c>
      <c r="J340" s="43"/>
      <c r="K340" s="43"/>
    </row>
    <row r="341" spans="1:11">
      <c r="A341" s="41">
        <v>45762</v>
      </c>
      <c r="B341" s="43" t="s">
        <v>272</v>
      </c>
      <c r="C341" s="43">
        <v>20250415</v>
      </c>
      <c r="D341" s="43" t="s">
        <v>252</v>
      </c>
      <c r="E341" s="43" t="s">
        <v>14</v>
      </c>
      <c r="F341" s="43">
        <v>10000</v>
      </c>
      <c r="G341" s="43">
        <v>0.55</v>
      </c>
      <c r="H341" s="43">
        <f t="shared" si="13"/>
        <v>5500</v>
      </c>
      <c r="I341" s="43" t="s">
        <v>857</v>
      </c>
      <c r="J341" s="43" t="s">
        <v>46</v>
      </c>
      <c r="K341" s="43"/>
    </row>
    <row r="342" spans="1:11">
      <c r="A342" s="41">
        <v>45773</v>
      </c>
      <c r="B342" s="43" t="s">
        <v>531</v>
      </c>
      <c r="C342" s="87" t="s">
        <v>1147</v>
      </c>
      <c r="D342" s="43" t="s">
        <v>1148</v>
      </c>
      <c r="E342" s="43" t="s">
        <v>14</v>
      </c>
      <c r="F342" s="43">
        <v>105</v>
      </c>
      <c r="G342" s="43">
        <v>1.2</v>
      </c>
      <c r="H342" s="43">
        <f t="shared" si="13"/>
        <v>126</v>
      </c>
      <c r="I342" s="43" t="s">
        <v>761</v>
      </c>
      <c r="J342" s="43" t="s">
        <v>1149</v>
      </c>
      <c r="K342" s="43"/>
    </row>
    <row r="343" spans="1:11">
      <c r="A343" s="41">
        <v>45771</v>
      </c>
      <c r="B343" s="43" t="s">
        <v>190</v>
      </c>
      <c r="C343" s="43" t="s">
        <v>1150</v>
      </c>
      <c r="D343" s="43" t="s">
        <v>387</v>
      </c>
      <c r="E343" s="43" t="s">
        <v>85</v>
      </c>
      <c r="F343" s="43">
        <v>3010</v>
      </c>
      <c r="G343" s="43">
        <v>1.4</v>
      </c>
      <c r="H343" s="43">
        <f t="shared" si="13"/>
        <v>4214</v>
      </c>
      <c r="I343" s="43" t="s">
        <v>235</v>
      </c>
      <c r="J343" s="43" t="s">
        <v>90</v>
      </c>
      <c r="K343" s="43">
        <v>1.57</v>
      </c>
    </row>
    <row r="344" spans="1:11">
      <c r="A344" s="41">
        <v>45772</v>
      </c>
      <c r="B344" s="43" t="s">
        <v>190</v>
      </c>
      <c r="C344" s="43" t="s">
        <v>1151</v>
      </c>
      <c r="D344" s="43" t="s">
        <v>387</v>
      </c>
      <c r="E344" s="43" t="s">
        <v>85</v>
      </c>
      <c r="F344" s="43">
        <v>67</v>
      </c>
      <c r="G344" s="43">
        <v>1.4</v>
      </c>
      <c r="H344" s="43">
        <f t="shared" si="13"/>
        <v>93.8</v>
      </c>
      <c r="I344" s="43" t="s">
        <v>235</v>
      </c>
      <c r="J344" s="43" t="s">
        <v>90</v>
      </c>
      <c r="K344" s="43">
        <v>1.57</v>
      </c>
    </row>
    <row r="345" spans="1:11">
      <c r="A345" s="41">
        <v>45773</v>
      </c>
      <c r="B345" s="43" t="s">
        <v>221</v>
      </c>
      <c r="C345" s="43">
        <v>20250426001</v>
      </c>
      <c r="D345" s="43">
        <v>1040</v>
      </c>
      <c r="E345" s="43" t="s">
        <v>1152</v>
      </c>
      <c r="F345" s="43">
        <v>203</v>
      </c>
      <c r="G345" s="43">
        <v>0.98</v>
      </c>
      <c r="H345" s="43">
        <f t="shared" si="13"/>
        <v>198.94</v>
      </c>
      <c r="I345" s="43" t="s">
        <v>193</v>
      </c>
      <c r="J345" s="43" t="s">
        <v>1153</v>
      </c>
      <c r="K345" s="43"/>
    </row>
    <row r="346" spans="1:11">
      <c r="A346" s="41">
        <v>45776</v>
      </c>
      <c r="B346" s="43" t="s">
        <v>448</v>
      </c>
      <c r="C346" s="43">
        <v>2025040067</v>
      </c>
      <c r="D346" s="43" t="s">
        <v>1061</v>
      </c>
      <c r="E346" s="43" t="s">
        <v>60</v>
      </c>
      <c r="F346" s="43">
        <v>105</v>
      </c>
      <c r="G346" s="43">
        <v>0.8</v>
      </c>
      <c r="H346" s="43">
        <f t="shared" si="13"/>
        <v>84</v>
      </c>
      <c r="I346" s="43" t="s">
        <v>864</v>
      </c>
      <c r="J346" s="43"/>
      <c r="K346" s="43"/>
    </row>
    <row r="347" spans="1:11">
      <c r="A347" s="41">
        <v>45769</v>
      </c>
      <c r="B347" s="43" t="s">
        <v>521</v>
      </c>
      <c r="C347" s="43" t="s">
        <v>1154</v>
      </c>
      <c r="D347" s="43" t="s">
        <v>525</v>
      </c>
      <c r="E347" s="43" t="s">
        <v>14</v>
      </c>
      <c r="F347" s="43">
        <v>3050</v>
      </c>
      <c r="G347" s="43">
        <v>1.1</v>
      </c>
      <c r="H347" s="43">
        <f t="shared" si="13"/>
        <v>3355</v>
      </c>
      <c r="I347" s="43" t="s">
        <v>126</v>
      </c>
      <c r="J347" s="43" t="s">
        <v>46</v>
      </c>
      <c r="K347" s="43"/>
    </row>
    <row r="348" spans="1:11">
      <c r="A348" s="44">
        <v>45773</v>
      </c>
      <c r="B348" s="45" t="s">
        <v>889</v>
      </c>
      <c r="C348" s="45" t="s">
        <v>1155</v>
      </c>
      <c r="D348" s="45" t="s">
        <v>1156</v>
      </c>
      <c r="E348" s="45" t="s">
        <v>14</v>
      </c>
      <c r="F348" s="45">
        <v>11731</v>
      </c>
      <c r="G348" s="45">
        <v>1.16</v>
      </c>
      <c r="H348" s="45">
        <f t="shared" si="13"/>
        <v>13607.96</v>
      </c>
      <c r="I348" s="45" t="s">
        <v>106</v>
      </c>
      <c r="J348" s="45" t="s">
        <v>46</v>
      </c>
      <c r="K348" s="43"/>
    </row>
    <row r="349" spans="1:11">
      <c r="A349" s="41">
        <v>45754</v>
      </c>
      <c r="B349" s="43" t="s">
        <v>138</v>
      </c>
      <c r="C349" s="43">
        <v>2025307</v>
      </c>
      <c r="D349" s="43" t="s">
        <v>59</v>
      </c>
      <c r="E349" s="43" t="s">
        <v>1157</v>
      </c>
      <c r="F349" s="43">
        <v>6000</v>
      </c>
      <c r="G349" s="43"/>
      <c r="H349" s="43">
        <v>150</v>
      </c>
      <c r="I349" s="43" t="s">
        <v>982</v>
      </c>
      <c r="J349" s="43"/>
      <c r="K349" s="43"/>
    </row>
    <row r="350" spans="1:11">
      <c r="A350" s="41">
        <v>45756</v>
      </c>
      <c r="B350" s="43" t="s">
        <v>138</v>
      </c>
      <c r="C350" s="43">
        <v>2025307</v>
      </c>
      <c r="D350" s="43" t="s">
        <v>1158</v>
      </c>
      <c r="E350" s="43" t="s">
        <v>1159</v>
      </c>
      <c r="F350" s="43">
        <v>8000</v>
      </c>
      <c r="G350" s="43">
        <v>0.02</v>
      </c>
      <c r="H350" s="43">
        <f>F350*G350</f>
        <v>160</v>
      </c>
      <c r="I350" s="43" t="s">
        <v>45</v>
      </c>
      <c r="J350" s="43"/>
      <c r="K350" s="43"/>
    </row>
    <row r="351" spans="1:11">
      <c r="A351" s="41">
        <v>45757</v>
      </c>
      <c r="B351" s="43" t="s">
        <v>138</v>
      </c>
      <c r="C351" s="43">
        <v>2025307</v>
      </c>
      <c r="D351" s="43" t="s">
        <v>1160</v>
      </c>
      <c r="E351" s="43" t="s">
        <v>1161</v>
      </c>
      <c r="F351" s="43">
        <v>3100</v>
      </c>
      <c r="G351" s="43"/>
      <c r="H351" s="43">
        <v>150</v>
      </c>
      <c r="I351" s="43" t="s">
        <v>63</v>
      </c>
      <c r="J351" s="43"/>
      <c r="K351" s="43"/>
    </row>
    <row r="352" spans="1:11">
      <c r="A352" s="41">
        <v>45757</v>
      </c>
      <c r="B352" s="43" t="s">
        <v>138</v>
      </c>
      <c r="C352" s="43">
        <v>2025307</v>
      </c>
      <c r="D352" s="43" t="s">
        <v>1162</v>
      </c>
      <c r="E352" s="43" t="s">
        <v>1163</v>
      </c>
      <c r="F352" s="43">
        <v>2100</v>
      </c>
      <c r="G352" s="43"/>
      <c r="H352" s="43">
        <v>150</v>
      </c>
      <c r="I352" s="43" t="s">
        <v>63</v>
      </c>
      <c r="J352" s="43"/>
      <c r="K352" s="43"/>
    </row>
    <row r="353" spans="1:11">
      <c r="A353" s="41">
        <v>45758</v>
      </c>
      <c r="B353" s="43" t="s">
        <v>138</v>
      </c>
      <c r="C353" s="43">
        <v>2025307</v>
      </c>
      <c r="D353" s="43" t="s">
        <v>1160</v>
      </c>
      <c r="E353" s="43" t="s">
        <v>1164</v>
      </c>
      <c r="F353" s="43">
        <v>5200</v>
      </c>
      <c r="G353" s="43">
        <v>0.04</v>
      </c>
      <c r="H353" s="43">
        <f>F353*G353</f>
        <v>208</v>
      </c>
      <c r="I353" s="43" t="s">
        <v>286</v>
      </c>
      <c r="J353" s="43"/>
      <c r="K353" s="43"/>
    </row>
    <row r="354" spans="1:11">
      <c r="A354" s="41">
        <v>45764</v>
      </c>
      <c r="B354" s="43" t="s">
        <v>138</v>
      </c>
      <c r="C354" s="43">
        <v>2025307</v>
      </c>
      <c r="D354" s="43" t="s">
        <v>290</v>
      </c>
      <c r="E354" s="43" t="s">
        <v>1165</v>
      </c>
      <c r="F354" s="43">
        <v>50000</v>
      </c>
      <c r="G354" s="43">
        <v>0.01</v>
      </c>
      <c r="H354" s="43">
        <f>F354*G354</f>
        <v>500</v>
      </c>
      <c r="I354" s="43" t="s">
        <v>45</v>
      </c>
      <c r="J354" s="43"/>
      <c r="K354" s="43"/>
    </row>
    <row r="355" spans="1:11">
      <c r="A355" s="41">
        <v>45764</v>
      </c>
      <c r="B355" s="43" t="s">
        <v>138</v>
      </c>
      <c r="C355" s="43">
        <v>2025307</v>
      </c>
      <c r="D355" s="43" t="s">
        <v>1166</v>
      </c>
      <c r="E355" s="43" t="s">
        <v>1167</v>
      </c>
      <c r="F355" s="43">
        <v>7000</v>
      </c>
      <c r="G355" s="43"/>
      <c r="H355" s="43">
        <v>150</v>
      </c>
      <c r="I355" s="43" t="s">
        <v>415</v>
      </c>
      <c r="J355" s="43"/>
      <c r="K355" s="43"/>
    </row>
    <row r="356" spans="1:11">
      <c r="A356" s="41">
        <v>45764</v>
      </c>
      <c r="B356" s="43" t="s">
        <v>138</v>
      </c>
      <c r="C356" s="43">
        <v>2025307</v>
      </c>
      <c r="D356" s="43" t="s">
        <v>183</v>
      </c>
      <c r="E356" s="43" t="s">
        <v>1168</v>
      </c>
      <c r="F356" s="43">
        <v>3500</v>
      </c>
      <c r="G356" s="43"/>
      <c r="H356" s="43">
        <v>150</v>
      </c>
      <c r="I356" s="43" t="s">
        <v>45</v>
      </c>
      <c r="J356" s="43"/>
      <c r="K356" s="43"/>
    </row>
    <row r="357" spans="1:11">
      <c r="A357" s="41">
        <v>45764</v>
      </c>
      <c r="B357" s="43" t="s">
        <v>138</v>
      </c>
      <c r="C357" s="43">
        <v>2025308</v>
      </c>
      <c r="D357" s="43" t="s">
        <v>1158</v>
      </c>
      <c r="E357" s="43" t="s">
        <v>1169</v>
      </c>
      <c r="F357" s="43">
        <v>10000</v>
      </c>
      <c r="G357" s="43">
        <v>0.03</v>
      </c>
      <c r="H357" s="43">
        <f>F357*G357</f>
        <v>300</v>
      </c>
      <c r="I357" s="43" t="s">
        <v>45</v>
      </c>
      <c r="J357" s="43"/>
      <c r="K357" s="43"/>
    </row>
    <row r="358" spans="1:11">
      <c r="A358" s="41">
        <v>45764</v>
      </c>
      <c r="B358" s="43" t="s">
        <v>138</v>
      </c>
      <c r="C358" s="43">
        <v>2025308</v>
      </c>
      <c r="D358" s="43" t="s">
        <v>1160</v>
      </c>
      <c r="E358" s="43" t="s">
        <v>1168</v>
      </c>
      <c r="F358" s="43">
        <v>3100</v>
      </c>
      <c r="G358" s="43"/>
      <c r="H358" s="43">
        <v>150</v>
      </c>
      <c r="I358" s="43" t="s">
        <v>63</v>
      </c>
      <c r="J358" s="43"/>
      <c r="K358" s="43"/>
    </row>
    <row r="359" spans="1:11">
      <c r="A359" s="41">
        <v>45764</v>
      </c>
      <c r="B359" s="43" t="s">
        <v>138</v>
      </c>
      <c r="C359" s="43">
        <v>2025308</v>
      </c>
      <c r="D359" s="43" t="s">
        <v>1162</v>
      </c>
      <c r="E359" s="43" t="s">
        <v>1170</v>
      </c>
      <c r="F359" s="43">
        <v>2050</v>
      </c>
      <c r="G359" s="43"/>
      <c r="H359" s="43">
        <v>150</v>
      </c>
      <c r="I359" s="43" t="s">
        <v>63</v>
      </c>
      <c r="J359" s="43"/>
      <c r="K359" s="43"/>
    </row>
    <row r="360" s="35" customFormat="1" spans="1:11">
      <c r="A360" s="45" t="s">
        <v>279</v>
      </c>
      <c r="B360" s="45"/>
      <c r="C360" s="45"/>
      <c r="D360" s="45"/>
      <c r="E360" s="45"/>
      <c r="F360" s="45"/>
      <c r="G360" s="45"/>
      <c r="H360" s="54">
        <f>SUM(H2:H359)</f>
        <v>2896453.58</v>
      </c>
      <c r="I360" s="54"/>
      <c r="J360" s="54"/>
      <c r="K360" s="54"/>
    </row>
  </sheetData>
  <autoFilter xmlns:etc="http://www.wps.cn/officeDocument/2017/etCustomData" ref="A1:K360" etc:filterBottomFollowUsedRange="0">
    <extLst/>
  </autoFilter>
  <mergeCells count="1">
    <mergeCell ref="A360:G360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8"/>
  <sheetViews>
    <sheetView workbookViewId="0">
      <selection activeCell="A1" sqref="A1"/>
    </sheetView>
  </sheetViews>
  <sheetFormatPr defaultColWidth="9" defaultRowHeight="13.5"/>
  <cols>
    <col min="1" max="1" width="10.375"/>
    <col min="2" max="2" width="22.5" customWidth="1"/>
    <col min="3" max="3" width="22" customWidth="1"/>
    <col min="4" max="4" width="15.75" customWidth="1"/>
    <col min="5" max="5" width="25.25" customWidth="1"/>
    <col min="7" max="7" width="9.125"/>
    <col min="8" max="8" width="12.625"/>
    <col min="10" max="10" width="12" customWidth="1"/>
  </cols>
  <sheetData>
    <row r="1" s="32" customFormat="1" ht="19" customHeight="1" spans="1:11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9" t="s">
        <v>6</v>
      </c>
      <c r="H1" s="40" t="s">
        <v>7</v>
      </c>
      <c r="I1" s="38" t="s">
        <v>8</v>
      </c>
      <c r="J1" s="38" t="s">
        <v>9</v>
      </c>
      <c r="K1" s="38" t="s">
        <v>10</v>
      </c>
    </row>
    <row r="2" s="32" customFormat="1" ht="19" customHeight="1" spans="1:11">
      <c r="A2" s="64">
        <v>45782</v>
      </c>
      <c r="B2" s="65" t="s">
        <v>11</v>
      </c>
      <c r="C2" s="65" t="s">
        <v>1171</v>
      </c>
      <c r="D2" s="65" t="s">
        <v>314</v>
      </c>
      <c r="E2" s="65" t="s">
        <v>14</v>
      </c>
      <c r="F2" s="65">
        <v>15000</v>
      </c>
      <c r="G2" s="66">
        <v>1.45</v>
      </c>
      <c r="H2" s="67">
        <f t="shared" ref="H2:H27" si="0">F2*G2</f>
        <v>21750</v>
      </c>
      <c r="I2" s="65" t="s">
        <v>271</v>
      </c>
      <c r="J2" s="68"/>
      <c r="K2" s="68"/>
    </row>
    <row r="3" ht="14.25" spans="1:11">
      <c r="A3" s="41">
        <v>45783</v>
      </c>
      <c r="B3" s="45" t="s">
        <v>11</v>
      </c>
      <c r="C3" s="45" t="s">
        <v>1172</v>
      </c>
      <c r="D3" s="45" t="s">
        <v>1173</v>
      </c>
      <c r="E3" s="45" t="s">
        <v>14</v>
      </c>
      <c r="F3" s="45">
        <v>105</v>
      </c>
      <c r="G3" s="45">
        <v>1.6</v>
      </c>
      <c r="H3" s="67">
        <f t="shared" si="0"/>
        <v>168</v>
      </c>
      <c r="I3" s="45" t="s">
        <v>433</v>
      </c>
      <c r="J3" s="43"/>
      <c r="K3" s="43"/>
    </row>
    <row r="4" ht="14.25" spans="1:11">
      <c r="A4" s="41">
        <v>45789</v>
      </c>
      <c r="B4" s="45" t="s">
        <v>11</v>
      </c>
      <c r="C4" s="45" t="s">
        <v>1174</v>
      </c>
      <c r="D4" s="45" t="s">
        <v>88</v>
      </c>
      <c r="E4" s="45" t="s">
        <v>14</v>
      </c>
      <c r="F4" s="45">
        <v>205</v>
      </c>
      <c r="G4" s="45">
        <v>1.9</v>
      </c>
      <c r="H4" s="67">
        <f t="shared" si="0"/>
        <v>389.5</v>
      </c>
      <c r="I4" s="45" t="s">
        <v>63</v>
      </c>
      <c r="J4" s="43" t="s">
        <v>1175</v>
      </c>
      <c r="K4" s="43"/>
    </row>
    <row r="5" ht="14.25" spans="1:11">
      <c r="A5" s="41">
        <v>45789</v>
      </c>
      <c r="B5" s="45" t="s">
        <v>11</v>
      </c>
      <c r="C5" s="45" t="s">
        <v>1174</v>
      </c>
      <c r="D5" s="45" t="s">
        <v>1176</v>
      </c>
      <c r="E5" s="45" t="s">
        <v>14</v>
      </c>
      <c r="F5" s="45">
        <v>205</v>
      </c>
      <c r="G5" s="45">
        <v>1</v>
      </c>
      <c r="H5" s="67">
        <f t="shared" si="0"/>
        <v>205</v>
      </c>
      <c r="I5" s="45" t="s">
        <v>63</v>
      </c>
      <c r="J5" s="43" t="s">
        <v>1175</v>
      </c>
      <c r="K5" s="43"/>
    </row>
    <row r="6" ht="14.25" spans="1:11">
      <c r="A6" s="41">
        <v>45796</v>
      </c>
      <c r="B6" s="45" t="s">
        <v>11</v>
      </c>
      <c r="C6" s="45" t="s">
        <v>1177</v>
      </c>
      <c r="D6" s="45" t="s">
        <v>1178</v>
      </c>
      <c r="E6" s="45" t="s">
        <v>14</v>
      </c>
      <c r="F6" s="45">
        <v>103</v>
      </c>
      <c r="G6" s="45">
        <v>1.7</v>
      </c>
      <c r="H6" s="67">
        <f t="shared" si="0"/>
        <v>175.1</v>
      </c>
      <c r="I6" s="45" t="s">
        <v>28</v>
      </c>
      <c r="J6" s="43"/>
      <c r="K6" s="43"/>
    </row>
    <row r="7" ht="14.25" spans="1:11">
      <c r="A7" s="41">
        <v>45797</v>
      </c>
      <c r="B7" s="45" t="s">
        <v>11</v>
      </c>
      <c r="C7" s="45" t="s">
        <v>1179</v>
      </c>
      <c r="D7" s="45" t="s">
        <v>179</v>
      </c>
      <c r="E7" s="45" t="s">
        <v>14</v>
      </c>
      <c r="F7" s="45">
        <v>30000</v>
      </c>
      <c r="G7" s="45">
        <v>1</v>
      </c>
      <c r="H7" s="67">
        <f t="shared" si="0"/>
        <v>30000</v>
      </c>
      <c r="I7" s="45" t="s">
        <v>166</v>
      </c>
      <c r="J7" s="43" t="s">
        <v>46</v>
      </c>
      <c r="K7" s="43"/>
    </row>
    <row r="8" ht="14.25" spans="1:11">
      <c r="A8" s="41">
        <v>45797</v>
      </c>
      <c r="B8" s="45" t="s">
        <v>11</v>
      </c>
      <c r="C8" s="45" t="s">
        <v>1179</v>
      </c>
      <c r="D8" s="45" t="s">
        <v>694</v>
      </c>
      <c r="E8" s="45" t="s">
        <v>14</v>
      </c>
      <c r="F8" s="45">
        <v>10000</v>
      </c>
      <c r="G8" s="45">
        <v>1.5</v>
      </c>
      <c r="H8" s="67">
        <f t="shared" si="0"/>
        <v>15000</v>
      </c>
      <c r="I8" s="45" t="s">
        <v>396</v>
      </c>
      <c r="J8" s="43" t="s">
        <v>46</v>
      </c>
      <c r="K8" s="43"/>
    </row>
    <row r="9" ht="14.25" spans="1:11">
      <c r="A9" s="44">
        <v>45798</v>
      </c>
      <c r="B9" s="45" t="s">
        <v>11</v>
      </c>
      <c r="C9" s="45" t="s">
        <v>1180</v>
      </c>
      <c r="D9" s="45" t="s">
        <v>179</v>
      </c>
      <c r="E9" s="45" t="s">
        <v>14</v>
      </c>
      <c r="F9" s="45">
        <v>3050</v>
      </c>
      <c r="G9" s="45">
        <v>1</v>
      </c>
      <c r="H9" s="67">
        <f t="shared" si="0"/>
        <v>3050</v>
      </c>
      <c r="I9" s="45" t="s">
        <v>166</v>
      </c>
      <c r="J9" s="45" t="s">
        <v>46</v>
      </c>
      <c r="K9" s="43"/>
    </row>
    <row r="10" ht="14.25" spans="1:11">
      <c r="A10" s="41">
        <v>45798</v>
      </c>
      <c r="B10" s="45" t="s">
        <v>11</v>
      </c>
      <c r="C10" s="45" t="s">
        <v>1181</v>
      </c>
      <c r="D10" s="45" t="s">
        <v>134</v>
      </c>
      <c r="E10" s="45" t="s">
        <v>14</v>
      </c>
      <c r="F10" s="45">
        <v>1705</v>
      </c>
      <c r="G10" s="45">
        <v>0.8</v>
      </c>
      <c r="H10" s="67">
        <f t="shared" si="0"/>
        <v>1364</v>
      </c>
      <c r="I10" s="45" t="s">
        <v>271</v>
      </c>
      <c r="J10" s="43"/>
      <c r="K10" s="43"/>
    </row>
    <row r="11" ht="14.25" spans="1:11">
      <c r="A11" s="41">
        <v>45799</v>
      </c>
      <c r="B11" s="45" t="s">
        <v>11</v>
      </c>
      <c r="C11" s="45" t="s">
        <v>1182</v>
      </c>
      <c r="D11" s="45" t="s">
        <v>38</v>
      </c>
      <c r="E11" s="45" t="s">
        <v>14</v>
      </c>
      <c r="F11" s="45">
        <v>-1560</v>
      </c>
      <c r="G11" s="45">
        <v>1.3</v>
      </c>
      <c r="H11" s="67">
        <f t="shared" si="0"/>
        <v>-2028</v>
      </c>
      <c r="I11" s="45" t="s">
        <v>78</v>
      </c>
      <c r="J11" s="45" t="s">
        <v>46</v>
      </c>
      <c r="K11" s="43"/>
    </row>
    <row r="12" ht="14.25" spans="1:11">
      <c r="A12" s="41">
        <v>45799</v>
      </c>
      <c r="B12" s="45" t="s">
        <v>11</v>
      </c>
      <c r="C12" s="45" t="s">
        <v>1182</v>
      </c>
      <c r="D12" s="45" t="s">
        <v>179</v>
      </c>
      <c r="E12" s="45" t="s">
        <v>14</v>
      </c>
      <c r="F12" s="45">
        <v>7000</v>
      </c>
      <c r="G12" s="45">
        <v>1</v>
      </c>
      <c r="H12" s="67">
        <f t="shared" si="0"/>
        <v>7000</v>
      </c>
      <c r="I12" s="45" t="s">
        <v>166</v>
      </c>
      <c r="J12" s="45"/>
      <c r="K12" s="43"/>
    </row>
    <row r="13" ht="14.25" spans="1:11">
      <c r="A13" s="41">
        <v>45799</v>
      </c>
      <c r="B13" s="45" t="s">
        <v>11</v>
      </c>
      <c r="C13" s="45" t="s">
        <v>1182</v>
      </c>
      <c r="D13" s="45" t="s">
        <v>948</v>
      </c>
      <c r="E13" s="45" t="s">
        <v>14</v>
      </c>
      <c r="F13" s="45">
        <v>33</v>
      </c>
      <c r="G13" s="45">
        <v>1.05</v>
      </c>
      <c r="H13" s="67">
        <f t="shared" si="0"/>
        <v>34.65</v>
      </c>
      <c r="I13" s="45" t="s">
        <v>949</v>
      </c>
      <c r="J13" s="45"/>
      <c r="K13" s="43"/>
    </row>
    <row r="14" ht="14.25" spans="1:11">
      <c r="A14" s="41">
        <v>45799</v>
      </c>
      <c r="B14" s="45" t="s">
        <v>11</v>
      </c>
      <c r="C14" s="45" t="s">
        <v>1183</v>
      </c>
      <c r="D14" s="45" t="s">
        <v>314</v>
      </c>
      <c r="E14" s="45" t="s">
        <v>14</v>
      </c>
      <c r="F14" s="45">
        <v>1020</v>
      </c>
      <c r="G14" s="45">
        <v>1.45</v>
      </c>
      <c r="H14" s="67">
        <f t="shared" si="0"/>
        <v>1479</v>
      </c>
      <c r="I14" s="45" t="s">
        <v>202</v>
      </c>
      <c r="J14" s="45" t="s">
        <v>46</v>
      </c>
      <c r="K14" s="43"/>
    </row>
    <row r="15" ht="14.25" spans="1:11">
      <c r="A15" s="41">
        <v>45799</v>
      </c>
      <c r="B15" s="45" t="s">
        <v>11</v>
      </c>
      <c r="C15" s="45" t="s">
        <v>1183</v>
      </c>
      <c r="D15" s="45" t="s">
        <v>613</v>
      </c>
      <c r="E15" s="45" t="s">
        <v>14</v>
      </c>
      <c r="F15" s="45">
        <v>1020</v>
      </c>
      <c r="G15" s="45">
        <v>1.5</v>
      </c>
      <c r="H15" s="67">
        <f t="shared" si="0"/>
        <v>1530</v>
      </c>
      <c r="I15" s="45" t="s">
        <v>330</v>
      </c>
      <c r="J15" s="45" t="s">
        <v>46</v>
      </c>
      <c r="K15" s="43"/>
    </row>
    <row r="16" ht="14.25" spans="1:11">
      <c r="A16" s="44">
        <v>45800</v>
      </c>
      <c r="B16" s="45" t="s">
        <v>11</v>
      </c>
      <c r="C16" s="45" t="s">
        <v>1184</v>
      </c>
      <c r="D16" s="45" t="s">
        <v>179</v>
      </c>
      <c r="E16" s="45" t="s">
        <v>14</v>
      </c>
      <c r="F16" s="45">
        <v>30000</v>
      </c>
      <c r="G16" s="45">
        <v>1</v>
      </c>
      <c r="H16" s="67">
        <f t="shared" si="0"/>
        <v>30000</v>
      </c>
      <c r="I16" s="45" t="s">
        <v>166</v>
      </c>
      <c r="J16" s="45" t="s">
        <v>46</v>
      </c>
      <c r="K16" s="43"/>
    </row>
    <row r="17" ht="14.25" spans="1:11">
      <c r="A17" s="44">
        <v>45801</v>
      </c>
      <c r="B17" s="45" t="s">
        <v>11</v>
      </c>
      <c r="C17" s="45" t="s">
        <v>1185</v>
      </c>
      <c r="D17" s="45" t="s">
        <v>314</v>
      </c>
      <c r="E17" s="45" t="s">
        <v>14</v>
      </c>
      <c r="F17" s="45">
        <v>11855</v>
      </c>
      <c r="G17" s="45">
        <v>1.45</v>
      </c>
      <c r="H17" s="67">
        <f t="shared" si="0"/>
        <v>17189.75</v>
      </c>
      <c r="I17" s="45" t="s">
        <v>271</v>
      </c>
      <c r="J17" s="45" t="s">
        <v>46</v>
      </c>
      <c r="K17" s="43"/>
    </row>
    <row r="18" ht="14.25" spans="1:11">
      <c r="A18" s="44">
        <v>45801</v>
      </c>
      <c r="B18" s="45" t="s">
        <v>11</v>
      </c>
      <c r="C18" s="45" t="s">
        <v>1185</v>
      </c>
      <c r="D18" s="45" t="s">
        <v>392</v>
      </c>
      <c r="E18" s="45" t="s">
        <v>14</v>
      </c>
      <c r="F18" s="45">
        <v>4030</v>
      </c>
      <c r="G18" s="45">
        <v>1.1</v>
      </c>
      <c r="H18" s="67">
        <f t="shared" si="0"/>
        <v>4433</v>
      </c>
      <c r="I18" s="45" t="s">
        <v>271</v>
      </c>
      <c r="J18" s="45" t="s">
        <v>46</v>
      </c>
      <c r="K18" s="43"/>
    </row>
    <row r="19" ht="14.25" spans="1:11">
      <c r="A19" s="44">
        <v>45801</v>
      </c>
      <c r="B19" s="45" t="s">
        <v>11</v>
      </c>
      <c r="C19" s="45" t="s">
        <v>1186</v>
      </c>
      <c r="D19" s="45" t="s">
        <v>948</v>
      </c>
      <c r="E19" s="45" t="s">
        <v>14</v>
      </c>
      <c r="F19" s="45">
        <v>12</v>
      </c>
      <c r="G19" s="45">
        <v>1.05</v>
      </c>
      <c r="H19" s="67">
        <f t="shared" si="0"/>
        <v>12.6</v>
      </c>
      <c r="I19" s="45" t="s">
        <v>949</v>
      </c>
      <c r="J19" s="45"/>
      <c r="K19" s="43"/>
    </row>
    <row r="20" ht="14.25" spans="1:11">
      <c r="A20" s="44">
        <v>45801</v>
      </c>
      <c r="B20" s="45" t="s">
        <v>11</v>
      </c>
      <c r="C20" s="45" t="s">
        <v>1187</v>
      </c>
      <c r="D20" s="45" t="s">
        <v>1188</v>
      </c>
      <c r="E20" s="45" t="s">
        <v>14</v>
      </c>
      <c r="F20" s="45">
        <v>2020</v>
      </c>
      <c r="G20" s="45">
        <v>1</v>
      </c>
      <c r="H20" s="67">
        <f t="shared" si="0"/>
        <v>2020</v>
      </c>
      <c r="I20" s="45" t="s">
        <v>805</v>
      </c>
      <c r="J20" s="43" t="s">
        <v>46</v>
      </c>
      <c r="K20" s="43"/>
    </row>
    <row r="21" ht="14.25" spans="1:11">
      <c r="A21" s="44">
        <v>45803</v>
      </c>
      <c r="B21" s="45" t="s">
        <v>11</v>
      </c>
      <c r="C21" s="45" t="s">
        <v>1189</v>
      </c>
      <c r="D21" s="45" t="s">
        <v>1188</v>
      </c>
      <c r="E21" s="45" t="s">
        <v>14</v>
      </c>
      <c r="F21" s="45">
        <v>4030</v>
      </c>
      <c r="G21" s="45">
        <v>1</v>
      </c>
      <c r="H21" s="67">
        <f t="shared" si="0"/>
        <v>4030</v>
      </c>
      <c r="I21" s="45" t="s">
        <v>805</v>
      </c>
      <c r="J21" s="43" t="s">
        <v>1190</v>
      </c>
      <c r="K21" s="43"/>
    </row>
    <row r="22" ht="14.25" spans="1:11">
      <c r="A22" s="44">
        <v>45803</v>
      </c>
      <c r="B22" s="45" t="s">
        <v>11</v>
      </c>
      <c r="C22" s="45" t="s">
        <v>1189</v>
      </c>
      <c r="D22" s="45" t="s">
        <v>694</v>
      </c>
      <c r="E22" s="45" t="s">
        <v>14</v>
      </c>
      <c r="F22" s="45">
        <v>30050</v>
      </c>
      <c r="G22" s="45">
        <v>1.5</v>
      </c>
      <c r="H22" s="67">
        <f t="shared" si="0"/>
        <v>45075</v>
      </c>
      <c r="I22" s="45" t="s">
        <v>396</v>
      </c>
      <c r="J22" s="43" t="s">
        <v>46</v>
      </c>
      <c r="K22" s="43"/>
    </row>
    <row r="23" s="35" customFormat="1" ht="14.25" spans="1:11">
      <c r="A23" s="44">
        <v>45803</v>
      </c>
      <c r="B23" s="45" t="s">
        <v>11</v>
      </c>
      <c r="C23" s="45" t="s">
        <v>1191</v>
      </c>
      <c r="D23" s="45" t="s">
        <v>399</v>
      </c>
      <c r="E23" s="45" t="s">
        <v>14</v>
      </c>
      <c r="F23" s="45">
        <v>5000</v>
      </c>
      <c r="G23" s="45">
        <v>1.1</v>
      </c>
      <c r="H23" s="67">
        <f t="shared" si="0"/>
        <v>5500</v>
      </c>
      <c r="I23" s="45" t="s">
        <v>278</v>
      </c>
      <c r="J23" s="45" t="s">
        <v>46</v>
      </c>
      <c r="K23" s="45"/>
    </row>
    <row r="24" s="35" customFormat="1" ht="14.25" spans="1:11">
      <c r="A24" s="44">
        <v>45804</v>
      </c>
      <c r="B24" s="45" t="s">
        <v>11</v>
      </c>
      <c r="C24" s="45" t="s">
        <v>1192</v>
      </c>
      <c r="D24" s="45" t="s">
        <v>321</v>
      </c>
      <c r="E24" s="45" t="s">
        <v>14</v>
      </c>
      <c r="F24" s="45">
        <v>2510</v>
      </c>
      <c r="G24" s="45">
        <v>1.3</v>
      </c>
      <c r="H24" s="67">
        <f t="shared" si="0"/>
        <v>3263</v>
      </c>
      <c r="I24" s="45" t="s">
        <v>322</v>
      </c>
      <c r="J24" s="45" t="s">
        <v>46</v>
      </c>
      <c r="K24" s="45"/>
    </row>
    <row r="25" s="35" customFormat="1" ht="14.25" spans="1:11">
      <c r="A25" s="44">
        <v>45804</v>
      </c>
      <c r="B25" s="45" t="s">
        <v>11</v>
      </c>
      <c r="C25" s="45" t="s">
        <v>1192</v>
      </c>
      <c r="D25" s="45" t="s">
        <v>694</v>
      </c>
      <c r="E25" s="45" t="s">
        <v>14</v>
      </c>
      <c r="F25" s="45">
        <v>1550</v>
      </c>
      <c r="G25" s="45">
        <v>1.5</v>
      </c>
      <c r="H25" s="67">
        <f t="shared" si="0"/>
        <v>2325</v>
      </c>
      <c r="I25" s="45" t="s">
        <v>278</v>
      </c>
      <c r="J25" s="45" t="s">
        <v>46</v>
      </c>
      <c r="K25" s="45"/>
    </row>
    <row r="26" s="35" customFormat="1" ht="14.25" spans="1:11">
      <c r="A26" s="44">
        <v>45804</v>
      </c>
      <c r="B26" s="45" t="s">
        <v>11</v>
      </c>
      <c r="C26" s="45" t="s">
        <v>1192</v>
      </c>
      <c r="D26" s="45" t="s">
        <v>314</v>
      </c>
      <c r="E26" s="45" t="s">
        <v>14</v>
      </c>
      <c r="F26" s="45">
        <v>8145</v>
      </c>
      <c r="G26" s="45">
        <v>1.45</v>
      </c>
      <c r="H26" s="67">
        <f t="shared" si="0"/>
        <v>11810.25</v>
      </c>
      <c r="I26" s="45" t="s">
        <v>271</v>
      </c>
      <c r="J26" s="45" t="s">
        <v>46</v>
      </c>
      <c r="K26" s="45"/>
    </row>
    <row r="27" ht="14.25" spans="1:11">
      <c r="A27" s="44">
        <v>45806</v>
      </c>
      <c r="B27" s="45" t="s">
        <v>11</v>
      </c>
      <c r="C27" s="45" t="s">
        <v>1193</v>
      </c>
      <c r="D27" s="45" t="s">
        <v>613</v>
      </c>
      <c r="E27" s="45" t="s">
        <v>14</v>
      </c>
      <c r="F27" s="45">
        <v>2030</v>
      </c>
      <c r="G27" s="45">
        <v>1.5</v>
      </c>
      <c r="H27" s="67">
        <f t="shared" ref="H27:H45" si="1">F27*G27</f>
        <v>3045</v>
      </c>
      <c r="I27" s="45" t="s">
        <v>570</v>
      </c>
      <c r="J27" s="43" t="s">
        <v>46</v>
      </c>
      <c r="K27" s="43"/>
    </row>
    <row r="28" ht="14.25" spans="1:11">
      <c r="A28" s="44">
        <v>45806</v>
      </c>
      <c r="B28" s="45" t="s">
        <v>11</v>
      </c>
      <c r="C28" s="45" t="s">
        <v>1193</v>
      </c>
      <c r="D28" s="45" t="s">
        <v>179</v>
      </c>
      <c r="E28" s="45" t="s">
        <v>14</v>
      </c>
      <c r="F28" s="45">
        <v>10000</v>
      </c>
      <c r="G28" s="45">
        <v>1</v>
      </c>
      <c r="H28" s="67">
        <f t="shared" si="1"/>
        <v>10000</v>
      </c>
      <c r="I28" s="45" t="s">
        <v>166</v>
      </c>
      <c r="J28" s="43" t="s">
        <v>46</v>
      </c>
      <c r="K28" s="43"/>
    </row>
    <row r="29" ht="14.25" spans="1:11">
      <c r="A29" s="44">
        <v>45806</v>
      </c>
      <c r="B29" s="45" t="s">
        <v>11</v>
      </c>
      <c r="C29" s="45" t="s">
        <v>1193</v>
      </c>
      <c r="D29" s="45" t="s">
        <v>392</v>
      </c>
      <c r="E29" s="45" t="s">
        <v>14</v>
      </c>
      <c r="F29" s="45">
        <v>80</v>
      </c>
      <c r="G29" s="45">
        <v>1.1</v>
      </c>
      <c r="H29" s="67">
        <f t="shared" si="1"/>
        <v>88</v>
      </c>
      <c r="I29" s="45" t="s">
        <v>271</v>
      </c>
      <c r="J29" s="43" t="s">
        <v>46</v>
      </c>
      <c r="K29" s="43"/>
    </row>
    <row r="30" s="35" customFormat="1" ht="14.25" spans="1:11">
      <c r="A30" s="44">
        <v>45784</v>
      </c>
      <c r="B30" s="45" t="s">
        <v>260</v>
      </c>
      <c r="C30" s="45" t="s">
        <v>1194</v>
      </c>
      <c r="D30" s="45" t="s">
        <v>884</v>
      </c>
      <c r="E30" s="45" t="s">
        <v>14</v>
      </c>
      <c r="F30" s="45">
        <v>708</v>
      </c>
      <c r="G30" s="45">
        <v>1.9</v>
      </c>
      <c r="H30" s="67">
        <f t="shared" si="1"/>
        <v>1345.2</v>
      </c>
      <c r="I30" s="45" t="s">
        <v>406</v>
      </c>
      <c r="J30" s="45"/>
      <c r="K30" s="45"/>
    </row>
    <row r="31" s="35" customFormat="1" ht="14.25" spans="1:11">
      <c r="A31" s="44">
        <v>45786</v>
      </c>
      <c r="B31" s="45" t="s">
        <v>260</v>
      </c>
      <c r="C31" s="45" t="s">
        <v>1195</v>
      </c>
      <c r="D31" s="45" t="s">
        <v>411</v>
      </c>
      <c r="E31" s="45" t="s">
        <v>14</v>
      </c>
      <c r="F31" s="45">
        <v>15</v>
      </c>
      <c r="G31" s="45">
        <v>0.95</v>
      </c>
      <c r="H31" s="67">
        <f t="shared" si="1"/>
        <v>14.25</v>
      </c>
      <c r="I31" s="45" t="s">
        <v>340</v>
      </c>
      <c r="J31" s="45"/>
      <c r="K31" s="45"/>
    </row>
    <row r="32" s="35" customFormat="1" ht="14.25" spans="1:11">
      <c r="A32" s="44">
        <v>45804</v>
      </c>
      <c r="B32" s="45" t="s">
        <v>260</v>
      </c>
      <c r="C32" s="45" t="s">
        <v>1196</v>
      </c>
      <c r="D32" s="45" t="s">
        <v>1197</v>
      </c>
      <c r="E32" s="45" t="s">
        <v>14</v>
      </c>
      <c r="F32" s="45">
        <v>92</v>
      </c>
      <c r="G32" s="45">
        <v>1.95</v>
      </c>
      <c r="H32" s="67">
        <f t="shared" si="1"/>
        <v>179.4</v>
      </c>
      <c r="I32" s="45" t="s">
        <v>28</v>
      </c>
      <c r="J32" s="45"/>
      <c r="K32" s="45"/>
    </row>
    <row r="33" s="35" customFormat="1" ht="14.25" spans="1:11">
      <c r="A33" s="44">
        <v>45791</v>
      </c>
      <c r="B33" s="45" t="s">
        <v>260</v>
      </c>
      <c r="C33" s="45" t="s">
        <v>1198</v>
      </c>
      <c r="D33" s="45" t="s">
        <v>282</v>
      </c>
      <c r="E33" s="45" t="s">
        <v>14</v>
      </c>
      <c r="F33" s="45">
        <v>53</v>
      </c>
      <c r="G33" s="45">
        <v>0.95</v>
      </c>
      <c r="H33" s="67">
        <f t="shared" si="1"/>
        <v>50.35</v>
      </c>
      <c r="I33" s="45" t="s">
        <v>28</v>
      </c>
      <c r="J33" s="45"/>
      <c r="K33" s="45"/>
    </row>
    <row r="34" s="35" customFormat="1" ht="14.25" spans="1:11">
      <c r="A34" s="44">
        <v>45791</v>
      </c>
      <c r="B34" s="45" t="s">
        <v>260</v>
      </c>
      <c r="C34" s="45" t="s">
        <v>1198</v>
      </c>
      <c r="D34" s="45" t="s">
        <v>1199</v>
      </c>
      <c r="E34" s="45" t="s">
        <v>14</v>
      </c>
      <c r="F34" s="45">
        <v>33</v>
      </c>
      <c r="G34" s="45">
        <v>1.25</v>
      </c>
      <c r="H34" s="67">
        <f t="shared" si="1"/>
        <v>41.25</v>
      </c>
      <c r="I34" s="45" t="s">
        <v>28</v>
      </c>
      <c r="J34" s="45"/>
      <c r="K34" s="45"/>
    </row>
    <row r="35" s="35" customFormat="1" ht="14.25" spans="1:11">
      <c r="A35" s="44">
        <v>45800</v>
      </c>
      <c r="B35" s="45" t="s">
        <v>260</v>
      </c>
      <c r="C35" s="45" t="s">
        <v>1200</v>
      </c>
      <c r="D35" s="45" t="s">
        <v>398</v>
      </c>
      <c r="E35" s="45" t="s">
        <v>14</v>
      </c>
      <c r="F35" s="45">
        <v>3000</v>
      </c>
      <c r="G35" s="45">
        <v>1.05</v>
      </c>
      <c r="H35" s="67">
        <f t="shared" si="1"/>
        <v>3150</v>
      </c>
      <c r="I35" s="45" t="s">
        <v>644</v>
      </c>
      <c r="J35" s="45" t="s">
        <v>46</v>
      </c>
      <c r="K35" s="45"/>
    </row>
    <row r="36" s="35" customFormat="1" ht="14.25" spans="1:11">
      <c r="A36" s="44">
        <v>45800</v>
      </c>
      <c r="B36" s="45" t="s">
        <v>260</v>
      </c>
      <c r="C36" s="45" t="s">
        <v>1200</v>
      </c>
      <c r="D36" s="45" t="s">
        <v>1201</v>
      </c>
      <c r="E36" s="45" t="s">
        <v>14</v>
      </c>
      <c r="F36" s="45">
        <v>1015</v>
      </c>
      <c r="G36" s="45">
        <v>0.75</v>
      </c>
      <c r="H36" s="67">
        <f t="shared" si="1"/>
        <v>761.25</v>
      </c>
      <c r="I36" s="45" t="s">
        <v>330</v>
      </c>
      <c r="J36" s="45" t="s">
        <v>46</v>
      </c>
      <c r="K36" s="45"/>
    </row>
    <row r="37" ht="14.25" spans="1:11">
      <c r="A37" s="41">
        <v>45783</v>
      </c>
      <c r="B37" s="43" t="s">
        <v>808</v>
      </c>
      <c r="C37" s="43"/>
      <c r="D37" s="43" t="s">
        <v>1202</v>
      </c>
      <c r="E37" s="43" t="s">
        <v>14</v>
      </c>
      <c r="F37" s="45">
        <v>1010</v>
      </c>
      <c r="G37" s="45">
        <v>0.65</v>
      </c>
      <c r="H37" s="69">
        <f t="shared" si="1"/>
        <v>656.5</v>
      </c>
      <c r="I37" s="43" t="s">
        <v>982</v>
      </c>
      <c r="J37" s="43"/>
      <c r="K37" s="43"/>
    </row>
    <row r="38" ht="14.25" spans="1:11">
      <c r="A38" s="41">
        <v>45783</v>
      </c>
      <c r="B38" s="43" t="s">
        <v>808</v>
      </c>
      <c r="C38" s="43"/>
      <c r="D38" s="43" t="s">
        <v>382</v>
      </c>
      <c r="E38" s="43" t="s">
        <v>14</v>
      </c>
      <c r="F38" s="45">
        <v>32000</v>
      </c>
      <c r="G38" s="45">
        <v>0.67</v>
      </c>
      <c r="H38" s="69">
        <f t="shared" si="1"/>
        <v>21440</v>
      </c>
      <c r="I38" s="43" t="s">
        <v>1203</v>
      </c>
      <c r="J38" s="43" t="s">
        <v>46</v>
      </c>
      <c r="K38" s="43"/>
    </row>
    <row r="39" ht="14.25" spans="1:11">
      <c r="A39" s="41">
        <v>45807</v>
      </c>
      <c r="B39" s="43" t="s">
        <v>808</v>
      </c>
      <c r="C39" s="43"/>
      <c r="D39" s="43" t="s">
        <v>1204</v>
      </c>
      <c r="E39" s="43" t="s">
        <v>14</v>
      </c>
      <c r="F39" s="43">
        <v>3030</v>
      </c>
      <c r="G39" s="43">
        <v>0.46</v>
      </c>
      <c r="H39" s="69">
        <f t="shared" si="1"/>
        <v>1393.8</v>
      </c>
      <c r="I39" s="43" t="s">
        <v>330</v>
      </c>
      <c r="J39" s="43" t="s">
        <v>46</v>
      </c>
      <c r="K39" s="43"/>
    </row>
    <row r="40" ht="14.25" spans="1:11">
      <c r="A40" s="41">
        <v>45807</v>
      </c>
      <c r="B40" s="43" t="s">
        <v>808</v>
      </c>
      <c r="C40" s="43"/>
      <c r="D40" s="43" t="s">
        <v>709</v>
      </c>
      <c r="E40" s="43" t="s">
        <v>14</v>
      </c>
      <c r="F40" s="43">
        <v>8400</v>
      </c>
      <c r="G40" s="43">
        <v>0.6</v>
      </c>
      <c r="H40" s="69">
        <f t="shared" si="1"/>
        <v>5040</v>
      </c>
      <c r="I40" s="43" t="s">
        <v>330</v>
      </c>
      <c r="J40" s="43" t="s">
        <v>46</v>
      </c>
      <c r="K40" s="43"/>
    </row>
    <row r="41" ht="14.25" spans="1:11">
      <c r="A41" s="41">
        <v>45787</v>
      </c>
      <c r="B41" s="43" t="s">
        <v>808</v>
      </c>
      <c r="C41" s="43"/>
      <c r="D41" s="43" t="s">
        <v>1205</v>
      </c>
      <c r="E41" s="43" t="s">
        <v>14</v>
      </c>
      <c r="F41" s="45">
        <v>20000</v>
      </c>
      <c r="G41" s="45">
        <v>0.68</v>
      </c>
      <c r="H41" s="69">
        <f t="shared" si="1"/>
        <v>13600</v>
      </c>
      <c r="I41" s="43" t="s">
        <v>330</v>
      </c>
      <c r="J41" s="43" t="s">
        <v>46</v>
      </c>
      <c r="K41" s="43"/>
    </row>
    <row r="42" ht="14.25" spans="1:11">
      <c r="A42" s="41">
        <v>45801</v>
      </c>
      <c r="B42" s="43" t="s">
        <v>808</v>
      </c>
      <c r="C42" s="43"/>
      <c r="D42" s="43" t="s">
        <v>256</v>
      </c>
      <c r="E42" s="43" t="s">
        <v>14</v>
      </c>
      <c r="F42" s="45">
        <v>1050</v>
      </c>
      <c r="G42" s="45">
        <v>0.7</v>
      </c>
      <c r="H42" s="69">
        <f t="shared" si="1"/>
        <v>735</v>
      </c>
      <c r="I42" s="43" t="s">
        <v>1206</v>
      </c>
      <c r="J42" s="43"/>
      <c r="K42" s="43"/>
    </row>
    <row r="43" ht="14.25" spans="1:11">
      <c r="A43" s="41">
        <v>45792</v>
      </c>
      <c r="B43" s="43" t="s">
        <v>808</v>
      </c>
      <c r="C43" s="43"/>
      <c r="D43" s="43" t="s">
        <v>290</v>
      </c>
      <c r="E43" s="43" t="s">
        <v>14</v>
      </c>
      <c r="F43" s="43">
        <v>50000</v>
      </c>
      <c r="G43" s="43">
        <v>0.95</v>
      </c>
      <c r="H43" s="69">
        <f t="shared" si="1"/>
        <v>47500</v>
      </c>
      <c r="I43" s="43" t="s">
        <v>45</v>
      </c>
      <c r="J43" s="43" t="s">
        <v>46</v>
      </c>
      <c r="K43" s="43" t="s">
        <v>1207</v>
      </c>
    </row>
    <row r="44" s="35" customFormat="1" ht="14.25" spans="1:11">
      <c r="A44" s="44">
        <v>45807</v>
      </c>
      <c r="B44" s="45" t="s">
        <v>808</v>
      </c>
      <c r="C44" s="45"/>
      <c r="D44" s="45" t="s">
        <v>256</v>
      </c>
      <c r="E44" s="45" t="s">
        <v>14</v>
      </c>
      <c r="F44" s="45">
        <v>50150</v>
      </c>
      <c r="G44" s="45">
        <v>0.7</v>
      </c>
      <c r="H44" s="67">
        <f t="shared" si="1"/>
        <v>35105</v>
      </c>
      <c r="I44" s="45" t="s">
        <v>61</v>
      </c>
      <c r="J44" s="45" t="s">
        <v>46</v>
      </c>
      <c r="K44" s="45"/>
    </row>
    <row r="45" s="35" customFormat="1" ht="14.25" spans="1:11">
      <c r="A45" s="44">
        <v>45807</v>
      </c>
      <c r="B45" s="45" t="s">
        <v>808</v>
      </c>
      <c r="C45" s="45"/>
      <c r="D45" s="45" t="s">
        <v>382</v>
      </c>
      <c r="E45" s="45" t="s">
        <v>14</v>
      </c>
      <c r="F45" s="45">
        <v>50100</v>
      </c>
      <c r="G45" s="45">
        <v>0.67</v>
      </c>
      <c r="H45" s="67">
        <f t="shared" si="1"/>
        <v>33567</v>
      </c>
      <c r="I45" s="45" t="s">
        <v>61</v>
      </c>
      <c r="J45" s="45" t="s">
        <v>46</v>
      </c>
      <c r="K45" s="45"/>
    </row>
    <row r="46" ht="14.25" spans="1:11">
      <c r="A46" s="44">
        <v>45784</v>
      </c>
      <c r="B46" s="45" t="s">
        <v>257</v>
      </c>
      <c r="C46" s="45"/>
      <c r="D46" s="45" t="s">
        <v>384</v>
      </c>
      <c r="E46" s="45" t="s">
        <v>14</v>
      </c>
      <c r="F46" s="45">
        <v>1540</v>
      </c>
      <c r="G46" s="45">
        <v>0.85</v>
      </c>
      <c r="H46" s="67">
        <f t="shared" ref="H46:H61" si="2">F46*G46</f>
        <v>1309</v>
      </c>
      <c r="I46" s="43" t="s">
        <v>503</v>
      </c>
      <c r="J46" s="43"/>
      <c r="K46" s="43"/>
    </row>
    <row r="47" ht="14.25" spans="1:11">
      <c r="A47" s="41">
        <v>45783</v>
      </c>
      <c r="B47" s="43" t="s">
        <v>1208</v>
      </c>
      <c r="C47" s="43" t="s">
        <v>1209</v>
      </c>
      <c r="D47" s="43" t="s">
        <v>1188</v>
      </c>
      <c r="E47" s="43" t="s">
        <v>14</v>
      </c>
      <c r="F47" s="43">
        <v>6220</v>
      </c>
      <c r="G47" s="43">
        <v>1.05</v>
      </c>
      <c r="H47" s="69">
        <f t="shared" si="2"/>
        <v>6531</v>
      </c>
      <c r="I47" s="43" t="s">
        <v>805</v>
      </c>
      <c r="J47" s="43"/>
      <c r="K47" s="43"/>
    </row>
    <row r="48" ht="14.25" spans="1:11">
      <c r="A48" s="41">
        <v>45781</v>
      </c>
      <c r="B48" s="43" t="s">
        <v>190</v>
      </c>
      <c r="C48" s="43" t="s">
        <v>1210</v>
      </c>
      <c r="D48" s="43" t="s">
        <v>1211</v>
      </c>
      <c r="E48" s="43" t="s">
        <v>14</v>
      </c>
      <c r="F48" s="43">
        <v>100</v>
      </c>
      <c r="G48" s="43">
        <v>1.7</v>
      </c>
      <c r="H48" s="69">
        <f t="shared" si="2"/>
        <v>170</v>
      </c>
      <c r="I48" s="43" t="s">
        <v>271</v>
      </c>
      <c r="J48" s="43"/>
      <c r="K48" s="43"/>
    </row>
    <row r="49" ht="14.25" spans="1:11">
      <c r="A49" s="41">
        <v>45793</v>
      </c>
      <c r="B49" s="43" t="s">
        <v>190</v>
      </c>
      <c r="C49" s="43" t="s">
        <v>1212</v>
      </c>
      <c r="D49" s="43" t="s">
        <v>387</v>
      </c>
      <c r="E49" s="43" t="s">
        <v>85</v>
      </c>
      <c r="F49" s="43">
        <v>248</v>
      </c>
      <c r="G49" s="43">
        <v>1.4</v>
      </c>
      <c r="H49" s="69">
        <f t="shared" si="2"/>
        <v>347.2</v>
      </c>
      <c r="I49" s="43" t="s">
        <v>235</v>
      </c>
      <c r="J49" s="43" t="s">
        <v>90</v>
      </c>
      <c r="K49" s="43">
        <v>1.57</v>
      </c>
    </row>
    <row r="50" ht="14.25" spans="1:11">
      <c r="A50" s="41">
        <v>45783</v>
      </c>
      <c r="B50" s="43" t="s">
        <v>74</v>
      </c>
      <c r="C50" s="43" t="s">
        <v>1213</v>
      </c>
      <c r="D50" s="43" t="s">
        <v>59</v>
      </c>
      <c r="E50" s="43" t="s">
        <v>60</v>
      </c>
      <c r="F50" s="43">
        <v>4008</v>
      </c>
      <c r="G50" s="43">
        <v>0.58</v>
      </c>
      <c r="H50" s="69">
        <f t="shared" si="2"/>
        <v>2324.64</v>
      </c>
      <c r="I50" s="43" t="s">
        <v>77</v>
      </c>
      <c r="J50" s="43"/>
      <c r="K50" s="43"/>
    </row>
    <row r="51" ht="14.25" spans="1:11">
      <c r="A51" s="41">
        <v>45785</v>
      </c>
      <c r="B51" s="43" t="s">
        <v>74</v>
      </c>
      <c r="C51" s="43" t="s">
        <v>1214</v>
      </c>
      <c r="D51" s="43" t="s">
        <v>59</v>
      </c>
      <c r="E51" s="43" t="s">
        <v>60</v>
      </c>
      <c r="F51" s="43">
        <v>2043</v>
      </c>
      <c r="G51" s="43">
        <v>0.58</v>
      </c>
      <c r="H51" s="69">
        <f t="shared" si="2"/>
        <v>1184.94</v>
      </c>
      <c r="I51" s="43" t="s">
        <v>78</v>
      </c>
      <c r="J51" s="43"/>
      <c r="K51" s="43"/>
    </row>
    <row r="52" ht="14.25" spans="1:11">
      <c r="A52" s="41">
        <v>45790</v>
      </c>
      <c r="B52" s="43" t="s">
        <v>74</v>
      </c>
      <c r="C52" s="43" t="s">
        <v>1215</v>
      </c>
      <c r="D52" s="43" t="s">
        <v>59</v>
      </c>
      <c r="E52" s="43" t="s">
        <v>60</v>
      </c>
      <c r="F52" s="43">
        <v>2040</v>
      </c>
      <c r="G52" s="43">
        <v>0.58</v>
      </c>
      <c r="H52" s="69">
        <f t="shared" si="2"/>
        <v>1183.2</v>
      </c>
      <c r="I52" s="43" t="s">
        <v>78</v>
      </c>
      <c r="J52" s="43"/>
      <c r="K52" s="43"/>
    </row>
    <row r="53" ht="14.25" spans="1:11">
      <c r="A53" s="41">
        <v>45793</v>
      </c>
      <c r="B53" s="43" t="s">
        <v>74</v>
      </c>
      <c r="C53" s="43" t="s">
        <v>1216</v>
      </c>
      <c r="D53" s="43" t="s">
        <v>130</v>
      </c>
      <c r="E53" s="43" t="s">
        <v>60</v>
      </c>
      <c r="F53" s="43">
        <v>51</v>
      </c>
      <c r="G53" s="43">
        <v>0.58</v>
      </c>
      <c r="H53" s="69">
        <f t="shared" si="2"/>
        <v>29.58</v>
      </c>
      <c r="I53" s="43" t="s">
        <v>45</v>
      </c>
      <c r="J53" s="43"/>
      <c r="K53" s="43"/>
    </row>
    <row r="54" ht="14.25" spans="1:11">
      <c r="A54" s="41">
        <v>45799</v>
      </c>
      <c r="B54" s="43" t="s">
        <v>74</v>
      </c>
      <c r="C54" s="43" t="s">
        <v>1217</v>
      </c>
      <c r="D54" s="43" t="s">
        <v>130</v>
      </c>
      <c r="E54" s="43" t="s">
        <v>62</v>
      </c>
      <c r="F54" s="43">
        <v>19986</v>
      </c>
      <c r="G54" s="43">
        <v>0.58</v>
      </c>
      <c r="H54" s="69">
        <f t="shared" si="2"/>
        <v>11591.88</v>
      </c>
      <c r="I54" s="43" t="s">
        <v>45</v>
      </c>
      <c r="J54" s="43"/>
      <c r="K54" s="43"/>
    </row>
    <row r="55" ht="14.25" spans="1:11">
      <c r="A55" s="41">
        <v>45796</v>
      </c>
      <c r="B55" s="43" t="s">
        <v>74</v>
      </c>
      <c r="C55" s="43" t="s">
        <v>1218</v>
      </c>
      <c r="D55" s="43" t="s">
        <v>115</v>
      </c>
      <c r="E55" s="43" t="s">
        <v>60</v>
      </c>
      <c r="F55" s="43">
        <v>645</v>
      </c>
      <c r="G55" s="43">
        <v>0.58</v>
      </c>
      <c r="H55" s="69">
        <f t="shared" si="2"/>
        <v>374.1</v>
      </c>
      <c r="I55" s="43" t="s">
        <v>77</v>
      </c>
      <c r="J55" s="43"/>
      <c r="K55" s="43"/>
    </row>
    <row r="56" ht="14.25" spans="1:11">
      <c r="A56" s="41">
        <v>45797</v>
      </c>
      <c r="B56" s="43" t="s">
        <v>74</v>
      </c>
      <c r="C56" s="43" t="s">
        <v>1219</v>
      </c>
      <c r="D56" s="43" t="s">
        <v>130</v>
      </c>
      <c r="E56" s="43" t="s">
        <v>62</v>
      </c>
      <c r="F56" s="43">
        <v>10261</v>
      </c>
      <c r="G56" s="43">
        <v>0.58</v>
      </c>
      <c r="H56" s="69">
        <f t="shared" si="2"/>
        <v>5951.38</v>
      </c>
      <c r="I56" s="43" t="s">
        <v>61</v>
      </c>
      <c r="J56" s="43"/>
      <c r="K56" s="43"/>
    </row>
    <row r="57" s="35" customFormat="1" ht="14.25" spans="1:11">
      <c r="A57" s="44">
        <v>45782</v>
      </c>
      <c r="B57" s="45" t="s">
        <v>97</v>
      </c>
      <c r="C57" s="45">
        <v>4962067</v>
      </c>
      <c r="D57" s="45" t="s">
        <v>224</v>
      </c>
      <c r="E57" s="45" t="s">
        <v>116</v>
      </c>
      <c r="F57" s="45">
        <v>3005</v>
      </c>
      <c r="G57" s="45">
        <v>0.95</v>
      </c>
      <c r="H57" s="67">
        <f t="shared" si="2"/>
        <v>2854.75</v>
      </c>
      <c r="I57" s="45" t="s">
        <v>208</v>
      </c>
      <c r="J57" s="45"/>
      <c r="K57" s="45"/>
    </row>
    <row r="58" s="35" customFormat="1" ht="14.25" spans="1:11">
      <c r="A58" s="44">
        <v>45792</v>
      </c>
      <c r="B58" s="45" t="s">
        <v>97</v>
      </c>
      <c r="C58" s="86" t="s">
        <v>1220</v>
      </c>
      <c r="D58" s="45" t="s">
        <v>98</v>
      </c>
      <c r="E58" s="45" t="s">
        <v>99</v>
      </c>
      <c r="F58" s="45">
        <v>1010</v>
      </c>
      <c r="G58" s="45">
        <v>0.83</v>
      </c>
      <c r="H58" s="67">
        <f t="shared" si="2"/>
        <v>838.3</v>
      </c>
      <c r="I58" s="45" t="s">
        <v>100</v>
      </c>
      <c r="J58" s="45"/>
      <c r="K58" s="45"/>
    </row>
    <row r="59" s="35" customFormat="1" ht="14.25" spans="1:11">
      <c r="A59" s="44">
        <v>45792</v>
      </c>
      <c r="B59" s="45" t="s">
        <v>97</v>
      </c>
      <c r="C59" s="45"/>
      <c r="D59" s="45" t="s">
        <v>224</v>
      </c>
      <c r="E59" s="45" t="s">
        <v>207</v>
      </c>
      <c r="F59" s="45">
        <v>2035</v>
      </c>
      <c r="G59" s="45">
        <v>0.95</v>
      </c>
      <c r="H59" s="67">
        <f t="shared" si="2"/>
        <v>1933.25</v>
      </c>
      <c r="I59" s="45" t="s">
        <v>208</v>
      </c>
      <c r="J59" s="45"/>
      <c r="K59" s="45"/>
    </row>
    <row r="60" s="35" customFormat="1" ht="14.25" spans="1:11">
      <c r="A60" s="44">
        <v>45792</v>
      </c>
      <c r="B60" s="45" t="s">
        <v>97</v>
      </c>
      <c r="C60" s="45"/>
      <c r="D60" s="45" t="s">
        <v>98</v>
      </c>
      <c r="E60" s="45" t="s">
        <v>361</v>
      </c>
      <c r="F60" s="45">
        <v>4470</v>
      </c>
      <c r="G60" s="45">
        <v>0.83</v>
      </c>
      <c r="H60" s="67">
        <f t="shared" si="2"/>
        <v>3710.1</v>
      </c>
      <c r="I60" s="45" t="s">
        <v>100</v>
      </c>
      <c r="J60" s="45"/>
      <c r="K60" s="45"/>
    </row>
    <row r="61" s="35" customFormat="1" ht="14.25" spans="1:11">
      <c r="A61" s="44">
        <v>45805</v>
      </c>
      <c r="B61" s="45" t="s">
        <v>97</v>
      </c>
      <c r="C61" s="45"/>
      <c r="D61" s="45" t="s">
        <v>211</v>
      </c>
      <c r="E61" s="45" t="s">
        <v>776</v>
      </c>
      <c r="F61" s="45">
        <v>4750</v>
      </c>
      <c r="G61" s="45">
        <v>0.9</v>
      </c>
      <c r="H61" s="67">
        <f t="shared" si="2"/>
        <v>4275</v>
      </c>
      <c r="I61" s="45" t="s">
        <v>1221</v>
      </c>
      <c r="J61" s="45" t="s">
        <v>455</v>
      </c>
      <c r="K61" s="45">
        <v>1.05</v>
      </c>
    </row>
    <row r="62" ht="14.25" spans="1:11">
      <c r="A62" s="41">
        <v>45785</v>
      </c>
      <c r="B62" s="43" t="s">
        <v>1222</v>
      </c>
      <c r="C62" s="43"/>
      <c r="D62" s="43" t="s">
        <v>968</v>
      </c>
      <c r="E62" s="43" t="s">
        <v>14</v>
      </c>
      <c r="F62" s="43">
        <v>4050</v>
      </c>
      <c r="G62" s="43">
        <v>1.3</v>
      </c>
      <c r="H62" s="69">
        <f t="shared" ref="H62:H77" si="3">F62*G62</f>
        <v>5265</v>
      </c>
      <c r="I62" s="43" t="s">
        <v>982</v>
      </c>
      <c r="J62" s="43"/>
      <c r="K62" s="43"/>
    </row>
    <row r="63" ht="14.25" spans="1:11">
      <c r="A63" s="41">
        <v>45783</v>
      </c>
      <c r="B63" s="45" t="s">
        <v>184</v>
      </c>
      <c r="C63" s="45" t="s">
        <v>1223</v>
      </c>
      <c r="D63" s="45" t="s">
        <v>1224</v>
      </c>
      <c r="E63" s="45" t="s">
        <v>14</v>
      </c>
      <c r="F63" s="45">
        <v>505</v>
      </c>
      <c r="G63" s="45">
        <v>1.2</v>
      </c>
      <c r="H63" s="67">
        <f t="shared" si="3"/>
        <v>606</v>
      </c>
      <c r="I63" s="43" t="s">
        <v>1225</v>
      </c>
      <c r="J63" s="43"/>
      <c r="K63" s="43"/>
    </row>
    <row r="64" ht="14.25" spans="1:11">
      <c r="A64" s="41">
        <v>45784</v>
      </c>
      <c r="B64" s="45" t="s">
        <v>184</v>
      </c>
      <c r="C64" s="45" t="s">
        <v>1226</v>
      </c>
      <c r="D64" s="45" t="s">
        <v>27</v>
      </c>
      <c r="E64" s="45" t="s">
        <v>14</v>
      </c>
      <c r="F64" s="45">
        <v>7080</v>
      </c>
      <c r="G64" s="45">
        <v>1.75</v>
      </c>
      <c r="H64" s="67">
        <f t="shared" si="3"/>
        <v>12390</v>
      </c>
      <c r="I64" s="43" t="s">
        <v>982</v>
      </c>
      <c r="J64" s="43" t="s">
        <v>46</v>
      </c>
      <c r="K64" s="43"/>
    </row>
    <row r="65" ht="14.25" spans="1:11">
      <c r="A65" s="41">
        <v>45786</v>
      </c>
      <c r="B65" s="45" t="s">
        <v>184</v>
      </c>
      <c r="C65" s="45" t="s">
        <v>1227</v>
      </c>
      <c r="D65" s="45" t="s">
        <v>27</v>
      </c>
      <c r="E65" s="45" t="s">
        <v>14</v>
      </c>
      <c r="F65" s="45">
        <v>30</v>
      </c>
      <c r="G65" s="45">
        <v>1.75</v>
      </c>
      <c r="H65" s="67">
        <f t="shared" si="3"/>
        <v>52.5</v>
      </c>
      <c r="I65" s="43" t="s">
        <v>982</v>
      </c>
      <c r="J65" s="43"/>
      <c r="K65" s="43"/>
    </row>
    <row r="66" ht="14.25" spans="1:11">
      <c r="A66" s="41">
        <v>45787</v>
      </c>
      <c r="B66" s="45" t="s">
        <v>184</v>
      </c>
      <c r="C66" s="45" t="s">
        <v>1228</v>
      </c>
      <c r="D66" s="45" t="s">
        <v>390</v>
      </c>
      <c r="E66" s="45" t="s">
        <v>14</v>
      </c>
      <c r="F66" s="45">
        <v>3000</v>
      </c>
      <c r="G66" s="45">
        <v>1.25</v>
      </c>
      <c r="H66" s="67">
        <f t="shared" si="3"/>
        <v>3750</v>
      </c>
      <c r="I66" t="s">
        <v>300</v>
      </c>
      <c r="J66" s="43" t="s">
        <v>46</v>
      </c>
      <c r="K66" s="43"/>
    </row>
    <row r="67" ht="14.25" spans="1:11">
      <c r="A67" s="41">
        <v>45787</v>
      </c>
      <c r="B67" s="45" t="s">
        <v>184</v>
      </c>
      <c r="C67" s="33" t="s">
        <v>1228</v>
      </c>
      <c r="D67" s="70" t="s">
        <v>234</v>
      </c>
      <c r="E67" s="70" t="s">
        <v>14</v>
      </c>
      <c r="F67" s="70">
        <v>5230</v>
      </c>
      <c r="G67" s="70">
        <v>1.1</v>
      </c>
      <c r="H67" s="67">
        <f t="shared" si="3"/>
        <v>5753</v>
      </c>
      <c r="I67" s="43" t="s">
        <v>278</v>
      </c>
      <c r="J67" s="43" t="s">
        <v>46</v>
      </c>
      <c r="K67" s="43"/>
    </row>
    <row r="68" ht="14.25" spans="1:11">
      <c r="A68" s="41">
        <v>45788</v>
      </c>
      <c r="B68" s="45" t="s">
        <v>184</v>
      </c>
      <c r="C68" s="45" t="s">
        <v>1229</v>
      </c>
      <c r="D68" s="45" t="s">
        <v>38</v>
      </c>
      <c r="E68" s="45" t="s">
        <v>14</v>
      </c>
      <c r="F68" s="45">
        <v>1040</v>
      </c>
      <c r="G68" s="45">
        <v>1.3</v>
      </c>
      <c r="H68" s="67">
        <f t="shared" si="3"/>
        <v>1352</v>
      </c>
      <c r="I68" s="43" t="s">
        <v>78</v>
      </c>
      <c r="J68" s="43" t="s">
        <v>46</v>
      </c>
      <c r="K68" s="43"/>
    </row>
    <row r="69" ht="14.25" spans="1:11">
      <c r="A69" s="41">
        <v>45790</v>
      </c>
      <c r="B69" s="45" t="s">
        <v>184</v>
      </c>
      <c r="C69" s="45" t="s">
        <v>1230</v>
      </c>
      <c r="D69" s="45" t="s">
        <v>1224</v>
      </c>
      <c r="E69" s="45" t="s">
        <v>14</v>
      </c>
      <c r="F69" s="45">
        <v>1010</v>
      </c>
      <c r="G69" s="45">
        <v>1.2</v>
      </c>
      <c r="H69" s="67">
        <f t="shared" si="3"/>
        <v>1212</v>
      </c>
      <c r="I69" s="43" t="s">
        <v>570</v>
      </c>
      <c r="J69" s="43" t="s">
        <v>912</v>
      </c>
      <c r="K69" s="43"/>
    </row>
    <row r="70" ht="14.25" spans="1:11">
      <c r="A70" s="41">
        <v>45791</v>
      </c>
      <c r="B70" s="45" t="s">
        <v>184</v>
      </c>
      <c r="C70" s="45" t="s">
        <v>1231</v>
      </c>
      <c r="D70" s="45" t="s">
        <v>1224</v>
      </c>
      <c r="E70" s="45" t="s">
        <v>14</v>
      </c>
      <c r="F70" s="45">
        <v>2050</v>
      </c>
      <c r="G70" s="45">
        <v>1.2</v>
      </c>
      <c r="H70" s="67">
        <f t="shared" si="3"/>
        <v>2460</v>
      </c>
      <c r="I70" s="45" t="s">
        <v>486</v>
      </c>
      <c r="J70" s="43" t="s">
        <v>46</v>
      </c>
      <c r="K70" s="43"/>
    </row>
    <row r="71" ht="14.25" spans="1:11">
      <c r="A71" s="41">
        <v>45791</v>
      </c>
      <c r="B71" s="45" t="s">
        <v>184</v>
      </c>
      <c r="C71" s="45" t="s">
        <v>1232</v>
      </c>
      <c r="D71" s="45" t="s">
        <v>392</v>
      </c>
      <c r="E71" s="45" t="s">
        <v>14</v>
      </c>
      <c r="F71" s="45">
        <v>60</v>
      </c>
      <c r="G71" s="45">
        <v>1.26</v>
      </c>
      <c r="H71" s="67">
        <f t="shared" si="3"/>
        <v>75.6</v>
      </c>
      <c r="I71" s="45" t="s">
        <v>28</v>
      </c>
      <c r="J71" s="43"/>
      <c r="K71" s="43"/>
    </row>
    <row r="72" ht="14.25" spans="1:11">
      <c r="A72" s="41">
        <v>45791</v>
      </c>
      <c r="B72" s="45" t="s">
        <v>184</v>
      </c>
      <c r="C72" s="45" t="s">
        <v>1232</v>
      </c>
      <c r="D72" s="45" t="s">
        <v>1233</v>
      </c>
      <c r="E72" s="45" t="s">
        <v>14</v>
      </c>
      <c r="F72" s="45">
        <v>60</v>
      </c>
      <c r="G72" s="45">
        <v>1.45</v>
      </c>
      <c r="H72" s="67">
        <f t="shared" si="3"/>
        <v>87</v>
      </c>
      <c r="I72" s="45" t="s">
        <v>28</v>
      </c>
      <c r="J72" s="43"/>
      <c r="K72" s="43"/>
    </row>
    <row r="73" ht="14.25" spans="1:11">
      <c r="A73" s="41">
        <v>45794</v>
      </c>
      <c r="B73" s="45" t="s">
        <v>184</v>
      </c>
      <c r="C73" s="45" t="s">
        <v>1234</v>
      </c>
      <c r="D73" s="45" t="s">
        <v>390</v>
      </c>
      <c r="E73" s="45" t="s">
        <v>14</v>
      </c>
      <c r="F73" s="45">
        <v>5000</v>
      </c>
      <c r="G73" s="45">
        <v>1.25</v>
      </c>
      <c r="H73" s="67">
        <f t="shared" si="3"/>
        <v>6250</v>
      </c>
      <c r="I73" s="45" t="s">
        <v>300</v>
      </c>
      <c r="J73" s="43" t="s">
        <v>46</v>
      </c>
      <c r="K73" s="43"/>
    </row>
    <row r="74" ht="14.25" spans="1:11">
      <c r="A74" s="41">
        <v>45794</v>
      </c>
      <c r="B74" s="45" t="s">
        <v>184</v>
      </c>
      <c r="C74" s="45"/>
      <c r="D74" s="45" t="s">
        <v>586</v>
      </c>
      <c r="E74" s="45" t="s">
        <v>14</v>
      </c>
      <c r="F74" s="45">
        <v>205</v>
      </c>
      <c r="G74" s="45">
        <v>2.35</v>
      </c>
      <c r="H74" s="67">
        <f t="shared" si="3"/>
        <v>481.75</v>
      </c>
      <c r="I74" s="45" t="s">
        <v>587</v>
      </c>
      <c r="J74" s="43"/>
      <c r="K74" s="43"/>
    </row>
    <row r="75" ht="14.25" spans="1:11">
      <c r="A75" s="41">
        <v>45796</v>
      </c>
      <c r="B75" s="45" t="s">
        <v>184</v>
      </c>
      <c r="C75" s="45"/>
      <c r="D75" s="45" t="s">
        <v>1224</v>
      </c>
      <c r="E75" s="45" t="s">
        <v>14</v>
      </c>
      <c r="F75" s="45">
        <v>10</v>
      </c>
      <c r="G75" s="45">
        <v>1.2</v>
      </c>
      <c r="H75" s="67">
        <f t="shared" si="3"/>
        <v>12</v>
      </c>
      <c r="I75" s="45" t="s">
        <v>32</v>
      </c>
      <c r="J75" s="43"/>
      <c r="K75" s="43"/>
    </row>
    <row r="76" ht="14.25" spans="1:11">
      <c r="A76" s="41">
        <v>45801</v>
      </c>
      <c r="B76" s="45" t="s">
        <v>184</v>
      </c>
      <c r="C76" s="45" t="s">
        <v>1235</v>
      </c>
      <c r="D76" s="45" t="s">
        <v>1236</v>
      </c>
      <c r="E76" s="45" t="s">
        <v>14</v>
      </c>
      <c r="F76" s="45">
        <v>6</v>
      </c>
      <c r="G76" s="45">
        <v>0</v>
      </c>
      <c r="H76" s="67">
        <f t="shared" si="3"/>
        <v>0</v>
      </c>
      <c r="I76" s="45" t="s">
        <v>94</v>
      </c>
      <c r="J76" s="43"/>
      <c r="K76" s="43"/>
    </row>
    <row r="77" ht="14.25" spans="1:11">
      <c r="A77" s="41">
        <v>45807</v>
      </c>
      <c r="B77" s="45" t="s">
        <v>184</v>
      </c>
      <c r="C77" s="45" t="s">
        <v>1237</v>
      </c>
      <c r="D77" s="45" t="s">
        <v>38</v>
      </c>
      <c r="E77" s="45" t="s">
        <v>14</v>
      </c>
      <c r="F77" s="45">
        <v>1580</v>
      </c>
      <c r="G77" s="45">
        <v>1.22</v>
      </c>
      <c r="H77" s="67">
        <f t="shared" si="3"/>
        <v>1927.6</v>
      </c>
      <c r="I77" s="45" t="s">
        <v>78</v>
      </c>
      <c r="J77" s="43"/>
      <c r="K77" s="43"/>
    </row>
    <row r="78" s="35" customFormat="1" ht="14.25" spans="1:11">
      <c r="A78" s="44">
        <v>45781</v>
      </c>
      <c r="B78" s="45" t="s">
        <v>113</v>
      </c>
      <c r="C78" s="45" t="s">
        <v>1238</v>
      </c>
      <c r="D78" s="45" t="s">
        <v>76</v>
      </c>
      <c r="E78" s="45" t="s">
        <v>867</v>
      </c>
      <c r="F78" s="45">
        <v>40010</v>
      </c>
      <c r="G78" s="45">
        <v>0.45</v>
      </c>
      <c r="H78" s="67">
        <f t="shared" ref="H78:H141" si="4">F78*G78</f>
        <v>18004.5</v>
      </c>
      <c r="I78" s="45" t="s">
        <v>340</v>
      </c>
      <c r="J78" s="45"/>
      <c r="K78" s="45"/>
    </row>
    <row r="79" ht="14.25" spans="1:11">
      <c r="A79" s="44">
        <v>45782</v>
      </c>
      <c r="B79" s="45" t="s">
        <v>113</v>
      </c>
      <c r="C79" s="45" t="s">
        <v>1239</v>
      </c>
      <c r="D79" s="45" t="s">
        <v>122</v>
      </c>
      <c r="E79" s="45" t="s">
        <v>1240</v>
      </c>
      <c r="F79" s="45">
        <v>6070</v>
      </c>
      <c r="G79" s="45">
        <v>0.68</v>
      </c>
      <c r="H79" s="67">
        <f t="shared" si="4"/>
        <v>4127.6</v>
      </c>
      <c r="I79" s="45" t="s">
        <v>1241</v>
      </c>
      <c r="J79" s="43" t="s">
        <v>90</v>
      </c>
      <c r="K79" s="43">
        <v>0.85</v>
      </c>
    </row>
    <row r="80" ht="14.25" spans="1:11">
      <c r="A80" s="44">
        <v>45782</v>
      </c>
      <c r="B80" s="45" t="s">
        <v>113</v>
      </c>
      <c r="C80" s="45" t="s">
        <v>1239</v>
      </c>
      <c r="D80" s="45" t="s">
        <v>76</v>
      </c>
      <c r="E80" s="45" t="s">
        <v>62</v>
      </c>
      <c r="F80" s="45">
        <v>6010</v>
      </c>
      <c r="G80" s="45">
        <v>0.49</v>
      </c>
      <c r="H80" s="67">
        <f t="shared" si="4"/>
        <v>2944.9</v>
      </c>
      <c r="I80" s="45" t="s">
        <v>633</v>
      </c>
      <c r="J80" s="43"/>
      <c r="K80" s="43"/>
    </row>
    <row r="81" ht="14.25" spans="1:11">
      <c r="A81" s="44">
        <v>45783</v>
      </c>
      <c r="B81" s="45" t="s">
        <v>113</v>
      </c>
      <c r="C81" s="45" t="s">
        <v>1242</v>
      </c>
      <c r="D81" s="45" t="s">
        <v>122</v>
      </c>
      <c r="E81" s="45" t="s">
        <v>62</v>
      </c>
      <c r="F81" s="45">
        <v>20</v>
      </c>
      <c r="G81" s="45">
        <v>0</v>
      </c>
      <c r="H81" s="67">
        <f t="shared" si="4"/>
        <v>0</v>
      </c>
      <c r="I81" s="45" t="s">
        <v>125</v>
      </c>
      <c r="J81" s="43"/>
      <c r="K81" s="43"/>
    </row>
    <row r="82" ht="14.25" spans="1:11">
      <c r="A82" s="44">
        <v>45783</v>
      </c>
      <c r="B82" s="45" t="s">
        <v>113</v>
      </c>
      <c r="C82" s="45" t="s">
        <v>1242</v>
      </c>
      <c r="D82" s="45" t="s">
        <v>76</v>
      </c>
      <c r="E82" s="45" t="s">
        <v>127</v>
      </c>
      <c r="F82" s="45">
        <v>8310</v>
      </c>
      <c r="G82" s="45">
        <v>0.52</v>
      </c>
      <c r="H82" s="67">
        <f t="shared" si="4"/>
        <v>4321.2</v>
      </c>
      <c r="I82" s="45" t="s">
        <v>756</v>
      </c>
      <c r="J82" s="43"/>
      <c r="K82" s="43"/>
    </row>
    <row r="83" s="35" customFormat="1" ht="14.25" spans="1:11">
      <c r="A83" s="44">
        <v>45780</v>
      </c>
      <c r="B83" s="45" t="s">
        <v>121</v>
      </c>
      <c r="C83" s="45"/>
      <c r="D83" s="45" t="s">
        <v>70</v>
      </c>
      <c r="E83" s="45" t="s">
        <v>123</v>
      </c>
      <c r="F83" s="45">
        <v>1015</v>
      </c>
      <c r="G83" s="45">
        <v>0.57</v>
      </c>
      <c r="H83" s="67">
        <f t="shared" si="4"/>
        <v>578.55</v>
      </c>
      <c r="I83" s="45" t="s">
        <v>126</v>
      </c>
      <c r="J83" s="45"/>
      <c r="K83" s="45"/>
    </row>
    <row r="84" s="35" customFormat="1" ht="14.25" spans="1:11">
      <c r="A84" s="44">
        <v>45780</v>
      </c>
      <c r="B84" s="45" t="s">
        <v>121</v>
      </c>
      <c r="C84" s="45"/>
      <c r="D84" s="45" t="s">
        <v>59</v>
      </c>
      <c r="E84" s="45" t="s">
        <v>365</v>
      </c>
      <c r="F84" s="45">
        <v>4026</v>
      </c>
      <c r="G84" s="45">
        <v>0.58</v>
      </c>
      <c r="H84" s="67">
        <f t="shared" si="4"/>
        <v>2335.08</v>
      </c>
      <c r="I84" s="45" t="s">
        <v>63</v>
      </c>
      <c r="J84" s="45" t="s">
        <v>983</v>
      </c>
      <c r="K84" s="45">
        <v>0.75</v>
      </c>
    </row>
    <row r="85" s="35" customFormat="1" ht="14.25" spans="1:11">
      <c r="A85" s="44">
        <v>45780</v>
      </c>
      <c r="B85" s="45" t="s">
        <v>121</v>
      </c>
      <c r="C85" s="45"/>
      <c r="D85" s="45" t="s">
        <v>70</v>
      </c>
      <c r="E85" s="45" t="s">
        <v>136</v>
      </c>
      <c r="F85" s="45">
        <v>7295</v>
      </c>
      <c r="G85" s="45">
        <v>0.57</v>
      </c>
      <c r="H85" s="67">
        <f t="shared" si="4"/>
        <v>4158.15</v>
      </c>
      <c r="I85" s="45" t="s">
        <v>45</v>
      </c>
      <c r="J85" s="45"/>
      <c r="K85" s="45"/>
    </row>
    <row r="86" s="35" customFormat="1" ht="14.25" spans="1:11">
      <c r="A86" s="44">
        <v>45780</v>
      </c>
      <c r="B86" s="45" t="s">
        <v>121</v>
      </c>
      <c r="C86" s="45"/>
      <c r="D86" s="45" t="s">
        <v>59</v>
      </c>
      <c r="E86" s="45" t="s">
        <v>1243</v>
      </c>
      <c r="F86" s="45">
        <v>6029</v>
      </c>
      <c r="G86" s="45">
        <v>0.49</v>
      </c>
      <c r="H86" s="67">
        <f t="shared" si="4"/>
        <v>2954.21</v>
      </c>
      <c r="I86" s="45" t="s">
        <v>982</v>
      </c>
      <c r="J86" s="45"/>
      <c r="K86" s="45">
        <v>0.51</v>
      </c>
    </row>
    <row r="87" ht="14.25" spans="1:11">
      <c r="A87" s="44">
        <v>45785</v>
      </c>
      <c r="B87" s="45" t="s">
        <v>113</v>
      </c>
      <c r="C87" s="45" t="s">
        <v>1244</v>
      </c>
      <c r="D87" s="45" t="s">
        <v>130</v>
      </c>
      <c r="E87" s="45" t="s">
        <v>60</v>
      </c>
      <c r="F87" s="45">
        <v>8010</v>
      </c>
      <c r="G87" s="45">
        <v>0.45</v>
      </c>
      <c r="H87" s="67">
        <f t="shared" si="4"/>
        <v>3604.5</v>
      </c>
      <c r="I87" s="45" t="s">
        <v>633</v>
      </c>
      <c r="J87" s="43"/>
      <c r="K87" s="43"/>
    </row>
    <row r="88" ht="14.25" spans="1:11">
      <c r="A88" s="44">
        <v>45785</v>
      </c>
      <c r="B88" s="45" t="s">
        <v>113</v>
      </c>
      <c r="C88" s="45" t="s">
        <v>1245</v>
      </c>
      <c r="D88" s="45" t="s">
        <v>130</v>
      </c>
      <c r="E88" s="45" t="s">
        <v>62</v>
      </c>
      <c r="F88" s="45">
        <v>20</v>
      </c>
      <c r="G88" s="45">
        <v>0</v>
      </c>
      <c r="H88" s="67">
        <f t="shared" si="4"/>
        <v>0</v>
      </c>
      <c r="I88" s="45" t="s">
        <v>32</v>
      </c>
      <c r="J88" s="43"/>
      <c r="K88" s="43"/>
    </row>
    <row r="89" ht="14.25" spans="1:11">
      <c r="A89" s="44">
        <v>45789</v>
      </c>
      <c r="B89" s="45" t="s">
        <v>113</v>
      </c>
      <c r="C89" s="45" t="s">
        <v>1246</v>
      </c>
      <c r="D89" s="45" t="s">
        <v>76</v>
      </c>
      <c r="E89" s="45" t="s">
        <v>62</v>
      </c>
      <c r="F89" s="45">
        <v>305</v>
      </c>
      <c r="G89" s="45">
        <v>0.49</v>
      </c>
      <c r="H89" s="67">
        <f t="shared" si="4"/>
        <v>149.45</v>
      </c>
      <c r="I89" s="45" t="s">
        <v>633</v>
      </c>
      <c r="J89" s="43"/>
      <c r="K89" s="43"/>
    </row>
    <row r="90" ht="14.25" spans="1:11">
      <c r="A90" s="44">
        <v>45790</v>
      </c>
      <c r="B90" s="45" t="s">
        <v>113</v>
      </c>
      <c r="C90" s="45" t="s">
        <v>1247</v>
      </c>
      <c r="D90" s="45" t="s">
        <v>76</v>
      </c>
      <c r="E90" s="45" t="s">
        <v>867</v>
      </c>
      <c r="F90" s="45">
        <v>5010</v>
      </c>
      <c r="G90" s="45">
        <v>0.45</v>
      </c>
      <c r="H90" s="67">
        <f t="shared" si="4"/>
        <v>2254.5</v>
      </c>
      <c r="I90" s="45" t="s">
        <v>340</v>
      </c>
      <c r="J90" s="43"/>
      <c r="K90" s="43"/>
    </row>
    <row r="91" ht="14.25" spans="1:11">
      <c r="A91" s="44">
        <v>45790</v>
      </c>
      <c r="B91" s="45" t="s">
        <v>113</v>
      </c>
      <c r="C91" s="45" t="s">
        <v>1248</v>
      </c>
      <c r="D91" s="45" t="s">
        <v>76</v>
      </c>
      <c r="E91" s="45" t="s">
        <v>62</v>
      </c>
      <c r="F91" s="45">
        <v>20</v>
      </c>
      <c r="G91" s="45">
        <v>0</v>
      </c>
      <c r="H91" s="67">
        <f t="shared" si="4"/>
        <v>0</v>
      </c>
      <c r="I91" s="45" t="s">
        <v>100</v>
      </c>
      <c r="J91" s="43"/>
      <c r="K91" s="43"/>
    </row>
    <row r="92" ht="14.25" spans="1:11">
      <c r="A92" s="44">
        <v>45790</v>
      </c>
      <c r="B92" s="45" t="s">
        <v>113</v>
      </c>
      <c r="C92" s="45" t="s">
        <v>1248</v>
      </c>
      <c r="D92" s="45" t="s">
        <v>59</v>
      </c>
      <c r="E92" s="45" t="s">
        <v>60</v>
      </c>
      <c r="F92" s="45">
        <v>20</v>
      </c>
      <c r="G92" s="45">
        <v>0</v>
      </c>
      <c r="H92" s="67">
        <f t="shared" si="4"/>
        <v>0</v>
      </c>
      <c r="I92" s="45" t="s">
        <v>271</v>
      </c>
      <c r="J92" s="43"/>
      <c r="K92" s="43"/>
    </row>
    <row r="93" ht="14.25" spans="1:11">
      <c r="A93" s="44">
        <v>45791</v>
      </c>
      <c r="B93" s="45" t="s">
        <v>113</v>
      </c>
      <c r="C93" s="45" t="s">
        <v>1249</v>
      </c>
      <c r="D93" s="45" t="s">
        <v>130</v>
      </c>
      <c r="E93" s="45" t="s">
        <v>60</v>
      </c>
      <c r="F93" s="45">
        <v>8410</v>
      </c>
      <c r="G93" s="45">
        <v>0.45</v>
      </c>
      <c r="H93" s="67">
        <f t="shared" si="4"/>
        <v>3784.5</v>
      </c>
      <c r="I93" s="45" t="s">
        <v>189</v>
      </c>
      <c r="J93" s="43"/>
      <c r="K93" s="43"/>
    </row>
    <row r="94" ht="14.25" spans="1:11">
      <c r="A94" s="44">
        <v>45791</v>
      </c>
      <c r="B94" s="45" t="s">
        <v>113</v>
      </c>
      <c r="C94" s="45" t="s">
        <v>1249</v>
      </c>
      <c r="D94" s="45" t="s">
        <v>76</v>
      </c>
      <c r="E94" s="45" t="s">
        <v>342</v>
      </c>
      <c r="F94" s="45">
        <v>3110</v>
      </c>
      <c r="G94" s="45">
        <v>0.45</v>
      </c>
      <c r="H94" s="67">
        <f t="shared" si="4"/>
        <v>1399.5</v>
      </c>
      <c r="I94" s="45" t="s">
        <v>340</v>
      </c>
      <c r="J94" s="43"/>
      <c r="K94" s="43"/>
    </row>
    <row r="95" ht="14.25" spans="1:11">
      <c r="A95" s="44">
        <v>45791</v>
      </c>
      <c r="B95" s="45" t="s">
        <v>113</v>
      </c>
      <c r="C95" s="45" t="s">
        <v>1249</v>
      </c>
      <c r="D95" s="45" t="s">
        <v>76</v>
      </c>
      <c r="E95" s="45" t="s">
        <v>123</v>
      </c>
      <c r="F95" s="45">
        <v>5650</v>
      </c>
      <c r="G95" s="45">
        <v>0.5</v>
      </c>
      <c r="H95" s="67">
        <f t="shared" si="4"/>
        <v>2825</v>
      </c>
      <c r="I95" s="45" t="s">
        <v>644</v>
      </c>
      <c r="J95" s="43"/>
      <c r="K95" s="43"/>
    </row>
    <row r="96" ht="14.25" spans="1:11">
      <c r="A96" s="44">
        <v>45791</v>
      </c>
      <c r="B96" s="45" t="s">
        <v>113</v>
      </c>
      <c r="C96" s="45" t="s">
        <v>1250</v>
      </c>
      <c r="D96" s="45" t="s">
        <v>76</v>
      </c>
      <c r="E96" s="45" t="s">
        <v>123</v>
      </c>
      <c r="F96" s="45">
        <v>20</v>
      </c>
      <c r="G96" s="45">
        <v>0</v>
      </c>
      <c r="H96" s="67">
        <f t="shared" si="4"/>
        <v>0</v>
      </c>
      <c r="I96" s="45" t="s">
        <v>32</v>
      </c>
      <c r="J96" s="43"/>
      <c r="K96" s="43"/>
    </row>
    <row r="97" ht="14.25" spans="1:11">
      <c r="A97" s="44">
        <v>45791</v>
      </c>
      <c r="B97" s="45" t="s">
        <v>113</v>
      </c>
      <c r="C97" s="45" t="s">
        <v>1250</v>
      </c>
      <c r="D97" s="45" t="s">
        <v>76</v>
      </c>
      <c r="E97" s="45" t="s">
        <v>111</v>
      </c>
      <c r="F97" s="45">
        <v>20</v>
      </c>
      <c r="G97" s="45">
        <v>0</v>
      </c>
      <c r="H97" s="67">
        <f t="shared" si="4"/>
        <v>0</v>
      </c>
      <c r="I97" s="45" t="s">
        <v>32</v>
      </c>
      <c r="J97" s="43"/>
      <c r="K97" s="43"/>
    </row>
    <row r="98" ht="14.25" spans="1:11">
      <c r="A98" s="44">
        <v>45797</v>
      </c>
      <c r="B98" s="45" t="s">
        <v>113</v>
      </c>
      <c r="C98" s="45" t="s">
        <v>1251</v>
      </c>
      <c r="D98" s="45" t="s">
        <v>122</v>
      </c>
      <c r="E98" s="45" t="s">
        <v>62</v>
      </c>
      <c r="F98" s="45">
        <v>30</v>
      </c>
      <c r="G98" s="45">
        <v>0</v>
      </c>
      <c r="H98" s="67">
        <f t="shared" si="4"/>
        <v>0</v>
      </c>
      <c r="I98" s="45" t="s">
        <v>32</v>
      </c>
      <c r="J98" s="43"/>
      <c r="K98" s="43"/>
    </row>
    <row r="99" ht="14.25" spans="1:11">
      <c r="A99" s="44">
        <v>45797</v>
      </c>
      <c r="B99" s="45" t="s">
        <v>113</v>
      </c>
      <c r="C99" s="45" t="s">
        <v>1252</v>
      </c>
      <c r="D99" s="45" t="s">
        <v>122</v>
      </c>
      <c r="E99" s="45" t="s">
        <v>116</v>
      </c>
      <c r="F99" s="45">
        <v>5010</v>
      </c>
      <c r="G99" s="45">
        <v>0.53</v>
      </c>
      <c r="H99" s="67">
        <f t="shared" si="4"/>
        <v>2655.3</v>
      </c>
      <c r="I99" s="45" t="s">
        <v>340</v>
      </c>
      <c r="J99" s="43"/>
      <c r="K99" s="43"/>
    </row>
    <row r="100" ht="14.25" spans="1:11">
      <c r="A100" s="44">
        <v>45792</v>
      </c>
      <c r="B100" s="45" t="s">
        <v>113</v>
      </c>
      <c r="C100" s="45" t="s">
        <v>1253</v>
      </c>
      <c r="D100" s="45" t="s">
        <v>59</v>
      </c>
      <c r="E100" s="45" t="s">
        <v>123</v>
      </c>
      <c r="F100" s="45">
        <v>115</v>
      </c>
      <c r="G100" s="45">
        <v>0.53</v>
      </c>
      <c r="H100" s="67">
        <f t="shared" si="4"/>
        <v>60.95</v>
      </c>
      <c r="I100" s="45" t="s">
        <v>761</v>
      </c>
      <c r="J100" s="43"/>
      <c r="K100" s="43"/>
    </row>
    <row r="101" ht="14.25" spans="1:11">
      <c r="A101" s="41">
        <v>45792</v>
      </c>
      <c r="B101" s="43" t="s">
        <v>113</v>
      </c>
      <c r="C101" s="43" t="s">
        <v>1253</v>
      </c>
      <c r="D101" s="43" t="s">
        <v>59</v>
      </c>
      <c r="E101" s="43" t="s">
        <v>60</v>
      </c>
      <c r="F101" s="43">
        <v>15</v>
      </c>
      <c r="G101" s="43">
        <v>0</v>
      </c>
      <c r="H101" s="69">
        <f t="shared" si="4"/>
        <v>0</v>
      </c>
      <c r="I101" s="43" t="s">
        <v>32</v>
      </c>
      <c r="J101" s="43"/>
      <c r="K101" s="43"/>
    </row>
    <row r="102" ht="14.25" spans="1:11">
      <c r="A102" s="41">
        <v>45793</v>
      </c>
      <c r="B102" s="43" t="s">
        <v>113</v>
      </c>
      <c r="C102" s="43" t="s">
        <v>1254</v>
      </c>
      <c r="D102" s="43" t="s">
        <v>76</v>
      </c>
      <c r="E102" s="43" t="s">
        <v>127</v>
      </c>
      <c r="F102" s="43">
        <v>20</v>
      </c>
      <c r="G102" s="43">
        <v>0</v>
      </c>
      <c r="H102" s="69">
        <f t="shared" si="4"/>
        <v>0</v>
      </c>
      <c r="I102" s="43" t="s">
        <v>32</v>
      </c>
      <c r="J102" s="43"/>
      <c r="K102" s="43"/>
    </row>
    <row r="103" ht="14.25" spans="1:11">
      <c r="A103" s="41">
        <v>45793</v>
      </c>
      <c r="B103" s="43" t="s">
        <v>113</v>
      </c>
      <c r="C103" s="43" t="s">
        <v>1254</v>
      </c>
      <c r="D103" s="43" t="s">
        <v>76</v>
      </c>
      <c r="E103" s="43" t="s">
        <v>1255</v>
      </c>
      <c r="F103" s="43">
        <v>20</v>
      </c>
      <c r="G103" s="43">
        <v>0</v>
      </c>
      <c r="H103" s="69">
        <f t="shared" si="4"/>
        <v>0</v>
      </c>
      <c r="I103" s="43" t="s">
        <v>32</v>
      </c>
      <c r="J103" s="43"/>
      <c r="K103" s="43"/>
    </row>
    <row r="104" ht="14.25" spans="1:11">
      <c r="A104" s="44">
        <v>45794</v>
      </c>
      <c r="B104" s="45" t="s">
        <v>113</v>
      </c>
      <c r="C104" s="45" t="s">
        <v>1256</v>
      </c>
      <c r="D104" s="45" t="s">
        <v>76</v>
      </c>
      <c r="E104" s="45" t="s">
        <v>123</v>
      </c>
      <c r="F104" s="45">
        <v>15820</v>
      </c>
      <c r="G104" s="45">
        <v>0.5</v>
      </c>
      <c r="H104" s="67">
        <f t="shared" si="4"/>
        <v>7910</v>
      </c>
      <c r="I104" s="45" t="s">
        <v>340</v>
      </c>
      <c r="J104" s="43"/>
      <c r="K104" s="43"/>
    </row>
    <row r="105" ht="14.25" spans="1:11">
      <c r="A105" s="44">
        <v>45794</v>
      </c>
      <c r="B105" s="45" t="s">
        <v>113</v>
      </c>
      <c r="C105" s="45" t="s">
        <v>1256</v>
      </c>
      <c r="D105" s="45" t="s">
        <v>76</v>
      </c>
      <c r="E105" s="45" t="s">
        <v>62</v>
      </c>
      <c r="F105" s="45">
        <v>55</v>
      </c>
      <c r="G105" s="45">
        <v>0.49</v>
      </c>
      <c r="H105" s="67">
        <f t="shared" si="4"/>
        <v>26.95</v>
      </c>
      <c r="I105" s="45" t="s">
        <v>644</v>
      </c>
      <c r="J105" s="43"/>
      <c r="K105" s="43"/>
    </row>
    <row r="106" ht="14.25" spans="1:11">
      <c r="A106" s="44">
        <v>45794</v>
      </c>
      <c r="B106" s="45" t="s">
        <v>113</v>
      </c>
      <c r="C106" s="45" t="s">
        <v>1256</v>
      </c>
      <c r="D106" s="45" t="s">
        <v>122</v>
      </c>
      <c r="E106" s="45" t="s">
        <v>1257</v>
      </c>
      <c r="F106" s="45">
        <v>10</v>
      </c>
      <c r="G106" s="45">
        <v>0</v>
      </c>
      <c r="H106" s="67">
        <f t="shared" si="4"/>
        <v>0</v>
      </c>
      <c r="I106" s="45" t="s">
        <v>32</v>
      </c>
      <c r="J106" s="43"/>
      <c r="K106" s="43"/>
    </row>
    <row r="107" ht="14.25" spans="1:11">
      <c r="A107" s="44">
        <v>45794</v>
      </c>
      <c r="B107" s="45" t="s">
        <v>113</v>
      </c>
      <c r="C107" s="45" t="s">
        <v>1256</v>
      </c>
      <c r="D107" s="45" t="s">
        <v>76</v>
      </c>
      <c r="E107" s="45" t="s">
        <v>62</v>
      </c>
      <c r="F107" s="45">
        <v>10</v>
      </c>
      <c r="G107" s="45">
        <v>0</v>
      </c>
      <c r="H107" s="67">
        <f t="shared" si="4"/>
        <v>0</v>
      </c>
      <c r="I107" s="45" t="s">
        <v>32</v>
      </c>
      <c r="J107" s="43"/>
      <c r="K107" s="43"/>
    </row>
    <row r="108" ht="14.25" spans="1:11">
      <c r="A108" s="44">
        <v>45796</v>
      </c>
      <c r="B108" s="45" t="s">
        <v>113</v>
      </c>
      <c r="C108" s="45" t="s">
        <v>1258</v>
      </c>
      <c r="D108" s="45" t="s">
        <v>122</v>
      </c>
      <c r="E108" s="45" t="s">
        <v>60</v>
      </c>
      <c r="F108" s="45">
        <v>2100</v>
      </c>
      <c r="G108" s="45">
        <v>0.52</v>
      </c>
      <c r="H108" s="67">
        <f t="shared" si="4"/>
        <v>1092</v>
      </c>
      <c r="I108" s="45" t="s">
        <v>278</v>
      </c>
      <c r="J108" s="43"/>
      <c r="K108" s="43"/>
    </row>
    <row r="109" ht="14.25" spans="1:11">
      <c r="A109" s="44">
        <v>45796</v>
      </c>
      <c r="B109" s="45" t="s">
        <v>113</v>
      </c>
      <c r="C109" s="45" t="s">
        <v>1258</v>
      </c>
      <c r="D109" s="45" t="s">
        <v>59</v>
      </c>
      <c r="E109" s="45" t="s">
        <v>60</v>
      </c>
      <c r="F109" s="45">
        <v>20150</v>
      </c>
      <c r="G109" s="45">
        <v>0.43</v>
      </c>
      <c r="H109" s="67">
        <f t="shared" si="4"/>
        <v>8664.5</v>
      </c>
      <c r="I109" s="45" t="s">
        <v>570</v>
      </c>
      <c r="J109" s="43"/>
      <c r="K109" s="43"/>
    </row>
    <row r="110" ht="14.25" spans="1:11">
      <c r="A110" s="44">
        <v>45796</v>
      </c>
      <c r="B110" s="45" t="s">
        <v>113</v>
      </c>
      <c r="C110" s="45" t="s">
        <v>1258</v>
      </c>
      <c r="D110" s="45" t="s">
        <v>115</v>
      </c>
      <c r="E110" s="45" t="s">
        <v>60</v>
      </c>
      <c r="F110" s="45">
        <v>12120</v>
      </c>
      <c r="G110" s="45">
        <v>0.47</v>
      </c>
      <c r="H110" s="67">
        <f t="shared" si="4"/>
        <v>5696.4</v>
      </c>
      <c r="I110" s="45" t="s">
        <v>189</v>
      </c>
      <c r="J110" s="43"/>
      <c r="K110" s="43"/>
    </row>
    <row r="111" ht="14.25" spans="1:11">
      <c r="A111" s="44">
        <v>45796</v>
      </c>
      <c r="B111" s="45" t="s">
        <v>113</v>
      </c>
      <c r="C111" s="45" t="s">
        <v>1258</v>
      </c>
      <c r="D111" s="45" t="s">
        <v>196</v>
      </c>
      <c r="E111" s="45" t="s">
        <v>60</v>
      </c>
      <c r="F111" s="45">
        <v>240</v>
      </c>
      <c r="G111" s="45">
        <v>0.75</v>
      </c>
      <c r="H111" s="67">
        <f t="shared" si="4"/>
        <v>180</v>
      </c>
      <c r="I111" s="45" t="s">
        <v>56</v>
      </c>
      <c r="J111" s="43"/>
      <c r="K111" s="43"/>
    </row>
    <row r="112" ht="14.25" spans="1:11">
      <c r="A112" s="44">
        <v>45796</v>
      </c>
      <c r="B112" s="45" t="s">
        <v>113</v>
      </c>
      <c r="C112" s="45" t="s">
        <v>1259</v>
      </c>
      <c r="D112" s="45" t="s">
        <v>76</v>
      </c>
      <c r="E112" s="45" t="s">
        <v>123</v>
      </c>
      <c r="F112" s="45">
        <v>20080</v>
      </c>
      <c r="G112" s="45">
        <v>0.5</v>
      </c>
      <c r="H112" s="67">
        <f t="shared" si="4"/>
        <v>10040</v>
      </c>
      <c r="I112" s="45" t="s">
        <v>126</v>
      </c>
      <c r="J112" s="43"/>
      <c r="K112" s="43"/>
    </row>
    <row r="113" ht="14.25" spans="1:11">
      <c r="A113" s="41">
        <v>45798</v>
      </c>
      <c r="B113" s="43" t="s">
        <v>113</v>
      </c>
      <c r="C113" s="43" t="s">
        <v>1260</v>
      </c>
      <c r="D113" s="43" t="s">
        <v>1061</v>
      </c>
      <c r="E113" s="43" t="s">
        <v>62</v>
      </c>
      <c r="F113" s="43">
        <v>10</v>
      </c>
      <c r="G113" s="43">
        <v>0</v>
      </c>
      <c r="H113" s="69">
        <f t="shared" si="4"/>
        <v>0</v>
      </c>
      <c r="I113" s="43" t="s">
        <v>32</v>
      </c>
      <c r="J113" s="43"/>
      <c r="K113" s="43"/>
    </row>
    <row r="114" ht="14.25" spans="1:11">
      <c r="A114" s="44">
        <v>45799</v>
      </c>
      <c r="B114" s="45" t="s">
        <v>113</v>
      </c>
      <c r="C114" s="45" t="s">
        <v>1261</v>
      </c>
      <c r="D114" s="45" t="s">
        <v>76</v>
      </c>
      <c r="E114" s="45" t="s">
        <v>1262</v>
      </c>
      <c r="F114" s="45">
        <v>4460</v>
      </c>
      <c r="G114" s="45">
        <v>0.48</v>
      </c>
      <c r="H114" s="67">
        <f t="shared" si="4"/>
        <v>2140.8</v>
      </c>
      <c r="I114" s="45" t="s">
        <v>126</v>
      </c>
      <c r="J114" s="43"/>
      <c r="K114" s="43"/>
    </row>
    <row r="115" ht="14.25" spans="1:11">
      <c r="A115" s="44">
        <v>45799</v>
      </c>
      <c r="B115" s="45" t="s">
        <v>113</v>
      </c>
      <c r="C115" s="45" t="s">
        <v>1261</v>
      </c>
      <c r="D115" s="45" t="s">
        <v>59</v>
      </c>
      <c r="E115" s="45" t="s">
        <v>339</v>
      </c>
      <c r="F115" s="45">
        <v>105</v>
      </c>
      <c r="G115" s="45">
        <v>0.48</v>
      </c>
      <c r="H115" s="67">
        <f t="shared" si="4"/>
        <v>50.4</v>
      </c>
      <c r="I115" s="45" t="s">
        <v>982</v>
      </c>
      <c r="J115" s="43"/>
      <c r="K115" s="43"/>
    </row>
    <row r="116" ht="14.25" spans="1:11">
      <c r="A116" s="44">
        <v>45801</v>
      </c>
      <c r="B116" s="45" t="s">
        <v>113</v>
      </c>
      <c r="C116" s="45" t="s">
        <v>1263</v>
      </c>
      <c r="D116" s="45" t="s">
        <v>76</v>
      </c>
      <c r="E116" s="45" t="s">
        <v>123</v>
      </c>
      <c r="F116" s="45">
        <v>20100</v>
      </c>
      <c r="G116" s="45">
        <v>0.48</v>
      </c>
      <c r="H116" s="67">
        <f t="shared" si="4"/>
        <v>9648</v>
      </c>
      <c r="I116" s="45" t="s">
        <v>126</v>
      </c>
      <c r="J116" s="43"/>
      <c r="K116" s="43"/>
    </row>
    <row r="117" ht="14.25" spans="1:11">
      <c r="A117" s="41">
        <v>45801</v>
      </c>
      <c r="B117" s="43" t="s">
        <v>113</v>
      </c>
      <c r="C117" s="43" t="s">
        <v>1263</v>
      </c>
      <c r="D117" s="43" t="s">
        <v>130</v>
      </c>
      <c r="E117" s="43" t="s">
        <v>1255</v>
      </c>
      <c r="F117" s="43">
        <v>16</v>
      </c>
      <c r="G117" s="43">
        <v>0</v>
      </c>
      <c r="H117" s="69">
        <f t="shared" si="4"/>
        <v>0</v>
      </c>
      <c r="I117" s="43" t="s">
        <v>32</v>
      </c>
      <c r="J117" s="43"/>
      <c r="K117" s="43"/>
    </row>
    <row r="118" ht="14.25" spans="1:11">
      <c r="A118" s="41">
        <v>45801</v>
      </c>
      <c r="B118" s="43" t="s">
        <v>113</v>
      </c>
      <c r="C118" s="43" t="s">
        <v>1263</v>
      </c>
      <c r="D118" s="43" t="s">
        <v>59</v>
      </c>
      <c r="E118" s="43" t="s">
        <v>62</v>
      </c>
      <c r="F118" s="43">
        <v>20</v>
      </c>
      <c r="G118" s="43">
        <v>0</v>
      </c>
      <c r="H118" s="69">
        <f t="shared" si="4"/>
        <v>0</v>
      </c>
      <c r="I118" s="43" t="s">
        <v>32</v>
      </c>
      <c r="J118" s="43"/>
      <c r="K118" s="43"/>
    </row>
    <row r="119" ht="14.25" spans="1:11">
      <c r="A119" s="41">
        <v>45801</v>
      </c>
      <c r="B119" s="43" t="s">
        <v>113</v>
      </c>
      <c r="C119" s="43" t="s">
        <v>1263</v>
      </c>
      <c r="D119" s="43" t="s">
        <v>122</v>
      </c>
      <c r="E119" s="43" t="s">
        <v>60</v>
      </c>
      <c r="F119" s="43">
        <v>20</v>
      </c>
      <c r="G119" s="43">
        <v>0</v>
      </c>
      <c r="H119" s="69">
        <f t="shared" si="4"/>
        <v>0</v>
      </c>
      <c r="I119" s="43" t="s">
        <v>32</v>
      </c>
      <c r="J119" s="43"/>
      <c r="K119" s="43"/>
    </row>
    <row r="120" ht="14.25" spans="1:11">
      <c r="A120" s="44">
        <v>45802</v>
      </c>
      <c r="B120" s="45" t="s">
        <v>113</v>
      </c>
      <c r="C120" s="45" t="s">
        <v>1264</v>
      </c>
      <c r="D120" s="45" t="s">
        <v>76</v>
      </c>
      <c r="E120" s="45" t="s">
        <v>60</v>
      </c>
      <c r="F120" s="45">
        <v>8010</v>
      </c>
      <c r="G120" s="45">
        <v>0.5</v>
      </c>
      <c r="H120" s="67">
        <f t="shared" si="4"/>
        <v>4005</v>
      </c>
      <c r="I120" s="45" t="s">
        <v>644</v>
      </c>
      <c r="J120" s="43"/>
      <c r="K120" s="43"/>
    </row>
    <row r="121" ht="14.25" spans="1:11">
      <c r="A121" s="44">
        <v>45802</v>
      </c>
      <c r="B121" s="45" t="s">
        <v>113</v>
      </c>
      <c r="C121" s="45" t="s">
        <v>1264</v>
      </c>
      <c r="D121" s="45" t="s">
        <v>130</v>
      </c>
      <c r="E121" s="45" t="s">
        <v>123</v>
      </c>
      <c r="F121" s="45">
        <v>3660</v>
      </c>
      <c r="G121" s="45">
        <v>0.5</v>
      </c>
      <c r="H121" s="67">
        <f t="shared" si="4"/>
        <v>1830</v>
      </c>
      <c r="I121" s="45" t="s">
        <v>644</v>
      </c>
      <c r="J121" s="43"/>
      <c r="K121" s="43"/>
    </row>
    <row r="122" ht="14.25" spans="1:11">
      <c r="A122" s="44">
        <v>45802</v>
      </c>
      <c r="B122" s="45" t="s">
        <v>113</v>
      </c>
      <c r="C122" s="45" t="s">
        <v>1264</v>
      </c>
      <c r="D122" s="45" t="s">
        <v>617</v>
      </c>
      <c r="E122" s="45" t="s">
        <v>60</v>
      </c>
      <c r="F122" s="45">
        <v>10220</v>
      </c>
      <c r="G122" s="45">
        <v>0.5</v>
      </c>
      <c r="H122" s="67">
        <f t="shared" si="4"/>
        <v>5110</v>
      </c>
      <c r="I122" s="45" t="s">
        <v>100</v>
      </c>
      <c r="J122" s="43"/>
      <c r="K122" s="43"/>
    </row>
    <row r="123" ht="14.25" spans="1:11">
      <c r="A123" s="44">
        <v>45802</v>
      </c>
      <c r="B123" s="45" t="s">
        <v>113</v>
      </c>
      <c r="C123" s="45" t="s">
        <v>1264</v>
      </c>
      <c r="D123" s="45" t="s">
        <v>59</v>
      </c>
      <c r="E123" s="45" t="s">
        <v>127</v>
      </c>
      <c r="F123" s="45">
        <v>4050</v>
      </c>
      <c r="G123" s="45">
        <v>0.48</v>
      </c>
      <c r="H123" s="67">
        <f t="shared" si="4"/>
        <v>1944</v>
      </c>
      <c r="I123" s="45" t="s">
        <v>35</v>
      </c>
      <c r="J123" s="43"/>
      <c r="K123" s="43"/>
    </row>
    <row r="124" ht="14.25" spans="1:11">
      <c r="A124" s="44">
        <v>45802</v>
      </c>
      <c r="B124" s="45" t="s">
        <v>113</v>
      </c>
      <c r="C124" s="45" t="s">
        <v>1264</v>
      </c>
      <c r="D124" s="45" t="s">
        <v>130</v>
      </c>
      <c r="E124" s="45" t="s">
        <v>60</v>
      </c>
      <c r="F124" s="45">
        <v>20020</v>
      </c>
      <c r="G124" s="45">
        <v>0.45</v>
      </c>
      <c r="H124" s="67">
        <f t="shared" si="4"/>
        <v>9009</v>
      </c>
      <c r="I124" s="45" t="s">
        <v>189</v>
      </c>
      <c r="J124" s="43"/>
      <c r="K124" s="43"/>
    </row>
    <row r="125" ht="14.25" spans="1:11">
      <c r="A125" s="44">
        <v>45802</v>
      </c>
      <c r="B125" s="45" t="s">
        <v>113</v>
      </c>
      <c r="C125" s="45" t="s">
        <v>1264</v>
      </c>
      <c r="D125" s="45" t="s">
        <v>115</v>
      </c>
      <c r="E125" s="45" t="s">
        <v>1265</v>
      </c>
      <c r="F125" s="45">
        <v>20000</v>
      </c>
      <c r="G125" s="45">
        <v>0.47</v>
      </c>
      <c r="H125" s="67">
        <f t="shared" si="4"/>
        <v>9400</v>
      </c>
      <c r="I125" s="45" t="s">
        <v>189</v>
      </c>
      <c r="J125" s="43"/>
      <c r="K125" s="43"/>
    </row>
    <row r="126" ht="14.25" spans="1:11">
      <c r="A126" s="44">
        <v>45802</v>
      </c>
      <c r="B126" s="45" t="s">
        <v>113</v>
      </c>
      <c r="C126" s="45" t="s">
        <v>1264</v>
      </c>
      <c r="D126" s="45" t="s">
        <v>76</v>
      </c>
      <c r="E126" s="45" t="s">
        <v>207</v>
      </c>
      <c r="F126" s="45">
        <v>4480</v>
      </c>
      <c r="G126" s="45">
        <v>0.5</v>
      </c>
      <c r="H126" s="67">
        <f t="shared" si="4"/>
        <v>2240</v>
      </c>
      <c r="I126" s="45" t="s">
        <v>340</v>
      </c>
      <c r="J126" s="43"/>
      <c r="K126" s="43"/>
    </row>
    <row r="127" ht="14.25" spans="1:11">
      <c r="A127" s="41">
        <v>45805</v>
      </c>
      <c r="B127" s="43" t="s">
        <v>113</v>
      </c>
      <c r="C127" s="43" t="s">
        <v>1266</v>
      </c>
      <c r="D127" s="43" t="s">
        <v>1061</v>
      </c>
      <c r="E127" s="43" t="s">
        <v>62</v>
      </c>
      <c r="F127" s="45">
        <v>4030</v>
      </c>
      <c r="G127" s="45">
        <v>0.6</v>
      </c>
      <c r="H127" s="69">
        <f t="shared" si="4"/>
        <v>2418</v>
      </c>
      <c r="I127" s="43" t="s">
        <v>982</v>
      </c>
      <c r="J127" s="43"/>
      <c r="K127" s="43"/>
    </row>
    <row r="128" ht="14.25" spans="1:11">
      <c r="A128" s="41">
        <v>45805</v>
      </c>
      <c r="B128" s="43" t="s">
        <v>113</v>
      </c>
      <c r="C128" s="43" t="s">
        <v>1266</v>
      </c>
      <c r="D128" s="43" t="s">
        <v>1061</v>
      </c>
      <c r="E128" s="43" t="s">
        <v>62</v>
      </c>
      <c r="F128" s="45">
        <v>6110</v>
      </c>
      <c r="G128" s="45">
        <v>0.6</v>
      </c>
      <c r="H128" s="69">
        <f t="shared" si="4"/>
        <v>3666</v>
      </c>
      <c r="I128" s="43" t="s">
        <v>982</v>
      </c>
      <c r="J128" s="43"/>
      <c r="K128" s="43"/>
    </row>
    <row r="129" ht="14.25" spans="1:11">
      <c r="A129" s="41">
        <v>45805</v>
      </c>
      <c r="B129" s="43" t="s">
        <v>113</v>
      </c>
      <c r="C129" s="43" t="s">
        <v>1266</v>
      </c>
      <c r="D129" s="43" t="s">
        <v>115</v>
      </c>
      <c r="E129" s="43" t="s">
        <v>1267</v>
      </c>
      <c r="F129" s="45">
        <v>6130</v>
      </c>
      <c r="G129" s="45">
        <v>0.55</v>
      </c>
      <c r="H129" s="69">
        <f t="shared" si="4"/>
        <v>3371.5</v>
      </c>
      <c r="I129" s="43" t="s">
        <v>1241</v>
      </c>
      <c r="J129" s="43" t="s">
        <v>90</v>
      </c>
      <c r="K129" s="43">
        <v>0.72</v>
      </c>
    </row>
    <row r="130" ht="14.25" spans="1:11">
      <c r="A130" s="41">
        <v>45805</v>
      </c>
      <c r="B130" s="43" t="s">
        <v>113</v>
      </c>
      <c r="C130" s="43" t="s">
        <v>1266</v>
      </c>
      <c r="D130" s="43" t="s">
        <v>122</v>
      </c>
      <c r="E130" s="43" t="s">
        <v>365</v>
      </c>
      <c r="F130" s="45">
        <v>2005</v>
      </c>
      <c r="G130" s="45">
        <v>0.6</v>
      </c>
      <c r="H130" s="69">
        <f t="shared" si="4"/>
        <v>1203</v>
      </c>
      <c r="I130" s="43" t="s">
        <v>166</v>
      </c>
      <c r="J130" s="43" t="s">
        <v>90</v>
      </c>
      <c r="K130" s="43">
        <v>0.76</v>
      </c>
    </row>
    <row r="131" ht="14.25" spans="1:11">
      <c r="A131" s="41">
        <v>45805</v>
      </c>
      <c r="B131" s="43" t="s">
        <v>113</v>
      </c>
      <c r="C131" s="43" t="s">
        <v>1268</v>
      </c>
      <c r="D131" s="43" t="s">
        <v>130</v>
      </c>
      <c r="E131" s="43" t="s">
        <v>60</v>
      </c>
      <c r="F131" s="45">
        <v>300</v>
      </c>
      <c r="G131" s="45">
        <v>0.4</v>
      </c>
      <c r="H131" s="69">
        <f t="shared" si="4"/>
        <v>120</v>
      </c>
      <c r="I131" s="43" t="s">
        <v>982</v>
      </c>
      <c r="J131" s="43"/>
      <c r="K131" s="43"/>
    </row>
    <row r="132" ht="14.25" spans="1:11">
      <c r="A132" s="41">
        <v>45806</v>
      </c>
      <c r="B132" s="43" t="s">
        <v>113</v>
      </c>
      <c r="C132" s="43" t="s">
        <v>1269</v>
      </c>
      <c r="D132" s="43" t="s">
        <v>122</v>
      </c>
      <c r="E132" s="43" t="s">
        <v>62</v>
      </c>
      <c r="F132" s="45">
        <v>310</v>
      </c>
      <c r="G132" s="45">
        <v>0.52</v>
      </c>
      <c r="H132" s="69">
        <f t="shared" si="4"/>
        <v>161.2</v>
      </c>
      <c r="I132" s="43" t="s">
        <v>35</v>
      </c>
      <c r="J132" s="43"/>
      <c r="K132" s="43"/>
    </row>
    <row r="133" ht="14.25" spans="1:11">
      <c r="A133" s="41">
        <v>45806</v>
      </c>
      <c r="B133" s="43" t="s">
        <v>113</v>
      </c>
      <c r="C133" s="43" t="s">
        <v>1269</v>
      </c>
      <c r="D133" s="43" t="s">
        <v>130</v>
      </c>
      <c r="E133" s="43" t="s">
        <v>60</v>
      </c>
      <c r="F133" s="45">
        <v>280</v>
      </c>
      <c r="G133" s="45">
        <v>0.4</v>
      </c>
      <c r="H133" s="69">
        <f t="shared" si="4"/>
        <v>112</v>
      </c>
      <c r="I133" s="43" t="s">
        <v>982</v>
      </c>
      <c r="J133" s="43"/>
      <c r="K133" s="43"/>
    </row>
    <row r="134" ht="14.25" spans="1:11">
      <c r="A134" s="41">
        <v>45807</v>
      </c>
      <c r="B134" s="43" t="s">
        <v>113</v>
      </c>
      <c r="C134" s="43" t="s">
        <v>1270</v>
      </c>
      <c r="D134" s="43" t="s">
        <v>76</v>
      </c>
      <c r="E134" s="43" t="s">
        <v>116</v>
      </c>
      <c r="F134" s="45">
        <v>4110</v>
      </c>
      <c r="G134" s="45">
        <v>0.46</v>
      </c>
      <c r="H134" s="69">
        <f t="shared" si="4"/>
        <v>1890.6</v>
      </c>
      <c r="I134" s="43" t="s">
        <v>340</v>
      </c>
      <c r="J134" s="43"/>
      <c r="K134" s="43"/>
    </row>
    <row r="135" ht="14.25" spans="1:11">
      <c r="A135" s="41">
        <v>45808</v>
      </c>
      <c r="B135" s="43" t="s">
        <v>113</v>
      </c>
      <c r="C135" s="43" t="s">
        <v>1271</v>
      </c>
      <c r="D135" s="43" t="s">
        <v>76</v>
      </c>
      <c r="E135" s="43" t="s">
        <v>62</v>
      </c>
      <c r="F135" s="43">
        <v>20</v>
      </c>
      <c r="G135" s="43">
        <v>0</v>
      </c>
      <c r="H135" s="69">
        <f t="shared" si="4"/>
        <v>0</v>
      </c>
      <c r="I135" s="43" t="s">
        <v>32</v>
      </c>
      <c r="J135" s="43"/>
      <c r="K135" s="43"/>
    </row>
    <row r="136" ht="14.25" spans="1:11">
      <c r="A136" s="41">
        <v>45808</v>
      </c>
      <c r="B136" s="43" t="s">
        <v>113</v>
      </c>
      <c r="C136" s="43" t="s">
        <v>1272</v>
      </c>
      <c r="D136" s="43" t="s">
        <v>59</v>
      </c>
      <c r="E136" s="43" t="s">
        <v>60</v>
      </c>
      <c r="F136" s="43">
        <v>8</v>
      </c>
      <c r="G136" s="43">
        <v>0</v>
      </c>
      <c r="H136" s="69">
        <f t="shared" si="4"/>
        <v>0</v>
      </c>
      <c r="I136" s="43" t="s">
        <v>32</v>
      </c>
      <c r="J136" s="43"/>
      <c r="K136" s="43"/>
    </row>
    <row r="137" ht="14.25" spans="1:11">
      <c r="A137" s="41">
        <v>45808</v>
      </c>
      <c r="B137" s="43" t="s">
        <v>113</v>
      </c>
      <c r="C137" s="43" t="s">
        <v>1272</v>
      </c>
      <c r="D137" s="43" t="s">
        <v>59</v>
      </c>
      <c r="E137" s="43" t="s">
        <v>60</v>
      </c>
      <c r="F137" s="43">
        <v>7</v>
      </c>
      <c r="G137" s="43">
        <v>0</v>
      </c>
      <c r="H137" s="69">
        <f t="shared" si="4"/>
        <v>0</v>
      </c>
      <c r="I137" s="43" t="s">
        <v>32</v>
      </c>
      <c r="J137" s="43"/>
      <c r="K137" s="43"/>
    </row>
    <row r="138" s="35" customFormat="1" ht="14.25" spans="1:11">
      <c r="A138" s="44">
        <v>45782</v>
      </c>
      <c r="B138" s="45" t="s">
        <v>121</v>
      </c>
      <c r="C138" s="45"/>
      <c r="D138" s="45" t="s">
        <v>757</v>
      </c>
      <c r="E138" s="45" t="s">
        <v>99</v>
      </c>
      <c r="F138" s="45">
        <v>5000</v>
      </c>
      <c r="G138" s="45">
        <v>1.35</v>
      </c>
      <c r="H138" s="67">
        <f t="shared" si="4"/>
        <v>6750</v>
      </c>
      <c r="I138" s="45" t="s">
        <v>570</v>
      </c>
      <c r="J138" s="45"/>
      <c r="K138" s="45"/>
    </row>
    <row r="139" s="35" customFormat="1" ht="14.25" spans="1:11">
      <c r="A139" s="44">
        <v>45784</v>
      </c>
      <c r="B139" s="45" t="s">
        <v>121</v>
      </c>
      <c r="C139" s="45"/>
      <c r="D139" s="45" t="s">
        <v>59</v>
      </c>
      <c r="E139" s="45" t="s">
        <v>123</v>
      </c>
      <c r="F139" s="45">
        <v>203</v>
      </c>
      <c r="G139" s="45">
        <v>0.54</v>
      </c>
      <c r="H139" s="67">
        <f t="shared" si="4"/>
        <v>109.62</v>
      </c>
      <c r="I139" s="45" t="s">
        <v>982</v>
      </c>
      <c r="J139" s="45"/>
      <c r="K139" s="45"/>
    </row>
    <row r="140" s="35" customFormat="1" ht="14.25" spans="1:11">
      <c r="A140" s="44">
        <v>45785</v>
      </c>
      <c r="B140" s="45" t="s">
        <v>121</v>
      </c>
      <c r="C140" s="45"/>
      <c r="D140" s="45" t="s">
        <v>130</v>
      </c>
      <c r="E140" s="45" t="s">
        <v>60</v>
      </c>
      <c r="F140" s="45">
        <v>15057</v>
      </c>
      <c r="G140" s="45">
        <v>0.46</v>
      </c>
      <c r="H140" s="67">
        <f t="shared" si="4"/>
        <v>6926.22</v>
      </c>
      <c r="I140" s="45" t="s">
        <v>982</v>
      </c>
      <c r="J140" s="45"/>
      <c r="K140" s="45"/>
    </row>
    <row r="141" s="35" customFormat="1" ht="14.25" spans="1:11">
      <c r="A141" s="44">
        <v>45786</v>
      </c>
      <c r="B141" s="45" t="s">
        <v>121</v>
      </c>
      <c r="C141" s="45"/>
      <c r="D141" s="45" t="s">
        <v>757</v>
      </c>
      <c r="E141" s="45" t="s">
        <v>99</v>
      </c>
      <c r="F141" s="45">
        <v>8080</v>
      </c>
      <c r="G141" s="45">
        <v>1.35</v>
      </c>
      <c r="H141" s="67">
        <f t="shared" si="4"/>
        <v>10908</v>
      </c>
      <c r="I141" s="45" t="s">
        <v>570</v>
      </c>
      <c r="J141" s="45"/>
      <c r="K141" s="45"/>
    </row>
    <row r="142" s="35" customFormat="1" ht="14.25" spans="1:11">
      <c r="A142" s="44">
        <v>45789</v>
      </c>
      <c r="B142" s="45" t="s">
        <v>121</v>
      </c>
      <c r="C142" s="45"/>
      <c r="D142" s="45" t="s">
        <v>122</v>
      </c>
      <c r="E142" s="45" t="s">
        <v>62</v>
      </c>
      <c r="F142" s="45">
        <v>61302</v>
      </c>
      <c r="G142" s="45">
        <v>0.53</v>
      </c>
      <c r="H142" s="67">
        <f t="shared" ref="H142:H150" si="5">F142*G142</f>
        <v>32490.06</v>
      </c>
      <c r="I142" s="45" t="s">
        <v>125</v>
      </c>
      <c r="J142" s="45"/>
      <c r="K142" s="45"/>
    </row>
    <row r="143" s="35" customFormat="1" ht="14.25" spans="1:11">
      <c r="A143" s="44">
        <v>45789</v>
      </c>
      <c r="B143" s="45" t="s">
        <v>121</v>
      </c>
      <c r="C143" s="45"/>
      <c r="D143" s="45" t="s">
        <v>122</v>
      </c>
      <c r="E143" s="45" t="s">
        <v>127</v>
      </c>
      <c r="F143" s="45">
        <v>8010</v>
      </c>
      <c r="G143" s="45">
        <v>0.58</v>
      </c>
      <c r="H143" s="67">
        <f t="shared" si="5"/>
        <v>4645.8</v>
      </c>
      <c r="I143" s="45" t="s">
        <v>984</v>
      </c>
      <c r="J143" s="45"/>
      <c r="K143" s="45"/>
    </row>
    <row r="144" s="35" customFormat="1" ht="14.25" spans="1:11">
      <c r="A144" s="44">
        <v>45789</v>
      </c>
      <c r="B144" s="45" t="s">
        <v>121</v>
      </c>
      <c r="C144" s="45"/>
      <c r="D144" s="45" t="s">
        <v>59</v>
      </c>
      <c r="E144" s="45" t="s">
        <v>123</v>
      </c>
      <c r="F144" s="45">
        <v>646</v>
      </c>
      <c r="G144" s="45">
        <v>0.54</v>
      </c>
      <c r="H144" s="67">
        <f t="shared" si="5"/>
        <v>348.84</v>
      </c>
      <c r="I144" s="45" t="s">
        <v>982</v>
      </c>
      <c r="J144" s="45"/>
      <c r="K144" s="45"/>
    </row>
    <row r="145" s="35" customFormat="1" ht="14.25" spans="1:11">
      <c r="A145" s="44">
        <v>45789</v>
      </c>
      <c r="B145" s="45" t="s">
        <v>121</v>
      </c>
      <c r="C145" s="45"/>
      <c r="D145" s="45" t="s">
        <v>122</v>
      </c>
      <c r="E145" s="45" t="s">
        <v>365</v>
      </c>
      <c r="F145" s="45">
        <v>2122</v>
      </c>
      <c r="G145" s="45">
        <v>0.6</v>
      </c>
      <c r="H145" s="67">
        <f t="shared" si="5"/>
        <v>1273.2</v>
      </c>
      <c r="I145" s="45" t="s">
        <v>166</v>
      </c>
      <c r="J145" s="45" t="s">
        <v>90</v>
      </c>
      <c r="K145" s="45">
        <v>0.85</v>
      </c>
    </row>
    <row r="146" s="35" customFormat="1" ht="14.25" spans="1:11">
      <c r="A146" s="44">
        <v>45790</v>
      </c>
      <c r="B146" s="45" t="s">
        <v>121</v>
      </c>
      <c r="C146" s="45"/>
      <c r="D146" s="45" t="s">
        <v>757</v>
      </c>
      <c r="E146" s="45" t="s">
        <v>99</v>
      </c>
      <c r="F146" s="45">
        <v>3005</v>
      </c>
      <c r="G146" s="45">
        <v>1.35</v>
      </c>
      <c r="H146" s="67">
        <f t="shared" si="5"/>
        <v>4056.75</v>
      </c>
      <c r="I146" s="45" t="s">
        <v>570</v>
      </c>
      <c r="J146" s="45"/>
      <c r="K146" s="45"/>
    </row>
    <row r="147" s="35" customFormat="1" ht="14.25" spans="1:11">
      <c r="A147" s="44">
        <v>45792</v>
      </c>
      <c r="B147" s="45" t="s">
        <v>121</v>
      </c>
      <c r="C147" s="45"/>
      <c r="D147" s="45" t="s">
        <v>115</v>
      </c>
      <c r="E147" s="45" t="s">
        <v>123</v>
      </c>
      <c r="F147" s="45">
        <v>348</v>
      </c>
      <c r="G147" s="45">
        <v>0.53</v>
      </c>
      <c r="H147" s="67">
        <f t="shared" si="5"/>
        <v>184.44</v>
      </c>
      <c r="I147" s="45" t="s">
        <v>63</v>
      </c>
      <c r="J147" s="45"/>
      <c r="K147" s="45"/>
    </row>
    <row r="148" s="35" customFormat="1" ht="14.25" spans="1:11">
      <c r="A148" s="44">
        <v>45793</v>
      </c>
      <c r="B148" s="45" t="s">
        <v>121</v>
      </c>
      <c r="C148" s="45"/>
      <c r="D148" s="45" t="s">
        <v>762</v>
      </c>
      <c r="E148" s="45" t="s">
        <v>99</v>
      </c>
      <c r="F148" s="45">
        <v>5005</v>
      </c>
      <c r="G148" s="45">
        <v>1.35</v>
      </c>
      <c r="H148" s="67">
        <f t="shared" si="5"/>
        <v>6756.75</v>
      </c>
      <c r="I148" s="45" t="s">
        <v>570</v>
      </c>
      <c r="J148" s="45"/>
      <c r="K148" s="45"/>
    </row>
    <row r="149" s="35" customFormat="1" ht="14.25" spans="1:11">
      <c r="A149" s="44">
        <v>45794</v>
      </c>
      <c r="B149" s="45" t="s">
        <v>121</v>
      </c>
      <c r="C149" s="45"/>
      <c r="D149" s="45" t="s">
        <v>130</v>
      </c>
      <c r="E149" s="45" t="s">
        <v>365</v>
      </c>
      <c r="F149" s="45">
        <v>4953</v>
      </c>
      <c r="G149" s="45">
        <v>0.56</v>
      </c>
      <c r="H149" s="67">
        <f t="shared" si="5"/>
        <v>2773.68</v>
      </c>
      <c r="I149" s="45" t="s">
        <v>149</v>
      </c>
      <c r="J149" s="45" t="s">
        <v>367</v>
      </c>
      <c r="K149" s="45">
        <v>0.72</v>
      </c>
    </row>
    <row r="150" s="35" customFormat="1" ht="14.25" spans="1:11">
      <c r="A150" s="44">
        <v>45795</v>
      </c>
      <c r="B150" s="45" t="s">
        <v>121</v>
      </c>
      <c r="C150" s="45"/>
      <c r="D150" s="45" t="s">
        <v>122</v>
      </c>
      <c r="E150" s="45" t="s">
        <v>124</v>
      </c>
      <c r="F150" s="45">
        <v>6396</v>
      </c>
      <c r="G150" s="45">
        <v>0.54</v>
      </c>
      <c r="H150" s="67">
        <f t="shared" si="5"/>
        <v>3453.84</v>
      </c>
      <c r="I150" s="45" t="s">
        <v>761</v>
      </c>
      <c r="J150" s="45"/>
      <c r="K150" s="45"/>
    </row>
    <row r="151" s="35" customFormat="1" ht="14.25" spans="1:11">
      <c r="A151" s="44">
        <v>45798</v>
      </c>
      <c r="B151" s="45" t="s">
        <v>121</v>
      </c>
      <c r="C151" s="45"/>
      <c r="D151" s="45" t="s">
        <v>122</v>
      </c>
      <c r="E151" s="45" t="s">
        <v>124</v>
      </c>
      <c r="F151" s="45">
        <v>5896</v>
      </c>
      <c r="G151" s="45">
        <v>0.54</v>
      </c>
      <c r="H151" s="67">
        <f t="shared" ref="H151:H164" si="6">F151*G151</f>
        <v>3183.84</v>
      </c>
      <c r="I151" s="45" t="s">
        <v>117</v>
      </c>
      <c r="J151" s="45"/>
      <c r="K151" s="45"/>
    </row>
    <row r="152" s="35" customFormat="1" ht="14.25" spans="1:11">
      <c r="A152" s="44">
        <v>45799</v>
      </c>
      <c r="B152" s="45" t="s">
        <v>121</v>
      </c>
      <c r="C152" s="45"/>
      <c r="D152" s="45" t="s">
        <v>70</v>
      </c>
      <c r="E152" s="45" t="s">
        <v>136</v>
      </c>
      <c r="F152" s="45">
        <v>20000</v>
      </c>
      <c r="G152" s="45">
        <v>0.57</v>
      </c>
      <c r="H152" s="67">
        <f t="shared" si="6"/>
        <v>11400</v>
      </c>
      <c r="I152" s="45" t="s">
        <v>45</v>
      </c>
      <c r="J152" s="45"/>
      <c r="K152" s="45"/>
    </row>
    <row r="153" ht="14.25" spans="1:11">
      <c r="A153" s="41">
        <v>45803</v>
      </c>
      <c r="B153" s="43" t="s">
        <v>121</v>
      </c>
      <c r="C153" s="43"/>
      <c r="D153" s="43" t="s">
        <v>70</v>
      </c>
      <c r="E153" s="43" t="s">
        <v>136</v>
      </c>
      <c r="F153" s="43">
        <v>37500</v>
      </c>
      <c r="G153" s="43">
        <v>0.57</v>
      </c>
      <c r="H153" s="69">
        <f t="shared" si="6"/>
        <v>21375</v>
      </c>
      <c r="I153" s="43" t="s">
        <v>45</v>
      </c>
      <c r="J153" s="43"/>
      <c r="K153" s="43"/>
    </row>
    <row r="154" ht="14.25" spans="1:11">
      <c r="A154" s="41">
        <v>45805</v>
      </c>
      <c r="B154" s="43" t="s">
        <v>121</v>
      </c>
      <c r="C154" s="43"/>
      <c r="D154" s="43" t="s">
        <v>70</v>
      </c>
      <c r="E154" s="43" t="s">
        <v>136</v>
      </c>
      <c r="F154" s="43">
        <v>32358</v>
      </c>
      <c r="G154" s="43">
        <v>0.57</v>
      </c>
      <c r="H154" s="69">
        <f t="shared" si="6"/>
        <v>18444.06</v>
      </c>
      <c r="I154" s="43" t="s">
        <v>45</v>
      </c>
      <c r="J154" s="43"/>
      <c r="K154" s="43"/>
    </row>
    <row r="155" ht="14.25" spans="1:11">
      <c r="A155" s="41">
        <v>45805</v>
      </c>
      <c r="B155" s="43" t="s">
        <v>121</v>
      </c>
      <c r="C155" s="43"/>
      <c r="D155" s="43" t="s">
        <v>122</v>
      </c>
      <c r="E155" s="43" t="s">
        <v>1273</v>
      </c>
      <c r="F155" s="43">
        <v>2925</v>
      </c>
      <c r="G155" s="43">
        <v>0.53</v>
      </c>
      <c r="H155" s="69">
        <f t="shared" si="6"/>
        <v>1550.25</v>
      </c>
      <c r="I155" s="43" t="s">
        <v>35</v>
      </c>
      <c r="J155" s="43"/>
      <c r="K155" s="43"/>
    </row>
    <row r="156" ht="14.25" spans="1:11">
      <c r="A156" s="41">
        <v>45805</v>
      </c>
      <c r="B156" s="43" t="s">
        <v>121</v>
      </c>
      <c r="C156" s="43"/>
      <c r="D156" s="43" t="s">
        <v>122</v>
      </c>
      <c r="E156" s="43" t="s">
        <v>1274</v>
      </c>
      <c r="F156" s="43">
        <v>6066</v>
      </c>
      <c r="G156" s="43">
        <v>0.54</v>
      </c>
      <c r="H156" s="69">
        <f t="shared" si="6"/>
        <v>3275.64</v>
      </c>
      <c r="I156" s="43" t="s">
        <v>117</v>
      </c>
      <c r="J156" s="43"/>
      <c r="K156" s="43"/>
    </row>
    <row r="157" ht="14.25" spans="1:11">
      <c r="A157" s="41">
        <v>45805</v>
      </c>
      <c r="B157" s="43" t="s">
        <v>121</v>
      </c>
      <c r="C157" s="43"/>
      <c r="D157" s="43" t="s">
        <v>122</v>
      </c>
      <c r="E157" s="43" t="s">
        <v>1275</v>
      </c>
      <c r="F157" s="43">
        <v>6072</v>
      </c>
      <c r="G157" s="43">
        <v>0.51</v>
      </c>
      <c r="H157" s="69">
        <f t="shared" si="6"/>
        <v>3096.72</v>
      </c>
      <c r="I157" s="43" t="s">
        <v>117</v>
      </c>
      <c r="J157" s="43"/>
      <c r="K157" s="43"/>
    </row>
    <row r="158" ht="14.25" spans="1:11">
      <c r="A158" s="41">
        <v>45805</v>
      </c>
      <c r="B158" s="43" t="s">
        <v>121</v>
      </c>
      <c r="C158" s="43"/>
      <c r="D158" s="43" t="s">
        <v>59</v>
      </c>
      <c r="E158" s="43" t="s">
        <v>867</v>
      </c>
      <c r="F158" s="43">
        <v>298</v>
      </c>
      <c r="G158" s="43">
        <v>0.49</v>
      </c>
      <c r="H158" s="69">
        <f t="shared" si="6"/>
        <v>146.02</v>
      </c>
      <c r="I158" s="43" t="s">
        <v>982</v>
      </c>
      <c r="J158" s="43"/>
      <c r="K158" s="43"/>
    </row>
    <row r="159" s="35" customFormat="1" ht="14.25" spans="1:11">
      <c r="A159" s="44">
        <v>45785</v>
      </c>
      <c r="B159" s="45" t="s">
        <v>138</v>
      </c>
      <c r="C159" s="45">
        <v>2025058</v>
      </c>
      <c r="D159" s="45" t="s">
        <v>290</v>
      </c>
      <c r="E159" s="45" t="s">
        <v>1276</v>
      </c>
      <c r="F159" s="45">
        <v>10000</v>
      </c>
      <c r="G159" s="45">
        <v>0.01</v>
      </c>
      <c r="H159" s="67">
        <f t="shared" si="6"/>
        <v>100</v>
      </c>
      <c r="I159" s="45" t="s">
        <v>45</v>
      </c>
      <c r="J159" s="45"/>
      <c r="K159" s="45"/>
    </row>
    <row r="160" s="35" customFormat="1" spans="1:11">
      <c r="A160" s="44">
        <v>45785</v>
      </c>
      <c r="B160" s="45" t="s">
        <v>138</v>
      </c>
      <c r="C160" s="45">
        <v>2025058</v>
      </c>
      <c r="D160" s="45" t="s">
        <v>183</v>
      </c>
      <c r="E160" s="45" t="s">
        <v>1277</v>
      </c>
      <c r="F160" s="45">
        <v>5000</v>
      </c>
      <c r="G160" s="45">
        <v>0.03</v>
      </c>
      <c r="H160" s="45">
        <f t="shared" si="6"/>
        <v>150</v>
      </c>
      <c r="I160" s="45" t="s">
        <v>45</v>
      </c>
      <c r="J160" s="45"/>
      <c r="K160" s="45"/>
    </row>
    <row r="161" s="35" customFormat="1" spans="1:11">
      <c r="A161" s="44">
        <v>45785</v>
      </c>
      <c r="B161" s="45" t="s">
        <v>138</v>
      </c>
      <c r="C161" s="45">
        <v>2025058</v>
      </c>
      <c r="D161" s="45" t="s">
        <v>395</v>
      </c>
      <c r="E161" s="45" t="s">
        <v>1278</v>
      </c>
      <c r="F161" s="45">
        <v>10500</v>
      </c>
      <c r="G161" s="45">
        <v>0.02</v>
      </c>
      <c r="H161" s="45">
        <f t="shared" si="6"/>
        <v>210</v>
      </c>
      <c r="I161" s="45" t="s">
        <v>45</v>
      </c>
      <c r="J161" s="45"/>
      <c r="K161" s="45"/>
    </row>
    <row r="162" s="35" customFormat="1" spans="1:11">
      <c r="A162" s="44">
        <v>45785</v>
      </c>
      <c r="B162" s="45" t="s">
        <v>138</v>
      </c>
      <c r="C162" s="45">
        <v>2025058</v>
      </c>
      <c r="D162" s="45" t="s">
        <v>1158</v>
      </c>
      <c r="E162" s="45" t="s">
        <v>1279</v>
      </c>
      <c r="F162" s="45">
        <v>10000</v>
      </c>
      <c r="G162" s="45">
        <v>0.02</v>
      </c>
      <c r="H162" s="45">
        <f t="shared" si="6"/>
        <v>200</v>
      </c>
      <c r="I162" s="45" t="s">
        <v>45</v>
      </c>
      <c r="J162" s="45"/>
      <c r="K162" s="45"/>
    </row>
    <row r="163" s="35" customFormat="1" spans="1:11">
      <c r="A163" s="44">
        <v>45785</v>
      </c>
      <c r="B163" s="45" t="s">
        <v>138</v>
      </c>
      <c r="C163" s="45">
        <v>2025058</v>
      </c>
      <c r="D163" s="45" t="s">
        <v>560</v>
      </c>
      <c r="E163" s="45" t="s">
        <v>1279</v>
      </c>
      <c r="F163" s="45">
        <v>26000</v>
      </c>
      <c r="G163" s="45">
        <v>0.01</v>
      </c>
      <c r="H163" s="45">
        <f t="shared" si="6"/>
        <v>260</v>
      </c>
      <c r="I163" s="45" t="s">
        <v>45</v>
      </c>
      <c r="J163" s="45"/>
      <c r="K163" s="45"/>
    </row>
    <row r="164" s="35" customFormat="1" spans="1:11">
      <c r="A164" s="44">
        <v>45785</v>
      </c>
      <c r="B164" s="45" t="s">
        <v>138</v>
      </c>
      <c r="C164" s="45">
        <v>2025058</v>
      </c>
      <c r="D164" s="45" t="s">
        <v>560</v>
      </c>
      <c r="E164" s="45" t="s">
        <v>140</v>
      </c>
      <c r="F164" s="45">
        <v>5000</v>
      </c>
      <c r="G164" s="45">
        <v>0.03</v>
      </c>
      <c r="H164" s="45">
        <f t="shared" si="6"/>
        <v>150</v>
      </c>
      <c r="I164" s="45" t="s">
        <v>45</v>
      </c>
      <c r="J164" s="45"/>
      <c r="K164" s="45"/>
    </row>
    <row r="165" s="35" customFormat="1" spans="1:11">
      <c r="A165" s="44">
        <v>45785</v>
      </c>
      <c r="B165" s="45" t="s">
        <v>138</v>
      </c>
      <c r="C165" s="45">
        <v>2025058</v>
      </c>
      <c r="D165" s="45" t="s">
        <v>18</v>
      </c>
      <c r="E165" s="45" t="s">
        <v>1279</v>
      </c>
      <c r="F165" s="45">
        <v>10000</v>
      </c>
      <c r="G165" s="45"/>
      <c r="H165" s="45">
        <v>150</v>
      </c>
      <c r="I165" s="45" t="s">
        <v>149</v>
      </c>
      <c r="J165" s="45"/>
      <c r="K165" s="45"/>
    </row>
    <row r="166" s="35" customFormat="1" spans="1:11">
      <c r="A166" s="44">
        <v>45785</v>
      </c>
      <c r="B166" s="45" t="s">
        <v>138</v>
      </c>
      <c r="C166" s="45">
        <v>2025058</v>
      </c>
      <c r="D166" s="45" t="s">
        <v>1280</v>
      </c>
      <c r="E166" s="45" t="s">
        <v>1281</v>
      </c>
      <c r="F166" s="45">
        <v>10000</v>
      </c>
      <c r="G166" s="45">
        <v>0.03</v>
      </c>
      <c r="H166" s="45">
        <f>F166*G166</f>
        <v>300</v>
      </c>
      <c r="I166" s="45" t="s">
        <v>45</v>
      </c>
      <c r="J166" s="45"/>
      <c r="K166" s="45"/>
    </row>
    <row r="167" s="35" customFormat="1" spans="1:11">
      <c r="A167" s="44">
        <v>45787</v>
      </c>
      <c r="B167" s="45" t="s">
        <v>138</v>
      </c>
      <c r="C167" s="45">
        <v>2025060</v>
      </c>
      <c r="D167" s="45" t="s">
        <v>201</v>
      </c>
      <c r="E167" s="45" t="s">
        <v>1282</v>
      </c>
      <c r="F167" s="45">
        <v>20000</v>
      </c>
      <c r="G167" s="45">
        <v>0.01</v>
      </c>
      <c r="H167" s="45">
        <f>F167*G167</f>
        <v>200</v>
      </c>
      <c r="I167" s="45" t="s">
        <v>433</v>
      </c>
      <c r="J167" s="45"/>
      <c r="K167" s="45"/>
    </row>
    <row r="168" spans="1:11">
      <c r="A168" s="44">
        <v>45790</v>
      </c>
      <c r="B168" s="45" t="s">
        <v>138</v>
      </c>
      <c r="C168" s="45">
        <v>2025061</v>
      </c>
      <c r="D168" s="45" t="s">
        <v>290</v>
      </c>
      <c r="E168" s="45" t="s">
        <v>1276</v>
      </c>
      <c r="F168" s="45">
        <v>45000</v>
      </c>
      <c r="G168" s="45">
        <v>0.01</v>
      </c>
      <c r="H168" s="45">
        <f>F168*G168</f>
        <v>450</v>
      </c>
      <c r="I168" s="45" t="s">
        <v>45</v>
      </c>
      <c r="J168" s="43"/>
      <c r="K168" s="43"/>
    </row>
    <row r="169" spans="1:11">
      <c r="A169" s="44">
        <v>45790</v>
      </c>
      <c r="B169" s="45" t="s">
        <v>138</v>
      </c>
      <c r="C169" s="45">
        <v>2025061</v>
      </c>
      <c r="D169" s="45" t="s">
        <v>1158</v>
      </c>
      <c r="E169" s="45" t="s">
        <v>556</v>
      </c>
      <c r="F169" s="45">
        <v>10000</v>
      </c>
      <c r="G169" s="45">
        <v>0.02</v>
      </c>
      <c r="H169" s="45">
        <f>F169*G169</f>
        <v>200</v>
      </c>
      <c r="I169" s="45" t="s">
        <v>45</v>
      </c>
      <c r="J169" s="43"/>
      <c r="K169" s="43"/>
    </row>
    <row r="170" spans="1:11">
      <c r="A170" s="44">
        <v>45790</v>
      </c>
      <c r="B170" s="45" t="s">
        <v>138</v>
      </c>
      <c r="C170" s="45">
        <v>2025061</v>
      </c>
      <c r="D170" s="45" t="s">
        <v>1158</v>
      </c>
      <c r="E170" s="45" t="s">
        <v>1283</v>
      </c>
      <c r="F170" s="45">
        <v>10000</v>
      </c>
      <c r="G170" s="45">
        <v>0.03</v>
      </c>
      <c r="H170" s="45">
        <f>F170*G170</f>
        <v>300</v>
      </c>
      <c r="I170" s="45" t="s">
        <v>45</v>
      </c>
      <c r="J170" s="43"/>
      <c r="K170" s="43"/>
    </row>
    <row r="171" s="35" customFormat="1" spans="1:11">
      <c r="A171" s="44">
        <v>45795</v>
      </c>
      <c r="B171" s="45" t="s">
        <v>138</v>
      </c>
      <c r="C171" s="45"/>
      <c r="D171" s="45" t="s">
        <v>586</v>
      </c>
      <c r="E171" s="45" t="s">
        <v>1284</v>
      </c>
      <c r="F171" s="45">
        <v>500</v>
      </c>
      <c r="G171" s="45"/>
      <c r="H171" s="45">
        <v>100</v>
      </c>
      <c r="I171" s="45" t="s">
        <v>587</v>
      </c>
      <c r="J171" s="45"/>
      <c r="K171" s="45"/>
    </row>
    <row r="172" s="35" customFormat="1" spans="1:11">
      <c r="A172" s="44">
        <v>45795</v>
      </c>
      <c r="B172" s="45" t="s">
        <v>138</v>
      </c>
      <c r="C172" s="45"/>
      <c r="D172" s="45" t="s">
        <v>1285</v>
      </c>
      <c r="E172" s="45" t="s">
        <v>1286</v>
      </c>
      <c r="F172" s="45">
        <v>4500</v>
      </c>
      <c r="G172" s="45"/>
      <c r="H172" s="45">
        <v>150</v>
      </c>
      <c r="I172" s="45" t="s">
        <v>63</v>
      </c>
      <c r="J172" s="45"/>
      <c r="K172" s="45"/>
    </row>
    <row r="173" spans="1:11">
      <c r="A173" s="44">
        <v>45799</v>
      </c>
      <c r="B173" s="45" t="s">
        <v>138</v>
      </c>
      <c r="C173" s="45">
        <v>20250522</v>
      </c>
      <c r="D173" s="45" t="s">
        <v>183</v>
      </c>
      <c r="E173" s="45" t="s">
        <v>1277</v>
      </c>
      <c r="F173" s="45">
        <v>7000</v>
      </c>
      <c r="G173" s="45"/>
      <c r="H173" s="45">
        <v>150</v>
      </c>
      <c r="I173" s="45" t="s">
        <v>45</v>
      </c>
      <c r="J173" s="43"/>
      <c r="K173" s="43"/>
    </row>
    <row r="174" spans="1:11">
      <c r="A174" s="44">
        <v>45799</v>
      </c>
      <c r="B174" s="45" t="s">
        <v>138</v>
      </c>
      <c r="C174" s="45">
        <v>20250522</v>
      </c>
      <c r="D174" s="45" t="s">
        <v>1158</v>
      </c>
      <c r="E174" s="45" t="s">
        <v>1283</v>
      </c>
      <c r="F174" s="45">
        <v>10000</v>
      </c>
      <c r="G174" s="45">
        <v>0.03</v>
      </c>
      <c r="H174" s="45">
        <f t="shared" ref="H174:H179" si="7">F174*G174</f>
        <v>300</v>
      </c>
      <c r="I174" s="45" t="s">
        <v>45</v>
      </c>
      <c r="J174" s="43"/>
      <c r="K174" s="43"/>
    </row>
    <row r="175" spans="1:11">
      <c r="A175" s="44">
        <v>45799</v>
      </c>
      <c r="B175" s="45" t="s">
        <v>138</v>
      </c>
      <c r="C175" s="45">
        <v>20250522</v>
      </c>
      <c r="D175" s="45" t="s">
        <v>1158</v>
      </c>
      <c r="E175" s="45" t="s">
        <v>556</v>
      </c>
      <c r="F175" s="45">
        <v>10000</v>
      </c>
      <c r="G175" s="45">
        <v>0.02</v>
      </c>
      <c r="H175" s="45">
        <f t="shared" si="7"/>
        <v>200</v>
      </c>
      <c r="I175" s="45" t="s">
        <v>45</v>
      </c>
      <c r="J175" s="43"/>
      <c r="K175" s="43"/>
    </row>
    <row r="176" spans="1:11">
      <c r="A176" s="41">
        <v>45786</v>
      </c>
      <c r="B176" s="43" t="s">
        <v>1106</v>
      </c>
      <c r="C176" s="43" t="s">
        <v>1287</v>
      </c>
      <c r="D176" s="43" t="s">
        <v>871</v>
      </c>
      <c r="E176" s="43" t="s">
        <v>1288</v>
      </c>
      <c r="F176" s="43">
        <v>4391</v>
      </c>
      <c r="G176" s="43">
        <v>3.5</v>
      </c>
      <c r="H176" s="43">
        <f t="shared" si="7"/>
        <v>15368.5</v>
      </c>
      <c r="I176" s="43" t="s">
        <v>872</v>
      </c>
      <c r="J176" s="43"/>
      <c r="K176" s="43"/>
    </row>
    <row r="177" spans="1:11">
      <c r="A177" s="41">
        <v>45793</v>
      </c>
      <c r="B177" s="43" t="s">
        <v>1106</v>
      </c>
      <c r="C177" s="43" t="s">
        <v>1289</v>
      </c>
      <c r="D177" s="43" t="s">
        <v>1290</v>
      </c>
      <c r="E177" s="43" t="s">
        <v>1291</v>
      </c>
      <c r="F177" s="43">
        <v>6</v>
      </c>
      <c r="G177" s="43">
        <v>7.9</v>
      </c>
      <c r="H177" s="43">
        <f t="shared" si="7"/>
        <v>47.4</v>
      </c>
      <c r="I177" s="43" t="s">
        <v>1292</v>
      </c>
      <c r="J177" s="43"/>
      <c r="K177" s="43"/>
    </row>
    <row r="178" spans="1:11">
      <c r="A178" s="41">
        <v>45803</v>
      </c>
      <c r="B178" s="43" t="s">
        <v>1106</v>
      </c>
      <c r="C178" s="43" t="s">
        <v>1293</v>
      </c>
      <c r="D178" s="43" t="s">
        <v>875</v>
      </c>
      <c r="E178" s="43" t="s">
        <v>1294</v>
      </c>
      <c r="F178" s="43">
        <v>4088</v>
      </c>
      <c r="G178" s="43">
        <v>1.85</v>
      </c>
      <c r="H178" s="43">
        <f t="shared" si="7"/>
        <v>7562.8</v>
      </c>
      <c r="I178" s="43" t="s">
        <v>406</v>
      </c>
      <c r="J178" s="43"/>
      <c r="K178" s="43"/>
    </row>
    <row r="179" customFormat="1" spans="1:11">
      <c r="A179" s="41">
        <v>45803</v>
      </c>
      <c r="B179" s="43" t="s">
        <v>1106</v>
      </c>
      <c r="C179" s="43" t="s">
        <v>1293</v>
      </c>
      <c r="D179" s="43" t="s">
        <v>1295</v>
      </c>
      <c r="E179" s="43"/>
      <c r="F179" s="43">
        <v>1</v>
      </c>
      <c r="G179" s="43">
        <v>100</v>
      </c>
      <c r="H179" s="43">
        <f t="shared" si="7"/>
        <v>100</v>
      </c>
      <c r="I179" s="43" t="s">
        <v>406</v>
      </c>
      <c r="J179" s="43"/>
      <c r="K179" s="43"/>
    </row>
    <row r="180" s="35" customFormat="1" spans="1:11">
      <c r="A180" s="44">
        <v>45784</v>
      </c>
      <c r="B180" s="45" t="s">
        <v>1296</v>
      </c>
      <c r="C180" s="45"/>
      <c r="D180" s="45" t="s">
        <v>115</v>
      </c>
      <c r="E180" s="45" t="s">
        <v>123</v>
      </c>
      <c r="F180" s="45">
        <v>8030</v>
      </c>
      <c r="G180" s="45">
        <v>0.53</v>
      </c>
      <c r="H180" s="45">
        <f t="shared" ref="H180:H242" si="8">F180*G180</f>
        <v>4255.9</v>
      </c>
      <c r="I180" s="45" t="s">
        <v>805</v>
      </c>
      <c r="J180" s="45"/>
      <c r="K180" s="45"/>
    </row>
    <row r="181" s="35" customFormat="1" spans="1:11">
      <c r="A181" s="44">
        <v>45784</v>
      </c>
      <c r="B181" s="45" t="s">
        <v>1296</v>
      </c>
      <c r="C181" s="45"/>
      <c r="D181" s="45" t="s">
        <v>130</v>
      </c>
      <c r="E181" s="45" t="s">
        <v>60</v>
      </c>
      <c r="F181" s="45">
        <v>4480</v>
      </c>
      <c r="G181" s="45">
        <v>0.48</v>
      </c>
      <c r="H181" s="45">
        <f t="shared" si="8"/>
        <v>2150.4</v>
      </c>
      <c r="I181" s="45" t="s">
        <v>432</v>
      </c>
      <c r="J181" s="45"/>
      <c r="K181" s="45"/>
    </row>
    <row r="182" spans="1:11">
      <c r="A182" s="44">
        <v>45789</v>
      </c>
      <c r="B182" s="45" t="s">
        <v>1296</v>
      </c>
      <c r="C182" s="45"/>
      <c r="D182" s="45" t="s">
        <v>115</v>
      </c>
      <c r="E182" s="45" t="s">
        <v>60</v>
      </c>
      <c r="F182" s="45">
        <v>6050</v>
      </c>
      <c r="G182" s="45">
        <v>0.5</v>
      </c>
      <c r="H182" s="45">
        <f t="shared" si="8"/>
        <v>3025</v>
      </c>
      <c r="I182" s="45" t="s">
        <v>432</v>
      </c>
      <c r="J182" s="43"/>
      <c r="K182" s="43"/>
    </row>
    <row r="183" spans="1:11">
      <c r="A183" s="44">
        <v>45789</v>
      </c>
      <c r="B183" s="45" t="s">
        <v>1296</v>
      </c>
      <c r="C183" s="45"/>
      <c r="D183" s="45" t="s">
        <v>59</v>
      </c>
      <c r="E183" s="45" t="s">
        <v>123</v>
      </c>
      <c r="F183" s="45">
        <v>4080</v>
      </c>
      <c r="G183" s="45">
        <v>0.54</v>
      </c>
      <c r="H183" s="45">
        <f t="shared" si="8"/>
        <v>2203.2</v>
      </c>
      <c r="I183" s="45" t="s">
        <v>35</v>
      </c>
      <c r="J183" s="43"/>
      <c r="K183" s="43"/>
    </row>
    <row r="184" spans="1:11">
      <c r="A184" s="44">
        <v>45789</v>
      </c>
      <c r="B184" s="45" t="s">
        <v>1296</v>
      </c>
      <c r="C184" s="45"/>
      <c r="D184" s="45" t="s">
        <v>59</v>
      </c>
      <c r="E184" s="45" t="s">
        <v>123</v>
      </c>
      <c r="F184" s="45">
        <v>11560</v>
      </c>
      <c r="G184" s="45">
        <v>0.54</v>
      </c>
      <c r="H184" s="45">
        <f t="shared" si="8"/>
        <v>6242.4</v>
      </c>
      <c r="I184" s="45" t="s">
        <v>35</v>
      </c>
      <c r="J184" s="43"/>
      <c r="K184" s="43"/>
    </row>
    <row r="185" spans="1:11">
      <c r="A185" s="44">
        <v>45790</v>
      </c>
      <c r="B185" s="45" t="s">
        <v>1296</v>
      </c>
      <c r="C185" s="45"/>
      <c r="D185" s="45" t="s">
        <v>130</v>
      </c>
      <c r="E185" s="45" t="s">
        <v>123</v>
      </c>
      <c r="F185" s="45">
        <v>22680</v>
      </c>
      <c r="G185" s="45">
        <v>0.52</v>
      </c>
      <c r="H185" s="45">
        <f t="shared" si="8"/>
        <v>11793.6</v>
      </c>
      <c r="I185" s="45" t="s">
        <v>433</v>
      </c>
      <c r="J185" s="43"/>
      <c r="K185" s="43"/>
    </row>
    <row r="186" spans="1:11">
      <c r="A186" s="44">
        <v>45791</v>
      </c>
      <c r="B186" s="45" t="s">
        <v>1296</v>
      </c>
      <c r="C186" s="45"/>
      <c r="D186" s="45" t="s">
        <v>59</v>
      </c>
      <c r="E186" s="45" t="s">
        <v>60</v>
      </c>
      <c r="F186" s="45">
        <v>460</v>
      </c>
      <c r="G186" s="45">
        <v>0.5</v>
      </c>
      <c r="H186" s="45">
        <f t="shared" si="8"/>
        <v>230</v>
      </c>
      <c r="I186" s="45" t="s">
        <v>63</v>
      </c>
      <c r="J186" s="43"/>
      <c r="K186" s="43"/>
    </row>
    <row r="187" spans="1:11">
      <c r="A187" s="44">
        <v>45791</v>
      </c>
      <c r="B187" s="45" t="s">
        <v>1296</v>
      </c>
      <c r="C187" s="45"/>
      <c r="D187" s="45" t="s">
        <v>128</v>
      </c>
      <c r="E187" s="45" t="s">
        <v>60</v>
      </c>
      <c r="F187" s="45">
        <v>1010</v>
      </c>
      <c r="G187" s="45">
        <v>0.52</v>
      </c>
      <c r="H187" s="45">
        <f t="shared" si="8"/>
        <v>525.2</v>
      </c>
      <c r="I187" s="45" t="s">
        <v>520</v>
      </c>
      <c r="J187" s="43"/>
      <c r="K187" s="43"/>
    </row>
    <row r="188" spans="1:11">
      <c r="A188" s="41">
        <v>45795</v>
      </c>
      <c r="B188" s="43" t="s">
        <v>1296</v>
      </c>
      <c r="C188" s="43"/>
      <c r="D188" s="43" t="s">
        <v>59</v>
      </c>
      <c r="E188" s="43" t="s">
        <v>123</v>
      </c>
      <c r="F188" s="43">
        <v>-12180</v>
      </c>
      <c r="G188" s="43">
        <v>0.54</v>
      </c>
      <c r="H188" s="43">
        <f t="shared" si="8"/>
        <v>-6577.2</v>
      </c>
      <c r="I188" s="43" t="s">
        <v>35</v>
      </c>
      <c r="J188" s="43" t="s">
        <v>1297</v>
      </c>
      <c r="K188" s="43"/>
    </row>
    <row r="189" spans="1:11">
      <c r="A189" s="41">
        <v>45799</v>
      </c>
      <c r="B189" s="43" t="s">
        <v>1296</v>
      </c>
      <c r="C189" s="43"/>
      <c r="D189" s="43" t="s">
        <v>59</v>
      </c>
      <c r="E189" s="43" t="s">
        <v>123</v>
      </c>
      <c r="F189" s="43">
        <v>12180</v>
      </c>
      <c r="G189" s="43">
        <v>0.54</v>
      </c>
      <c r="H189" s="43">
        <f t="shared" si="8"/>
        <v>6577.2</v>
      </c>
      <c r="I189" s="43" t="s">
        <v>35</v>
      </c>
      <c r="J189" s="43"/>
      <c r="K189" s="43"/>
    </row>
    <row r="190" spans="1:11">
      <c r="A190" s="41">
        <v>45799</v>
      </c>
      <c r="B190" s="43" t="s">
        <v>1296</v>
      </c>
      <c r="C190" s="43"/>
      <c r="D190" s="43" t="s">
        <v>128</v>
      </c>
      <c r="E190" s="43" t="s">
        <v>123</v>
      </c>
      <c r="F190" s="43">
        <v>2050</v>
      </c>
      <c r="G190" s="43">
        <v>0.56</v>
      </c>
      <c r="H190" s="43">
        <f t="shared" si="8"/>
        <v>1148</v>
      </c>
      <c r="I190" s="43" t="s">
        <v>623</v>
      </c>
      <c r="J190" s="43"/>
      <c r="K190" s="43"/>
    </row>
    <row r="191" spans="1:11">
      <c r="A191" s="41">
        <v>45799</v>
      </c>
      <c r="B191" s="43" t="s">
        <v>1296</v>
      </c>
      <c r="C191" s="43"/>
      <c r="D191" s="43" t="s">
        <v>59</v>
      </c>
      <c r="E191" s="43" t="s">
        <v>62</v>
      </c>
      <c r="F191" s="43">
        <v>10010</v>
      </c>
      <c r="G191" s="43">
        <v>0.52</v>
      </c>
      <c r="H191" s="43">
        <f t="shared" si="8"/>
        <v>5205.2</v>
      </c>
      <c r="I191" s="43" t="s">
        <v>69</v>
      </c>
      <c r="J191" s="43"/>
      <c r="K191" s="43"/>
    </row>
    <row r="192" spans="1:11">
      <c r="A192" s="41">
        <v>45799</v>
      </c>
      <c r="B192" s="43" t="s">
        <v>97</v>
      </c>
      <c r="C192" s="43"/>
      <c r="D192" s="43" t="s">
        <v>98</v>
      </c>
      <c r="E192" s="43" t="s">
        <v>99</v>
      </c>
      <c r="F192" s="43">
        <v>83</v>
      </c>
      <c r="G192" s="43">
        <v>0.83</v>
      </c>
      <c r="H192" s="43">
        <f t="shared" si="8"/>
        <v>68.89</v>
      </c>
      <c r="I192" s="43" t="s">
        <v>213</v>
      </c>
      <c r="J192" s="43"/>
      <c r="K192" s="43"/>
    </row>
    <row r="193" spans="1:11">
      <c r="A193" s="41">
        <v>45801</v>
      </c>
      <c r="B193" s="43" t="s">
        <v>1296</v>
      </c>
      <c r="C193" s="43"/>
      <c r="D193" s="43" t="s">
        <v>130</v>
      </c>
      <c r="E193" s="43" t="s">
        <v>123</v>
      </c>
      <c r="F193" s="43">
        <v>16030</v>
      </c>
      <c r="G193" s="43">
        <v>0.52</v>
      </c>
      <c r="H193" s="43">
        <f t="shared" si="8"/>
        <v>8335.6</v>
      </c>
      <c r="I193" s="43" t="s">
        <v>433</v>
      </c>
      <c r="J193" s="43"/>
      <c r="K193" s="43"/>
    </row>
    <row r="194" s="35" customFormat="1" spans="1:11">
      <c r="A194" s="44">
        <v>45782</v>
      </c>
      <c r="B194" s="45" t="s">
        <v>101</v>
      </c>
      <c r="C194" s="45"/>
      <c r="D194" s="45" t="s">
        <v>752</v>
      </c>
      <c r="E194" s="45" t="s">
        <v>116</v>
      </c>
      <c r="F194" s="45">
        <v>60160</v>
      </c>
      <c r="G194" s="45">
        <v>0.57</v>
      </c>
      <c r="H194" s="45">
        <f t="shared" si="8"/>
        <v>34291.2</v>
      </c>
      <c r="I194" s="45" t="s">
        <v>396</v>
      </c>
      <c r="J194" s="45"/>
      <c r="K194" s="45"/>
    </row>
    <row r="195" s="35" customFormat="1" spans="1:11">
      <c r="A195" s="44">
        <v>45782</v>
      </c>
      <c r="B195" s="45" t="s">
        <v>101</v>
      </c>
      <c r="C195" s="45"/>
      <c r="D195" s="45" t="s">
        <v>755</v>
      </c>
      <c r="E195" s="45" t="s">
        <v>99</v>
      </c>
      <c r="F195" s="45">
        <v>10420</v>
      </c>
      <c r="G195" s="45">
        <v>0.98</v>
      </c>
      <c r="H195" s="45">
        <f t="shared" si="8"/>
        <v>10211.6</v>
      </c>
      <c r="I195" s="45" t="s">
        <v>213</v>
      </c>
      <c r="J195" s="45" t="s">
        <v>369</v>
      </c>
      <c r="K195" s="45"/>
    </row>
    <row r="196" s="35" customFormat="1" spans="1:11">
      <c r="A196" s="44">
        <v>45785</v>
      </c>
      <c r="B196" s="45" t="s">
        <v>101</v>
      </c>
      <c r="C196" s="45"/>
      <c r="D196" s="45" t="s">
        <v>1298</v>
      </c>
      <c r="E196" s="45" t="s">
        <v>99</v>
      </c>
      <c r="F196" s="45">
        <v>3010</v>
      </c>
      <c r="G196" s="45">
        <v>1.2</v>
      </c>
      <c r="H196" s="45">
        <f t="shared" si="8"/>
        <v>3612</v>
      </c>
      <c r="I196" s="45" t="s">
        <v>106</v>
      </c>
      <c r="J196" s="45" t="s">
        <v>369</v>
      </c>
      <c r="K196" s="45"/>
    </row>
    <row r="197" s="35" customFormat="1" spans="1:11">
      <c r="A197" s="44">
        <v>45786</v>
      </c>
      <c r="B197" s="45" t="s">
        <v>101</v>
      </c>
      <c r="C197" s="45"/>
      <c r="D197" s="45" t="s">
        <v>752</v>
      </c>
      <c r="E197" s="45" t="s">
        <v>124</v>
      </c>
      <c r="F197" s="45">
        <v>30000</v>
      </c>
      <c r="G197" s="45">
        <v>0.57</v>
      </c>
      <c r="H197" s="45">
        <f t="shared" si="8"/>
        <v>17100</v>
      </c>
      <c r="I197" s="45" t="s">
        <v>396</v>
      </c>
      <c r="J197" s="45"/>
      <c r="K197" s="45"/>
    </row>
    <row r="198" s="35" customFormat="1" spans="1:11">
      <c r="A198" s="44">
        <v>45788</v>
      </c>
      <c r="B198" s="45" t="s">
        <v>101</v>
      </c>
      <c r="C198" s="45"/>
      <c r="D198" s="45" t="s">
        <v>752</v>
      </c>
      <c r="E198" s="45" t="s">
        <v>124</v>
      </c>
      <c r="F198" s="45">
        <v>30000</v>
      </c>
      <c r="G198" s="45">
        <v>0.57</v>
      </c>
      <c r="H198" s="45">
        <f t="shared" si="8"/>
        <v>17100</v>
      </c>
      <c r="I198" s="45" t="s">
        <v>396</v>
      </c>
      <c r="J198" s="45"/>
      <c r="K198" s="45"/>
    </row>
    <row r="199" s="35" customFormat="1" spans="1:11">
      <c r="A199" s="44">
        <v>45788</v>
      </c>
      <c r="B199" s="45" t="s">
        <v>101</v>
      </c>
      <c r="C199" s="45"/>
      <c r="D199" s="45" t="s">
        <v>107</v>
      </c>
      <c r="E199" s="45" t="s">
        <v>60</v>
      </c>
      <c r="F199" s="45">
        <v>8005</v>
      </c>
      <c r="G199" s="45">
        <v>0.82</v>
      </c>
      <c r="H199" s="45">
        <f t="shared" si="8"/>
        <v>6564.1</v>
      </c>
      <c r="I199" s="45" t="s">
        <v>45</v>
      </c>
      <c r="J199" s="45"/>
      <c r="K199" s="45"/>
    </row>
    <row r="200" s="35" customFormat="1" spans="1:11">
      <c r="A200" s="44">
        <v>45789</v>
      </c>
      <c r="B200" s="45" t="s">
        <v>101</v>
      </c>
      <c r="C200" s="45"/>
      <c r="D200" s="45" t="s">
        <v>752</v>
      </c>
      <c r="E200" s="45" t="s">
        <v>116</v>
      </c>
      <c r="F200" s="45">
        <v>15000</v>
      </c>
      <c r="G200" s="45">
        <v>0.57</v>
      </c>
      <c r="H200" s="45">
        <f t="shared" si="8"/>
        <v>8550</v>
      </c>
      <c r="I200" s="45" t="s">
        <v>396</v>
      </c>
      <c r="J200" s="45"/>
      <c r="K200" s="45"/>
    </row>
    <row r="201" s="35" customFormat="1" spans="1:11">
      <c r="A201" s="44">
        <v>45789</v>
      </c>
      <c r="B201" s="45" t="s">
        <v>101</v>
      </c>
      <c r="C201" s="45"/>
      <c r="D201" s="45" t="s">
        <v>107</v>
      </c>
      <c r="E201" s="45" t="s">
        <v>60</v>
      </c>
      <c r="F201" s="45">
        <v>3300</v>
      </c>
      <c r="G201" s="45">
        <v>0.82</v>
      </c>
      <c r="H201" s="45">
        <f t="shared" si="8"/>
        <v>2706</v>
      </c>
      <c r="I201" s="45" t="s">
        <v>45</v>
      </c>
      <c r="J201" s="45"/>
      <c r="K201" s="45"/>
    </row>
    <row r="202" s="35" customFormat="1" spans="1:11">
      <c r="A202" s="44">
        <v>45790</v>
      </c>
      <c r="B202" s="45" t="s">
        <v>101</v>
      </c>
      <c r="C202" s="45"/>
      <c r="D202" s="45" t="s">
        <v>362</v>
      </c>
      <c r="E202" s="45" t="s">
        <v>14</v>
      </c>
      <c r="F202" s="45">
        <v>1030</v>
      </c>
      <c r="G202" s="45">
        <v>0.65</v>
      </c>
      <c r="H202" s="45">
        <f t="shared" si="8"/>
        <v>669.5</v>
      </c>
      <c r="I202" s="45" t="s">
        <v>415</v>
      </c>
      <c r="J202" s="45" t="s">
        <v>46</v>
      </c>
      <c r="K202" s="45"/>
    </row>
    <row r="203" s="35" customFormat="1" spans="1:11">
      <c r="A203" s="44">
        <v>45791</v>
      </c>
      <c r="B203" s="45" t="s">
        <v>101</v>
      </c>
      <c r="C203" s="45"/>
      <c r="D203" s="45" t="s">
        <v>752</v>
      </c>
      <c r="E203" s="45" t="s">
        <v>124</v>
      </c>
      <c r="F203" s="45">
        <v>27500</v>
      </c>
      <c r="G203" s="45">
        <v>0.57</v>
      </c>
      <c r="H203" s="45">
        <f t="shared" si="8"/>
        <v>15675</v>
      </c>
      <c r="I203" s="45" t="s">
        <v>396</v>
      </c>
      <c r="J203" s="45"/>
      <c r="K203" s="45"/>
    </row>
    <row r="204" s="35" customFormat="1" spans="1:11">
      <c r="A204" s="44">
        <v>45794</v>
      </c>
      <c r="B204" s="45" t="s">
        <v>101</v>
      </c>
      <c r="C204" s="45">
        <v>20250508</v>
      </c>
      <c r="D204" s="45" t="s">
        <v>754</v>
      </c>
      <c r="E204" s="45" t="s">
        <v>85</v>
      </c>
      <c r="F204" s="45">
        <v>1010</v>
      </c>
      <c r="G204" s="45">
        <v>1.1</v>
      </c>
      <c r="H204" s="45">
        <f t="shared" si="8"/>
        <v>1111</v>
      </c>
      <c r="I204" s="45" t="s">
        <v>106</v>
      </c>
      <c r="J204" s="45"/>
      <c r="K204" s="45"/>
    </row>
    <row r="205" s="35" customFormat="1" spans="1:11">
      <c r="A205" s="44">
        <v>45796</v>
      </c>
      <c r="B205" s="45" t="s">
        <v>101</v>
      </c>
      <c r="C205" s="45">
        <v>20250509</v>
      </c>
      <c r="D205" s="45" t="s">
        <v>115</v>
      </c>
      <c r="E205" s="45" t="s">
        <v>60</v>
      </c>
      <c r="F205" s="45">
        <v>4030</v>
      </c>
      <c r="G205" s="45">
        <v>0.49</v>
      </c>
      <c r="H205" s="45">
        <f t="shared" si="8"/>
        <v>1974.7</v>
      </c>
      <c r="I205" s="45" t="s">
        <v>189</v>
      </c>
      <c r="J205" s="45"/>
      <c r="K205" s="45"/>
    </row>
    <row r="206" s="35" customFormat="1" spans="1:11">
      <c r="A206" s="44">
        <v>45796</v>
      </c>
      <c r="B206" s="45" t="s">
        <v>101</v>
      </c>
      <c r="C206" s="45">
        <v>20250509</v>
      </c>
      <c r="D206" s="45" t="s">
        <v>107</v>
      </c>
      <c r="E206" s="45" t="s">
        <v>60</v>
      </c>
      <c r="F206" s="45">
        <v>4100</v>
      </c>
      <c r="G206" s="45">
        <v>0.82</v>
      </c>
      <c r="H206" s="45">
        <f t="shared" si="8"/>
        <v>3362</v>
      </c>
      <c r="I206" s="45" t="s">
        <v>45</v>
      </c>
      <c r="J206" s="45"/>
      <c r="K206" s="45"/>
    </row>
    <row r="207" s="35" customFormat="1" spans="1:11">
      <c r="A207" s="44">
        <v>45799</v>
      </c>
      <c r="B207" s="45" t="s">
        <v>101</v>
      </c>
      <c r="C207" s="45">
        <v>20250510</v>
      </c>
      <c r="D207" s="45" t="s">
        <v>362</v>
      </c>
      <c r="E207" s="45" t="s">
        <v>85</v>
      </c>
      <c r="F207" s="45">
        <v>5055</v>
      </c>
      <c r="G207" s="45">
        <v>0.95</v>
      </c>
      <c r="H207" s="45">
        <f t="shared" si="8"/>
        <v>4802.25</v>
      </c>
      <c r="I207" s="45" t="s">
        <v>363</v>
      </c>
      <c r="J207" s="45"/>
      <c r="K207" s="45"/>
    </row>
    <row r="208" s="35" customFormat="1" spans="1:11">
      <c r="A208" s="44">
        <v>45802</v>
      </c>
      <c r="B208" s="45" t="s">
        <v>101</v>
      </c>
      <c r="C208" s="45">
        <v>202511</v>
      </c>
      <c r="D208" s="45" t="s">
        <v>115</v>
      </c>
      <c r="E208" s="45" t="s">
        <v>62</v>
      </c>
      <c r="F208" s="45">
        <v>8210</v>
      </c>
      <c r="G208" s="45">
        <v>0.5</v>
      </c>
      <c r="H208" s="45">
        <f t="shared" si="8"/>
        <v>4105</v>
      </c>
      <c r="I208" s="45" t="s">
        <v>189</v>
      </c>
      <c r="J208" s="45"/>
      <c r="K208" s="45"/>
    </row>
    <row r="209" spans="1:11">
      <c r="A209" s="44">
        <v>45803</v>
      </c>
      <c r="B209" s="45" t="s">
        <v>101</v>
      </c>
      <c r="C209" s="45"/>
      <c r="D209" s="45" t="s">
        <v>362</v>
      </c>
      <c r="E209" s="45" t="s">
        <v>85</v>
      </c>
      <c r="F209" s="45">
        <v>34220</v>
      </c>
      <c r="G209" s="45">
        <v>0.95</v>
      </c>
      <c r="H209" s="45">
        <f t="shared" si="8"/>
        <v>32509</v>
      </c>
      <c r="I209" s="45" t="s">
        <v>363</v>
      </c>
      <c r="J209" s="43"/>
      <c r="K209" s="43"/>
    </row>
    <row r="210" spans="1:11">
      <c r="A210" s="44">
        <v>45803</v>
      </c>
      <c r="B210" s="45" t="s">
        <v>101</v>
      </c>
      <c r="C210" s="45"/>
      <c r="D210" s="45" t="s">
        <v>1299</v>
      </c>
      <c r="E210" s="45" t="s">
        <v>212</v>
      </c>
      <c r="F210" s="45">
        <v>20050</v>
      </c>
      <c r="G210" s="45">
        <v>0.95</v>
      </c>
      <c r="H210" s="45">
        <f t="shared" si="8"/>
        <v>19047.5</v>
      </c>
      <c r="I210" s="45" t="s">
        <v>105</v>
      </c>
      <c r="J210" s="43"/>
      <c r="K210" s="43"/>
    </row>
    <row r="211" spans="1:11">
      <c r="A211" s="44">
        <v>45803</v>
      </c>
      <c r="B211" s="45" t="s">
        <v>101</v>
      </c>
      <c r="C211" s="45"/>
      <c r="D211" s="45" t="s">
        <v>752</v>
      </c>
      <c r="E211" s="45" t="s">
        <v>116</v>
      </c>
      <c r="F211" s="45">
        <v>98280</v>
      </c>
      <c r="G211" s="45">
        <v>0.57</v>
      </c>
      <c r="H211" s="45">
        <f t="shared" si="8"/>
        <v>56019.6</v>
      </c>
      <c r="I211" s="45" t="s">
        <v>396</v>
      </c>
      <c r="J211" s="43"/>
      <c r="K211" s="43"/>
    </row>
    <row r="212" spans="1:11">
      <c r="A212" s="44">
        <v>45804</v>
      </c>
      <c r="B212" s="45" t="s">
        <v>101</v>
      </c>
      <c r="C212" s="45">
        <v>20250513</v>
      </c>
      <c r="D212" s="45" t="s">
        <v>102</v>
      </c>
      <c r="E212" s="45" t="s">
        <v>60</v>
      </c>
      <c r="F212" s="45">
        <v>4030</v>
      </c>
      <c r="G212" s="45">
        <v>0.8</v>
      </c>
      <c r="H212" s="45">
        <f t="shared" si="8"/>
        <v>3224</v>
      </c>
      <c r="I212" s="45" t="s">
        <v>103</v>
      </c>
      <c r="J212" s="43"/>
      <c r="K212" s="43"/>
    </row>
    <row r="213" spans="1:11">
      <c r="A213" s="41">
        <v>45784</v>
      </c>
      <c r="B213" s="43" t="s">
        <v>194</v>
      </c>
      <c r="C213" s="43"/>
      <c r="D213" s="43" t="s">
        <v>203</v>
      </c>
      <c r="E213" s="43" t="s">
        <v>62</v>
      </c>
      <c r="F213" s="43">
        <v>4246</v>
      </c>
      <c r="G213" s="71">
        <v>0.88</v>
      </c>
      <c r="H213" s="43">
        <f t="shared" si="8"/>
        <v>3736.48</v>
      </c>
      <c r="I213" s="43" t="s">
        <v>205</v>
      </c>
      <c r="J213" s="43"/>
      <c r="K213" s="43"/>
    </row>
    <row r="214" spans="1:11">
      <c r="A214" s="41">
        <v>45784</v>
      </c>
      <c r="B214" s="43" t="s">
        <v>194</v>
      </c>
      <c r="C214" s="43"/>
      <c r="D214" s="43" t="s">
        <v>209</v>
      </c>
      <c r="E214" s="43" t="s">
        <v>124</v>
      </c>
      <c r="F214" s="43">
        <v>3015</v>
      </c>
      <c r="G214" s="45">
        <v>1.02</v>
      </c>
      <c r="H214" s="43">
        <f t="shared" si="8"/>
        <v>3075.3</v>
      </c>
      <c r="I214" s="43" t="s">
        <v>208</v>
      </c>
      <c r="J214" s="43"/>
      <c r="K214" s="43"/>
    </row>
    <row r="215" spans="1:11">
      <c r="A215" s="41">
        <v>45784</v>
      </c>
      <c r="B215" s="43" t="s">
        <v>194</v>
      </c>
      <c r="C215" s="43"/>
      <c r="D215" s="43" t="s">
        <v>1300</v>
      </c>
      <c r="E215" s="43" t="s">
        <v>99</v>
      </c>
      <c r="F215" s="43">
        <v>207</v>
      </c>
      <c r="G215" s="45">
        <v>0.93</v>
      </c>
      <c r="H215" s="43">
        <f t="shared" si="8"/>
        <v>192.51</v>
      </c>
      <c r="I215" s="43" t="s">
        <v>1301</v>
      </c>
      <c r="J215" s="43"/>
      <c r="K215" s="43"/>
    </row>
    <row r="216" spans="1:11">
      <c r="A216" s="41">
        <v>45784</v>
      </c>
      <c r="B216" s="43" t="s">
        <v>194</v>
      </c>
      <c r="C216" s="43"/>
      <c r="D216" s="43" t="s">
        <v>737</v>
      </c>
      <c r="E216" s="43" t="s">
        <v>123</v>
      </c>
      <c r="F216" s="43">
        <v>48</v>
      </c>
      <c r="G216" s="45">
        <v>0.98</v>
      </c>
      <c r="H216" s="43">
        <f t="shared" si="8"/>
        <v>47.04</v>
      </c>
      <c r="I216" s="43" t="s">
        <v>189</v>
      </c>
      <c r="J216" s="43"/>
      <c r="K216" s="43"/>
    </row>
    <row r="217" spans="1:11">
      <c r="A217" s="41">
        <v>45787</v>
      </c>
      <c r="B217" s="43" t="s">
        <v>194</v>
      </c>
      <c r="C217" s="43"/>
      <c r="D217" s="43" t="s">
        <v>1302</v>
      </c>
      <c r="E217" s="43" t="s">
        <v>14</v>
      </c>
      <c r="F217" s="43">
        <v>183</v>
      </c>
      <c r="G217" s="45">
        <v>0.73</v>
      </c>
      <c r="H217" s="43">
        <f t="shared" si="8"/>
        <v>133.59</v>
      </c>
      <c r="I217" s="43" t="s">
        <v>208</v>
      </c>
      <c r="J217" s="43"/>
      <c r="K217" s="43"/>
    </row>
    <row r="218" spans="1:11">
      <c r="A218" s="41">
        <v>45789</v>
      </c>
      <c r="B218" s="43" t="s">
        <v>194</v>
      </c>
      <c r="C218" s="43"/>
      <c r="D218" s="43" t="s">
        <v>195</v>
      </c>
      <c r="E218" s="43" t="s">
        <v>60</v>
      </c>
      <c r="F218" s="43">
        <v>2028</v>
      </c>
      <c r="G218" s="45">
        <v>0.73</v>
      </c>
      <c r="H218" s="43">
        <f t="shared" si="8"/>
        <v>1480.44</v>
      </c>
      <c r="I218" s="43" t="s">
        <v>126</v>
      </c>
      <c r="J218" s="43"/>
      <c r="K218" s="43"/>
    </row>
    <row r="219" spans="1:11">
      <c r="A219" s="41">
        <v>45789</v>
      </c>
      <c r="B219" s="43" t="s">
        <v>194</v>
      </c>
      <c r="C219" s="43"/>
      <c r="D219" s="43" t="s">
        <v>198</v>
      </c>
      <c r="E219" s="43" t="s">
        <v>207</v>
      </c>
      <c r="F219" s="43">
        <v>1010</v>
      </c>
      <c r="G219" s="45">
        <v>1.05</v>
      </c>
      <c r="H219" s="43">
        <f t="shared" si="8"/>
        <v>1060.5</v>
      </c>
      <c r="I219" s="43" t="s">
        <v>199</v>
      </c>
      <c r="J219" s="43"/>
      <c r="K219" s="43"/>
    </row>
    <row r="220" spans="1:11">
      <c r="A220" s="41">
        <v>45789</v>
      </c>
      <c r="B220" s="43" t="s">
        <v>194</v>
      </c>
      <c r="C220" s="43"/>
      <c r="D220" s="43" t="s">
        <v>198</v>
      </c>
      <c r="E220" s="43" t="s">
        <v>207</v>
      </c>
      <c r="F220" s="43">
        <v>1010</v>
      </c>
      <c r="G220" s="45">
        <v>1.05</v>
      </c>
      <c r="H220" s="43">
        <f t="shared" si="8"/>
        <v>1060.5</v>
      </c>
      <c r="I220" s="43" t="s">
        <v>208</v>
      </c>
      <c r="J220" s="43"/>
      <c r="K220" s="43"/>
    </row>
    <row r="221" spans="1:11">
      <c r="A221" s="41">
        <v>45789</v>
      </c>
      <c r="B221" s="43" t="s">
        <v>194</v>
      </c>
      <c r="C221" s="43"/>
      <c r="D221" s="43" t="s">
        <v>737</v>
      </c>
      <c r="E221" s="43" t="s">
        <v>123</v>
      </c>
      <c r="F221" s="43">
        <v>506</v>
      </c>
      <c r="G221" s="45">
        <v>0.89</v>
      </c>
      <c r="H221" s="43">
        <f t="shared" si="8"/>
        <v>450.34</v>
      </c>
      <c r="I221" s="43" t="s">
        <v>1303</v>
      </c>
      <c r="J221" s="43"/>
      <c r="K221" s="43"/>
    </row>
    <row r="222" spans="1:11">
      <c r="A222" s="41">
        <v>45789</v>
      </c>
      <c r="B222" s="43" t="s">
        <v>194</v>
      </c>
      <c r="C222" s="43"/>
      <c r="D222" s="43" t="s">
        <v>1138</v>
      </c>
      <c r="E222" s="43" t="s">
        <v>99</v>
      </c>
      <c r="F222" s="43">
        <v>2513</v>
      </c>
      <c r="G222" s="45">
        <v>0.98</v>
      </c>
      <c r="H222" s="43">
        <f t="shared" si="8"/>
        <v>2462.74</v>
      </c>
      <c r="I222" s="43" t="s">
        <v>189</v>
      </c>
      <c r="J222" s="43" t="s">
        <v>90</v>
      </c>
      <c r="K222" s="43">
        <v>1.15</v>
      </c>
    </row>
    <row r="223" spans="1:11">
      <c r="A223" s="41">
        <v>45791</v>
      </c>
      <c r="B223" s="43" t="s">
        <v>194</v>
      </c>
      <c r="C223" s="43"/>
      <c r="D223" s="43" t="s">
        <v>1138</v>
      </c>
      <c r="E223" s="43" t="s">
        <v>14</v>
      </c>
      <c r="F223" s="43">
        <v>30000</v>
      </c>
      <c r="G223" s="45">
        <v>0.76</v>
      </c>
      <c r="H223" s="43">
        <f t="shared" si="8"/>
        <v>22800</v>
      </c>
      <c r="I223" s="43" t="s">
        <v>189</v>
      </c>
      <c r="J223" s="43" t="s">
        <v>46</v>
      </c>
      <c r="K223" s="43"/>
    </row>
    <row r="224" spans="1:11">
      <c r="A224" s="41">
        <v>45792</v>
      </c>
      <c r="B224" s="43" t="s">
        <v>194</v>
      </c>
      <c r="C224" s="43"/>
      <c r="D224" s="43" t="s">
        <v>195</v>
      </c>
      <c r="E224" s="43" t="s">
        <v>60</v>
      </c>
      <c r="F224" s="43">
        <v>413</v>
      </c>
      <c r="G224" s="45">
        <v>0.73</v>
      </c>
      <c r="H224" s="43">
        <f t="shared" si="8"/>
        <v>301.49</v>
      </c>
      <c r="I224" s="43" t="s">
        <v>63</v>
      </c>
      <c r="J224" s="43"/>
      <c r="K224" s="43"/>
    </row>
    <row r="225" spans="1:11">
      <c r="A225" s="41">
        <v>45798</v>
      </c>
      <c r="B225" s="43" t="s">
        <v>194</v>
      </c>
      <c r="C225" s="43"/>
      <c r="D225" s="43" t="s">
        <v>1304</v>
      </c>
      <c r="E225" s="43" t="s">
        <v>14</v>
      </c>
      <c r="F225" s="43">
        <v>1055</v>
      </c>
      <c r="G225" s="43">
        <v>0.8</v>
      </c>
      <c r="H225" s="43">
        <f t="shared" si="8"/>
        <v>844</v>
      </c>
      <c r="I225" s="43" t="s">
        <v>330</v>
      </c>
      <c r="J225" s="43" t="s">
        <v>46</v>
      </c>
      <c r="K225" s="43"/>
    </row>
    <row r="226" spans="1:11">
      <c r="A226" s="41">
        <v>45799</v>
      </c>
      <c r="B226" s="43" t="s">
        <v>194</v>
      </c>
      <c r="C226" s="43"/>
      <c r="D226" s="43" t="s">
        <v>198</v>
      </c>
      <c r="E226" s="43" t="s">
        <v>1262</v>
      </c>
      <c r="F226" s="43">
        <v>5715</v>
      </c>
      <c r="G226" s="43">
        <v>1.05</v>
      </c>
      <c r="H226" s="43">
        <f t="shared" si="8"/>
        <v>6000.75</v>
      </c>
      <c r="I226" s="43" t="s">
        <v>193</v>
      </c>
      <c r="J226" s="43"/>
      <c r="K226" s="43"/>
    </row>
    <row r="227" s="35" customFormat="1" spans="1:11">
      <c r="A227" s="44">
        <v>45790</v>
      </c>
      <c r="B227" s="45" t="s">
        <v>260</v>
      </c>
      <c r="C227" s="45" t="s">
        <v>1305</v>
      </c>
      <c r="D227" s="45" t="s">
        <v>38</v>
      </c>
      <c r="E227" s="45" t="s">
        <v>14</v>
      </c>
      <c r="F227" s="45">
        <v>15</v>
      </c>
      <c r="G227" s="45">
        <v>1.3</v>
      </c>
      <c r="H227" s="45">
        <f t="shared" si="8"/>
        <v>19.5</v>
      </c>
      <c r="I227" s="45" t="s">
        <v>432</v>
      </c>
      <c r="J227" s="45" t="s">
        <v>1306</v>
      </c>
      <c r="K227" s="45"/>
    </row>
    <row r="228" s="35" customFormat="1" spans="1:11">
      <c r="A228" s="44">
        <v>45792</v>
      </c>
      <c r="B228" s="45" t="s">
        <v>260</v>
      </c>
      <c r="C228" s="45" t="s">
        <v>1307</v>
      </c>
      <c r="D228" s="45" t="s">
        <v>1138</v>
      </c>
      <c r="E228" s="45" t="s">
        <v>14</v>
      </c>
      <c r="F228" s="45">
        <v>40000</v>
      </c>
      <c r="G228" s="45">
        <v>0.78</v>
      </c>
      <c r="H228" s="45">
        <f t="shared" si="8"/>
        <v>31200</v>
      </c>
      <c r="I228" s="45" t="s">
        <v>189</v>
      </c>
      <c r="J228" s="45" t="s">
        <v>46</v>
      </c>
      <c r="K228" s="45"/>
    </row>
    <row r="229" s="35" customFormat="1" spans="1:11">
      <c r="A229" s="44">
        <v>45800</v>
      </c>
      <c r="B229" s="45" t="s">
        <v>260</v>
      </c>
      <c r="C229" s="45" t="s">
        <v>1308</v>
      </c>
      <c r="D229" s="45" t="s">
        <v>38</v>
      </c>
      <c r="E229" s="45" t="s">
        <v>14</v>
      </c>
      <c r="F229" s="45">
        <v>203</v>
      </c>
      <c r="G229" s="45">
        <v>1.3</v>
      </c>
      <c r="H229" s="45">
        <f t="shared" si="8"/>
        <v>263.9</v>
      </c>
      <c r="I229" s="45" t="s">
        <v>432</v>
      </c>
      <c r="J229" s="45"/>
      <c r="K229" s="45"/>
    </row>
    <row r="230" s="35" customFormat="1" spans="1:11">
      <c r="A230" s="44">
        <v>45801</v>
      </c>
      <c r="B230" s="45" t="s">
        <v>260</v>
      </c>
      <c r="C230" s="45" t="s">
        <v>1309</v>
      </c>
      <c r="D230" s="45" t="s">
        <v>1310</v>
      </c>
      <c r="E230" s="45" t="s">
        <v>14</v>
      </c>
      <c r="F230" s="45">
        <v>320</v>
      </c>
      <c r="G230" s="45">
        <v>1.1</v>
      </c>
      <c r="H230" s="45">
        <f t="shared" si="8"/>
        <v>352</v>
      </c>
      <c r="I230" s="45" t="s">
        <v>287</v>
      </c>
      <c r="J230" s="45"/>
      <c r="K230" s="45"/>
    </row>
    <row r="231" s="35" customFormat="1" spans="1:11">
      <c r="A231" s="44">
        <v>45805</v>
      </c>
      <c r="B231" s="45" t="s">
        <v>260</v>
      </c>
      <c r="C231" s="45" t="s">
        <v>1311</v>
      </c>
      <c r="D231" s="45" t="s">
        <v>851</v>
      </c>
      <c r="E231" s="45" t="s">
        <v>14</v>
      </c>
      <c r="F231" s="45">
        <v>49</v>
      </c>
      <c r="G231" s="45">
        <v>1.6</v>
      </c>
      <c r="H231" s="45">
        <f t="shared" si="8"/>
        <v>78.4</v>
      </c>
      <c r="I231" s="45" t="s">
        <v>406</v>
      </c>
      <c r="J231" s="45"/>
      <c r="K231" s="45"/>
    </row>
    <row r="232" s="35" customFormat="1" spans="1:11">
      <c r="A232" s="44">
        <v>45805</v>
      </c>
      <c r="B232" s="45" t="s">
        <v>260</v>
      </c>
      <c r="C232" s="45" t="s">
        <v>1312</v>
      </c>
      <c r="D232" s="45" t="s">
        <v>851</v>
      </c>
      <c r="E232" s="45" t="s">
        <v>14</v>
      </c>
      <c r="F232" s="45">
        <v>2030</v>
      </c>
      <c r="G232" s="45">
        <v>1.6</v>
      </c>
      <c r="H232" s="45">
        <f t="shared" si="8"/>
        <v>3248</v>
      </c>
      <c r="I232" s="45" t="s">
        <v>406</v>
      </c>
      <c r="J232" s="45"/>
      <c r="K232" s="45"/>
    </row>
    <row r="233" s="35" customFormat="1" spans="1:11">
      <c r="A233" s="44">
        <v>45805</v>
      </c>
      <c r="B233" s="45" t="s">
        <v>260</v>
      </c>
      <c r="C233" s="45" t="s">
        <v>1312</v>
      </c>
      <c r="D233" s="45" t="s">
        <v>188</v>
      </c>
      <c r="E233" s="45" t="s">
        <v>14</v>
      </c>
      <c r="F233" s="45">
        <v>6000</v>
      </c>
      <c r="G233" s="45">
        <v>1.05</v>
      </c>
      <c r="H233" s="45">
        <f t="shared" si="8"/>
        <v>6300</v>
      </c>
      <c r="I233" s="45" t="s">
        <v>189</v>
      </c>
      <c r="J233" s="45"/>
      <c r="K233" s="45"/>
    </row>
    <row r="234" spans="1:11">
      <c r="A234" s="41">
        <v>45786</v>
      </c>
      <c r="B234" s="43" t="s">
        <v>174</v>
      </c>
      <c r="C234" s="87" t="s">
        <v>1313</v>
      </c>
      <c r="D234" s="43" t="s">
        <v>130</v>
      </c>
      <c r="E234" s="43" t="s">
        <v>60</v>
      </c>
      <c r="F234" s="43">
        <v>82000</v>
      </c>
      <c r="G234" s="43">
        <v>0.4</v>
      </c>
      <c r="H234" s="43">
        <f t="shared" si="8"/>
        <v>32800</v>
      </c>
      <c r="I234" s="43" t="s">
        <v>1314</v>
      </c>
      <c r="J234" s="43"/>
      <c r="K234" s="43"/>
    </row>
    <row r="235" spans="1:11">
      <c r="A235" s="41">
        <v>45788</v>
      </c>
      <c r="B235" s="43" t="s">
        <v>174</v>
      </c>
      <c r="C235" s="87" t="s">
        <v>1315</v>
      </c>
      <c r="D235" s="43" t="s">
        <v>130</v>
      </c>
      <c r="E235" s="43" t="s">
        <v>60</v>
      </c>
      <c r="F235" s="43">
        <v>13000</v>
      </c>
      <c r="G235" s="43">
        <v>0.4</v>
      </c>
      <c r="H235" s="43">
        <f t="shared" si="8"/>
        <v>5200</v>
      </c>
      <c r="I235" s="43" t="s">
        <v>137</v>
      </c>
      <c r="J235" s="43"/>
      <c r="K235" s="43"/>
    </row>
    <row r="236" spans="1:11">
      <c r="A236" s="41">
        <v>45790</v>
      </c>
      <c r="B236" s="43" t="s">
        <v>174</v>
      </c>
      <c r="C236" s="87" t="s">
        <v>1316</v>
      </c>
      <c r="D236" s="43" t="s">
        <v>148</v>
      </c>
      <c r="E236" s="43" t="s">
        <v>60</v>
      </c>
      <c r="F236" s="43">
        <v>6150</v>
      </c>
      <c r="G236" s="43">
        <v>0.43</v>
      </c>
      <c r="H236" s="43">
        <f t="shared" si="8"/>
        <v>2644.5</v>
      </c>
      <c r="I236" s="43" t="s">
        <v>149</v>
      </c>
      <c r="J236" s="43"/>
      <c r="K236" s="43"/>
    </row>
    <row r="237" spans="1:11">
      <c r="A237" s="41">
        <v>45790</v>
      </c>
      <c r="B237" s="43" t="s">
        <v>174</v>
      </c>
      <c r="C237" s="87" t="s">
        <v>1316</v>
      </c>
      <c r="D237" s="43" t="s">
        <v>115</v>
      </c>
      <c r="E237" s="43" t="s">
        <v>60</v>
      </c>
      <c r="F237" s="43">
        <v>5010</v>
      </c>
      <c r="G237" s="43">
        <v>0.38</v>
      </c>
      <c r="H237" s="43">
        <f t="shared" si="8"/>
        <v>1903.8</v>
      </c>
      <c r="I237" s="43" t="s">
        <v>330</v>
      </c>
      <c r="J237" s="43"/>
      <c r="K237" s="43"/>
    </row>
    <row r="238" spans="1:11">
      <c r="A238" s="41">
        <v>45790</v>
      </c>
      <c r="B238" s="43" t="s">
        <v>174</v>
      </c>
      <c r="C238" s="87" t="s">
        <v>1316</v>
      </c>
      <c r="D238" s="43" t="s">
        <v>130</v>
      </c>
      <c r="E238" s="43" t="s">
        <v>60</v>
      </c>
      <c r="F238" s="43">
        <v>330</v>
      </c>
      <c r="G238" s="43">
        <v>0.4</v>
      </c>
      <c r="H238" s="43">
        <f t="shared" si="8"/>
        <v>132</v>
      </c>
      <c r="I238" s="43" t="s">
        <v>137</v>
      </c>
      <c r="J238" s="43"/>
      <c r="K238" s="43"/>
    </row>
    <row r="239" spans="1:11">
      <c r="A239" s="41">
        <v>45800</v>
      </c>
      <c r="B239" s="43" t="s">
        <v>174</v>
      </c>
      <c r="C239" s="87" t="s">
        <v>1317</v>
      </c>
      <c r="D239" s="43" t="s">
        <v>130</v>
      </c>
      <c r="E239" s="43" t="s">
        <v>60</v>
      </c>
      <c r="F239" s="43">
        <v>10000</v>
      </c>
      <c r="G239" s="43">
        <v>0.4</v>
      </c>
      <c r="H239" s="43">
        <f t="shared" si="8"/>
        <v>4000</v>
      </c>
      <c r="I239" s="43" t="s">
        <v>35</v>
      </c>
      <c r="J239" s="43"/>
      <c r="K239" s="43"/>
    </row>
    <row r="240" spans="1:11">
      <c r="A240" s="41">
        <v>45800</v>
      </c>
      <c r="B240" s="43" t="s">
        <v>174</v>
      </c>
      <c r="C240" s="87" t="s">
        <v>1317</v>
      </c>
      <c r="D240" s="43" t="s">
        <v>148</v>
      </c>
      <c r="E240" s="43" t="s">
        <v>60</v>
      </c>
      <c r="F240" s="43">
        <v>6700</v>
      </c>
      <c r="G240" s="43">
        <v>0.43</v>
      </c>
      <c r="H240" s="43">
        <f t="shared" si="8"/>
        <v>2881</v>
      </c>
      <c r="I240" s="43" t="s">
        <v>149</v>
      </c>
      <c r="J240" s="43"/>
      <c r="K240" s="43"/>
    </row>
    <row r="241" s="35" customFormat="1" spans="1:11">
      <c r="A241" s="44">
        <v>45805</v>
      </c>
      <c r="B241" s="45" t="s">
        <v>174</v>
      </c>
      <c r="C241" s="86" t="s">
        <v>1318</v>
      </c>
      <c r="D241" s="45" t="s">
        <v>130</v>
      </c>
      <c r="E241" s="45" t="s">
        <v>207</v>
      </c>
      <c r="F241" s="45">
        <v>4210</v>
      </c>
      <c r="G241" s="45">
        <v>0.5</v>
      </c>
      <c r="H241" s="45">
        <f t="shared" si="8"/>
        <v>2105</v>
      </c>
      <c r="I241" s="45" t="s">
        <v>117</v>
      </c>
      <c r="J241" s="45"/>
      <c r="K241" s="45"/>
    </row>
    <row r="242" spans="1:11">
      <c r="A242" s="41">
        <v>45789</v>
      </c>
      <c r="B242" s="43" t="s">
        <v>177</v>
      </c>
      <c r="C242" s="43" t="s">
        <v>1319</v>
      </c>
      <c r="D242" s="43" t="s">
        <v>38</v>
      </c>
      <c r="E242" s="43" t="s">
        <v>14</v>
      </c>
      <c r="F242" s="43">
        <v>100</v>
      </c>
      <c r="G242" s="43">
        <v>1.45</v>
      </c>
      <c r="H242" s="43">
        <f t="shared" si="8"/>
        <v>145</v>
      </c>
      <c r="I242" s="43" t="s">
        <v>579</v>
      </c>
      <c r="J242" s="43"/>
      <c r="K242" s="43"/>
    </row>
    <row r="243" spans="1:11">
      <c r="A243" s="41">
        <v>45790</v>
      </c>
      <c r="B243" s="43" t="s">
        <v>215</v>
      </c>
      <c r="C243" s="43" t="s">
        <v>1320</v>
      </c>
      <c r="D243" s="43" t="s">
        <v>217</v>
      </c>
      <c r="E243" s="43" t="s">
        <v>220</v>
      </c>
      <c r="F243" s="43">
        <v>200</v>
      </c>
      <c r="G243" s="43">
        <v>2.6</v>
      </c>
      <c r="H243" s="43">
        <f t="shared" ref="H243:H253" si="9">F243*G243</f>
        <v>520</v>
      </c>
      <c r="I243" s="43" t="s">
        <v>61</v>
      </c>
      <c r="J243" s="43"/>
      <c r="K243" s="43"/>
    </row>
    <row r="244" spans="1:11">
      <c r="A244" s="41">
        <v>45798</v>
      </c>
      <c r="B244" s="43" t="s">
        <v>215</v>
      </c>
      <c r="C244" s="43" t="s">
        <v>1321</v>
      </c>
      <c r="D244" s="43" t="s">
        <v>217</v>
      </c>
      <c r="E244" s="43" t="s">
        <v>218</v>
      </c>
      <c r="F244" s="43">
        <v>200</v>
      </c>
      <c r="G244" s="43">
        <v>3.8</v>
      </c>
      <c r="H244" s="43">
        <f t="shared" si="9"/>
        <v>760</v>
      </c>
      <c r="I244" s="43" t="s">
        <v>61</v>
      </c>
      <c r="J244" s="43"/>
      <c r="K244" s="43"/>
    </row>
    <row r="245" spans="1:11">
      <c r="A245" s="44">
        <v>45787</v>
      </c>
      <c r="B245" s="45" t="s">
        <v>257</v>
      </c>
      <c r="C245" s="45"/>
      <c r="D245" s="45" t="s">
        <v>357</v>
      </c>
      <c r="E245" s="45" t="s">
        <v>99</v>
      </c>
      <c r="F245" s="45">
        <v>4210</v>
      </c>
      <c r="G245" s="45">
        <v>1.03</v>
      </c>
      <c r="H245" s="45">
        <f t="shared" si="9"/>
        <v>4336.3</v>
      </c>
      <c r="I245" s="43" t="s">
        <v>189</v>
      </c>
      <c r="J245" s="43"/>
      <c r="K245" s="43"/>
    </row>
    <row r="246" spans="1:11">
      <c r="A246" s="44">
        <v>45790</v>
      </c>
      <c r="B246" s="45" t="s">
        <v>257</v>
      </c>
      <c r="C246" s="45"/>
      <c r="D246" s="45" t="s">
        <v>227</v>
      </c>
      <c r="E246" s="45" t="s">
        <v>60</v>
      </c>
      <c r="F246" s="45">
        <v>5010</v>
      </c>
      <c r="G246" s="45">
        <v>0.53</v>
      </c>
      <c r="H246" s="45">
        <f t="shared" si="9"/>
        <v>2655.3</v>
      </c>
      <c r="I246" s="43" t="s">
        <v>356</v>
      </c>
      <c r="J246" s="43"/>
      <c r="K246" s="43"/>
    </row>
    <row r="247" spans="1:11">
      <c r="A247" s="44">
        <v>45790</v>
      </c>
      <c r="B247" s="45" t="s">
        <v>257</v>
      </c>
      <c r="C247" s="45"/>
      <c r="D247" s="45" t="s">
        <v>227</v>
      </c>
      <c r="E247" s="45" t="s">
        <v>60</v>
      </c>
      <c r="F247" s="45">
        <v>4110</v>
      </c>
      <c r="G247" s="45">
        <v>0.53</v>
      </c>
      <c r="H247" s="45">
        <f t="shared" si="9"/>
        <v>2178.3</v>
      </c>
      <c r="I247" s="43" t="s">
        <v>356</v>
      </c>
      <c r="J247" s="43"/>
      <c r="K247" s="43"/>
    </row>
    <row r="248" spans="1:11">
      <c r="A248" s="44">
        <v>45791</v>
      </c>
      <c r="B248" s="45" t="s">
        <v>257</v>
      </c>
      <c r="C248" s="45"/>
      <c r="D248" s="45" t="s">
        <v>256</v>
      </c>
      <c r="E248" s="45" t="s">
        <v>14</v>
      </c>
      <c r="F248" s="45">
        <v>-50000</v>
      </c>
      <c r="G248" s="45">
        <v>0.62</v>
      </c>
      <c r="H248" s="45">
        <f t="shared" si="9"/>
        <v>-31000</v>
      </c>
      <c r="I248" s="43" t="s">
        <v>61</v>
      </c>
      <c r="J248" s="43" t="s">
        <v>46</v>
      </c>
      <c r="K248" s="43" t="s">
        <v>449</v>
      </c>
    </row>
    <row r="249" spans="1:11">
      <c r="A249" s="44">
        <v>45795</v>
      </c>
      <c r="B249" s="45" t="s">
        <v>257</v>
      </c>
      <c r="C249" s="45"/>
      <c r="D249" s="45" t="s">
        <v>227</v>
      </c>
      <c r="E249" s="45" t="s">
        <v>62</v>
      </c>
      <c r="F249" s="45">
        <v>3020</v>
      </c>
      <c r="G249" s="45">
        <v>0.55</v>
      </c>
      <c r="H249" s="45">
        <f t="shared" si="9"/>
        <v>1661</v>
      </c>
      <c r="I249" s="43" t="s">
        <v>65</v>
      </c>
      <c r="J249" s="43"/>
      <c r="K249" s="43"/>
    </row>
    <row r="250" spans="1:11">
      <c r="A250" s="44">
        <v>45805</v>
      </c>
      <c r="B250" s="45" t="s">
        <v>257</v>
      </c>
      <c r="C250" s="45"/>
      <c r="D250" s="45" t="s">
        <v>227</v>
      </c>
      <c r="E250" s="45" t="s">
        <v>62</v>
      </c>
      <c r="F250" s="45">
        <v>33230</v>
      </c>
      <c r="G250" s="45">
        <v>0.55</v>
      </c>
      <c r="H250" s="45">
        <f t="shared" si="9"/>
        <v>18276.5</v>
      </c>
      <c r="I250" s="43" t="s">
        <v>65</v>
      </c>
      <c r="J250" s="43"/>
      <c r="K250" s="43"/>
    </row>
    <row r="251" spans="1:11">
      <c r="A251" s="44">
        <v>45805</v>
      </c>
      <c r="B251" s="45" t="s">
        <v>257</v>
      </c>
      <c r="C251" s="45"/>
      <c r="D251" s="45" t="s">
        <v>227</v>
      </c>
      <c r="E251" s="45" t="s">
        <v>60</v>
      </c>
      <c r="F251" s="45">
        <v>10020</v>
      </c>
      <c r="G251" s="45">
        <v>0.53</v>
      </c>
      <c r="H251" s="45">
        <f t="shared" si="9"/>
        <v>5310.6</v>
      </c>
      <c r="I251" s="43" t="s">
        <v>356</v>
      </c>
      <c r="J251" s="43"/>
      <c r="K251" s="43"/>
    </row>
    <row r="252" spans="1:11">
      <c r="A252" s="44">
        <v>45805</v>
      </c>
      <c r="B252" s="45" t="s">
        <v>257</v>
      </c>
      <c r="C252" s="45"/>
      <c r="D252" s="45" t="s">
        <v>227</v>
      </c>
      <c r="E252" s="45" t="s">
        <v>62</v>
      </c>
      <c r="F252" s="45">
        <v>20420</v>
      </c>
      <c r="G252" s="45">
        <v>0.55</v>
      </c>
      <c r="H252" s="45">
        <f t="shared" si="9"/>
        <v>11231</v>
      </c>
      <c r="I252" s="43" t="s">
        <v>356</v>
      </c>
      <c r="J252" s="43"/>
      <c r="K252" s="43"/>
    </row>
    <row r="253" spans="1:11">
      <c r="A253" s="44">
        <v>45806</v>
      </c>
      <c r="B253" s="45" t="s">
        <v>257</v>
      </c>
      <c r="C253" s="45"/>
      <c r="D253" s="45" t="s">
        <v>709</v>
      </c>
      <c r="E253" s="45" t="s">
        <v>14</v>
      </c>
      <c r="F253" s="45">
        <v>10000</v>
      </c>
      <c r="G253" s="45">
        <v>0.55</v>
      </c>
      <c r="H253" s="45">
        <f t="shared" si="9"/>
        <v>5500</v>
      </c>
      <c r="I253" s="43" t="s">
        <v>1322</v>
      </c>
      <c r="J253" s="43"/>
      <c r="K253" s="43"/>
    </row>
    <row r="254" spans="1:11">
      <c r="A254" s="41">
        <v>45787</v>
      </c>
      <c r="B254" s="43" t="s">
        <v>1323</v>
      </c>
      <c r="C254" s="43"/>
      <c r="D254" s="43" t="s">
        <v>1324</v>
      </c>
      <c r="E254" s="43" t="s">
        <v>1325</v>
      </c>
      <c r="F254" s="43">
        <v>12</v>
      </c>
      <c r="G254" s="43">
        <v>130</v>
      </c>
      <c r="H254" s="43">
        <f t="shared" ref="H254:H307" si="10">F254*G254</f>
        <v>1560</v>
      </c>
      <c r="I254" s="43" t="s">
        <v>61</v>
      </c>
      <c r="J254" s="43"/>
      <c r="K254" s="43"/>
    </row>
    <row r="255" spans="1:11">
      <c r="A255" s="41">
        <v>45791</v>
      </c>
      <c r="B255" s="43" t="s">
        <v>237</v>
      </c>
      <c r="C255" s="43" t="s">
        <v>1326</v>
      </c>
      <c r="D255" s="43" t="s">
        <v>413</v>
      </c>
      <c r="E255" s="43" t="s">
        <v>207</v>
      </c>
      <c r="F255" s="43">
        <v>50000</v>
      </c>
      <c r="G255" s="43">
        <v>0.58</v>
      </c>
      <c r="H255" s="43">
        <f t="shared" si="10"/>
        <v>29000</v>
      </c>
      <c r="I255" s="43" t="s">
        <v>396</v>
      </c>
      <c r="J255" s="43"/>
      <c r="K255" s="43"/>
    </row>
    <row r="256" spans="1:11">
      <c r="A256" s="41">
        <v>45803</v>
      </c>
      <c r="B256" s="43" t="s">
        <v>237</v>
      </c>
      <c r="C256" s="43" t="s">
        <v>1327</v>
      </c>
      <c r="D256" s="43" t="s">
        <v>413</v>
      </c>
      <c r="E256" s="43" t="s">
        <v>207</v>
      </c>
      <c r="F256" s="43">
        <v>250000</v>
      </c>
      <c r="G256" s="43">
        <v>0.58</v>
      </c>
      <c r="H256" s="43">
        <f t="shared" si="10"/>
        <v>145000</v>
      </c>
      <c r="I256" s="43" t="s">
        <v>396</v>
      </c>
      <c r="J256" s="43"/>
      <c r="K256" s="43"/>
    </row>
    <row r="257" s="35" customFormat="1" spans="1:11">
      <c r="A257" s="44">
        <v>45780</v>
      </c>
      <c r="B257" s="45" t="s">
        <v>162</v>
      </c>
      <c r="C257" s="45" t="s">
        <v>1328</v>
      </c>
      <c r="D257" s="45" t="s">
        <v>462</v>
      </c>
      <c r="E257" s="45" t="s">
        <v>1329</v>
      </c>
      <c r="F257" s="45">
        <v>10000</v>
      </c>
      <c r="G257" s="45">
        <v>0.28</v>
      </c>
      <c r="H257" s="45">
        <f t="shared" si="10"/>
        <v>2800</v>
      </c>
      <c r="I257" s="45" t="s">
        <v>982</v>
      </c>
      <c r="J257" s="45" t="s">
        <v>46</v>
      </c>
      <c r="K257" s="45"/>
    </row>
    <row r="258" spans="1:11">
      <c r="A258" s="44">
        <v>45791</v>
      </c>
      <c r="B258" s="45" t="s">
        <v>162</v>
      </c>
      <c r="C258" s="45" t="s">
        <v>1330</v>
      </c>
      <c r="D258" s="45" t="s">
        <v>465</v>
      </c>
      <c r="E258" s="45" t="s">
        <v>158</v>
      </c>
      <c r="F258" s="45">
        <v>100000</v>
      </c>
      <c r="G258" s="45">
        <v>0.16</v>
      </c>
      <c r="H258" s="45">
        <f t="shared" si="10"/>
        <v>16000</v>
      </c>
      <c r="I258" s="45" t="s">
        <v>61</v>
      </c>
      <c r="J258" s="45" t="s">
        <v>46</v>
      </c>
      <c r="K258" s="43"/>
    </row>
    <row r="259" spans="1:11">
      <c r="A259" s="44">
        <v>45801</v>
      </c>
      <c r="B259" s="45" t="s">
        <v>162</v>
      </c>
      <c r="C259" s="45" t="s">
        <v>1331</v>
      </c>
      <c r="D259" s="45" t="s">
        <v>462</v>
      </c>
      <c r="E259" s="45" t="s">
        <v>1329</v>
      </c>
      <c r="F259" s="45">
        <v>10000</v>
      </c>
      <c r="G259" s="45">
        <v>0.28</v>
      </c>
      <c r="H259" s="45">
        <f t="shared" si="10"/>
        <v>2800</v>
      </c>
      <c r="I259" s="45" t="s">
        <v>982</v>
      </c>
      <c r="J259" s="45" t="s">
        <v>46</v>
      </c>
      <c r="K259" s="43"/>
    </row>
    <row r="260" s="35" customFormat="1" spans="1:11">
      <c r="A260" s="44">
        <v>45806</v>
      </c>
      <c r="B260" s="45" t="s">
        <v>162</v>
      </c>
      <c r="C260" s="45" t="s">
        <v>1332</v>
      </c>
      <c r="D260" s="45" t="s">
        <v>465</v>
      </c>
      <c r="E260" s="45" t="s">
        <v>158</v>
      </c>
      <c r="F260" s="45">
        <v>20000</v>
      </c>
      <c r="G260" s="45">
        <v>0.16</v>
      </c>
      <c r="H260" s="45">
        <f t="shared" si="10"/>
        <v>3200</v>
      </c>
      <c r="I260" s="45" t="s">
        <v>189</v>
      </c>
      <c r="J260" s="45" t="s">
        <v>46</v>
      </c>
      <c r="K260" s="45"/>
    </row>
    <row r="261" s="35" customFormat="1" spans="1:11">
      <c r="A261" s="44">
        <v>45806</v>
      </c>
      <c r="B261" s="45" t="s">
        <v>162</v>
      </c>
      <c r="C261" s="45" t="s">
        <v>1332</v>
      </c>
      <c r="D261" s="45" t="s">
        <v>460</v>
      </c>
      <c r="E261" s="45" t="s">
        <v>158</v>
      </c>
      <c r="F261" s="45">
        <v>20000</v>
      </c>
      <c r="G261" s="45">
        <v>0.16</v>
      </c>
      <c r="H261" s="45">
        <f t="shared" si="10"/>
        <v>3200</v>
      </c>
      <c r="I261" s="45" t="s">
        <v>189</v>
      </c>
      <c r="J261" s="45" t="s">
        <v>46</v>
      </c>
      <c r="K261" s="45"/>
    </row>
    <row r="262" spans="1:11">
      <c r="A262" s="41">
        <v>45789</v>
      </c>
      <c r="B262" s="43" t="s">
        <v>1333</v>
      </c>
      <c r="C262" s="43" t="s">
        <v>1334</v>
      </c>
      <c r="D262" s="43" t="s">
        <v>382</v>
      </c>
      <c r="E262" s="43" t="s">
        <v>14</v>
      </c>
      <c r="F262" s="43">
        <v>20000</v>
      </c>
      <c r="G262" s="43">
        <v>0.65</v>
      </c>
      <c r="H262" s="43">
        <f t="shared" si="10"/>
        <v>13000</v>
      </c>
      <c r="I262" s="43" t="s">
        <v>1335</v>
      </c>
      <c r="J262" s="43" t="s">
        <v>46</v>
      </c>
      <c r="K262" s="43"/>
    </row>
    <row r="263" spans="1:11">
      <c r="A263" s="41">
        <v>45789</v>
      </c>
      <c r="B263" s="43" t="s">
        <v>1333</v>
      </c>
      <c r="C263" s="43" t="s">
        <v>1334</v>
      </c>
      <c r="D263" s="43" t="s">
        <v>384</v>
      </c>
      <c r="E263" s="43" t="s">
        <v>14</v>
      </c>
      <c r="F263" s="43">
        <v>95000</v>
      </c>
      <c r="G263" s="43">
        <v>0.42</v>
      </c>
      <c r="H263" s="43">
        <f t="shared" si="10"/>
        <v>39900</v>
      </c>
      <c r="I263" s="43" t="s">
        <v>243</v>
      </c>
      <c r="J263" s="43" t="s">
        <v>46</v>
      </c>
      <c r="K263" s="43"/>
    </row>
    <row r="264" spans="1:11">
      <c r="A264" s="41">
        <v>45789</v>
      </c>
      <c r="B264" s="43" t="s">
        <v>1333</v>
      </c>
      <c r="C264" s="43" t="s">
        <v>1334</v>
      </c>
      <c r="D264" s="43" t="s">
        <v>384</v>
      </c>
      <c r="E264" s="43" t="s">
        <v>14</v>
      </c>
      <c r="F264" s="43">
        <v>129800</v>
      </c>
      <c r="G264" s="43">
        <v>0.42</v>
      </c>
      <c r="H264" s="43">
        <f t="shared" si="10"/>
        <v>54516</v>
      </c>
      <c r="I264" s="43" t="s">
        <v>243</v>
      </c>
      <c r="J264" s="43" t="s">
        <v>46</v>
      </c>
      <c r="K264" s="53"/>
    </row>
    <row r="265" spans="1:11">
      <c r="A265" s="41">
        <v>45786</v>
      </c>
      <c r="B265" s="43" t="s">
        <v>82</v>
      </c>
      <c r="C265" s="43" t="s">
        <v>1336</v>
      </c>
      <c r="D265" s="43" t="s">
        <v>53</v>
      </c>
      <c r="E265" s="43" t="s">
        <v>14</v>
      </c>
      <c r="F265" s="45">
        <v>10700</v>
      </c>
      <c r="G265" s="45">
        <v>1.5</v>
      </c>
      <c r="H265" s="43">
        <f t="shared" si="10"/>
        <v>16050</v>
      </c>
      <c r="I265" s="43" t="s">
        <v>54</v>
      </c>
      <c r="J265" s="43" t="s">
        <v>46</v>
      </c>
      <c r="K265" s="43"/>
    </row>
    <row r="266" spans="1:11">
      <c r="A266" s="41">
        <v>45786</v>
      </c>
      <c r="B266" s="43" t="s">
        <v>82</v>
      </c>
      <c r="C266" s="43" t="s">
        <v>1336</v>
      </c>
      <c r="D266" s="43" t="s">
        <v>395</v>
      </c>
      <c r="E266" s="43" t="s">
        <v>14</v>
      </c>
      <c r="F266" s="45">
        <v>10000</v>
      </c>
      <c r="G266" s="45">
        <v>0.9</v>
      </c>
      <c r="H266" s="43">
        <f t="shared" si="10"/>
        <v>9000</v>
      </c>
      <c r="I266" s="43" t="s">
        <v>396</v>
      </c>
      <c r="J266" s="43" t="s">
        <v>46</v>
      </c>
      <c r="K266" s="43"/>
    </row>
    <row r="267" spans="1:11">
      <c r="A267" s="41">
        <v>45786</v>
      </c>
      <c r="B267" s="43" t="s">
        <v>82</v>
      </c>
      <c r="C267" s="43" t="s">
        <v>1336</v>
      </c>
      <c r="D267" s="43" t="s">
        <v>18</v>
      </c>
      <c r="E267" s="43" t="s">
        <v>14</v>
      </c>
      <c r="F267" s="45">
        <v>32500</v>
      </c>
      <c r="G267" s="45">
        <v>0.8</v>
      </c>
      <c r="H267" s="43">
        <f t="shared" si="10"/>
        <v>26000</v>
      </c>
      <c r="I267" s="43" t="s">
        <v>61</v>
      </c>
      <c r="J267" s="43" t="s">
        <v>46</v>
      </c>
      <c r="K267" s="43"/>
    </row>
    <row r="268" spans="1:11">
      <c r="A268" s="41">
        <v>45793</v>
      </c>
      <c r="B268" s="43" t="s">
        <v>82</v>
      </c>
      <c r="C268" s="43" t="s">
        <v>1337</v>
      </c>
      <c r="D268" s="43" t="s">
        <v>18</v>
      </c>
      <c r="E268" s="43" t="s">
        <v>14</v>
      </c>
      <c r="F268" s="45">
        <v>40000</v>
      </c>
      <c r="G268" s="45">
        <v>0.8</v>
      </c>
      <c r="H268" s="43">
        <f t="shared" si="10"/>
        <v>32000</v>
      </c>
      <c r="I268" s="43" t="s">
        <v>61</v>
      </c>
      <c r="J268" s="43" t="s">
        <v>46</v>
      </c>
      <c r="K268" s="43"/>
    </row>
    <row r="269" spans="1:11">
      <c r="A269" s="41">
        <v>45798</v>
      </c>
      <c r="B269" s="43" t="s">
        <v>82</v>
      </c>
      <c r="C269" s="43" t="s">
        <v>1338</v>
      </c>
      <c r="D269" s="43" t="s">
        <v>1339</v>
      </c>
      <c r="E269" s="43" t="s">
        <v>361</v>
      </c>
      <c r="F269" s="45">
        <v>210</v>
      </c>
      <c r="G269" s="45">
        <v>1.48</v>
      </c>
      <c r="H269" s="43">
        <f t="shared" si="10"/>
        <v>310.8</v>
      </c>
      <c r="I269" s="43" t="s">
        <v>1340</v>
      </c>
      <c r="J269" s="43" t="s">
        <v>369</v>
      </c>
      <c r="K269" s="43"/>
    </row>
    <row r="270" spans="1:11">
      <c r="A270" s="41">
        <v>45798</v>
      </c>
      <c r="B270" s="43" t="s">
        <v>82</v>
      </c>
      <c r="C270" s="43" t="s">
        <v>1341</v>
      </c>
      <c r="D270" s="43" t="s">
        <v>411</v>
      </c>
      <c r="E270" s="43" t="s">
        <v>14</v>
      </c>
      <c r="F270" s="45">
        <v>23000</v>
      </c>
      <c r="G270" s="45">
        <v>0.9</v>
      </c>
      <c r="H270" s="43">
        <f t="shared" si="10"/>
        <v>20700</v>
      </c>
      <c r="I270" s="43" t="s">
        <v>340</v>
      </c>
      <c r="J270" s="43" t="s">
        <v>46</v>
      </c>
      <c r="K270" s="43"/>
    </row>
    <row r="271" spans="1:11">
      <c r="A271" s="41">
        <v>45798</v>
      </c>
      <c r="B271" s="43" t="s">
        <v>82</v>
      </c>
      <c r="C271" s="43" t="s">
        <v>1341</v>
      </c>
      <c r="D271" s="43" t="s">
        <v>1342</v>
      </c>
      <c r="E271" s="43" t="s">
        <v>14</v>
      </c>
      <c r="F271" s="45">
        <v>10000</v>
      </c>
      <c r="G271" s="45">
        <v>1.1</v>
      </c>
      <c r="H271" s="43">
        <f t="shared" si="10"/>
        <v>11000</v>
      </c>
      <c r="I271" s="43" t="s">
        <v>570</v>
      </c>
      <c r="J271" s="43" t="s">
        <v>46</v>
      </c>
      <c r="K271" s="43"/>
    </row>
    <row r="272" spans="1:11">
      <c r="A272" s="41">
        <v>45798</v>
      </c>
      <c r="B272" s="43" t="s">
        <v>82</v>
      </c>
      <c r="C272" s="43" t="s">
        <v>1341</v>
      </c>
      <c r="D272" s="43" t="s">
        <v>680</v>
      </c>
      <c r="E272" s="43" t="s">
        <v>14</v>
      </c>
      <c r="F272" s="45">
        <v>100</v>
      </c>
      <c r="G272" s="45">
        <v>1.2</v>
      </c>
      <c r="H272" s="43">
        <f t="shared" si="10"/>
        <v>120</v>
      </c>
      <c r="I272" s="43" t="s">
        <v>235</v>
      </c>
      <c r="J272" s="43" t="s">
        <v>46</v>
      </c>
      <c r="K272" s="43"/>
    </row>
    <row r="273" spans="1:11">
      <c r="A273" s="41">
        <v>45798</v>
      </c>
      <c r="B273" s="43" t="s">
        <v>82</v>
      </c>
      <c r="C273" s="43" t="s">
        <v>1343</v>
      </c>
      <c r="D273" s="43" t="s">
        <v>134</v>
      </c>
      <c r="E273" s="43" t="s">
        <v>14</v>
      </c>
      <c r="F273" s="45">
        <v>20000</v>
      </c>
      <c r="G273" s="45">
        <v>0.7</v>
      </c>
      <c r="H273" s="43">
        <f t="shared" si="10"/>
        <v>14000</v>
      </c>
      <c r="I273" s="43" t="s">
        <v>1344</v>
      </c>
      <c r="J273" s="43" t="s">
        <v>46</v>
      </c>
      <c r="K273" s="43"/>
    </row>
    <row r="274" spans="1:11">
      <c r="A274" s="41">
        <v>45798</v>
      </c>
      <c r="B274" s="43" t="s">
        <v>82</v>
      </c>
      <c r="C274" s="43" t="s">
        <v>1343</v>
      </c>
      <c r="D274" s="43" t="s">
        <v>1345</v>
      </c>
      <c r="E274" s="43" t="s">
        <v>14</v>
      </c>
      <c r="F274" s="45">
        <v>2050</v>
      </c>
      <c r="G274" s="45">
        <v>0.9</v>
      </c>
      <c r="H274" s="43">
        <f t="shared" si="10"/>
        <v>1845</v>
      </c>
      <c r="I274" s="43" t="s">
        <v>330</v>
      </c>
      <c r="J274" s="43" t="s">
        <v>46</v>
      </c>
      <c r="K274" s="43"/>
    </row>
    <row r="275" spans="1:11">
      <c r="A275" s="41">
        <v>45804</v>
      </c>
      <c r="B275" s="43" t="s">
        <v>82</v>
      </c>
      <c r="C275" s="43" t="s">
        <v>1346</v>
      </c>
      <c r="D275" s="43" t="s">
        <v>399</v>
      </c>
      <c r="E275" s="43" t="s">
        <v>14</v>
      </c>
      <c r="F275" s="45">
        <v>3070</v>
      </c>
      <c r="G275" s="45">
        <v>1.2</v>
      </c>
      <c r="H275" s="43">
        <f t="shared" si="10"/>
        <v>3684</v>
      </c>
      <c r="I275" s="43" t="s">
        <v>1347</v>
      </c>
      <c r="J275" s="43" t="s">
        <v>46</v>
      </c>
      <c r="K275" s="43"/>
    </row>
    <row r="276" spans="1:11">
      <c r="A276" s="41">
        <v>45805</v>
      </c>
      <c r="B276" s="43" t="s">
        <v>82</v>
      </c>
      <c r="C276" s="43" t="s">
        <v>1348</v>
      </c>
      <c r="D276" s="43" t="s">
        <v>1342</v>
      </c>
      <c r="E276" s="43" t="s">
        <v>14</v>
      </c>
      <c r="F276" s="45">
        <v>30050</v>
      </c>
      <c r="G276" s="45">
        <v>1.05</v>
      </c>
      <c r="H276" s="43">
        <f t="shared" si="10"/>
        <v>31552.5</v>
      </c>
      <c r="I276" s="43" t="s">
        <v>117</v>
      </c>
      <c r="J276" s="43" t="s">
        <v>46</v>
      </c>
      <c r="K276" s="43"/>
    </row>
    <row r="277" spans="1:11">
      <c r="A277" s="41">
        <v>45805</v>
      </c>
      <c r="B277" s="43" t="s">
        <v>82</v>
      </c>
      <c r="C277" s="43" t="s">
        <v>1348</v>
      </c>
      <c r="D277" s="43" t="s">
        <v>680</v>
      </c>
      <c r="E277" s="43" t="s">
        <v>14</v>
      </c>
      <c r="F277" s="45">
        <v>32000</v>
      </c>
      <c r="G277" s="45">
        <v>1.1</v>
      </c>
      <c r="H277" s="43">
        <f t="shared" si="10"/>
        <v>35200</v>
      </c>
      <c r="I277" s="43" t="s">
        <v>1349</v>
      </c>
      <c r="J277" s="43" t="s">
        <v>46</v>
      </c>
      <c r="K277" s="43"/>
    </row>
    <row r="278" spans="1:11">
      <c r="A278" s="41">
        <v>45805</v>
      </c>
      <c r="B278" s="43" t="s">
        <v>82</v>
      </c>
      <c r="C278" s="43" t="s">
        <v>1348</v>
      </c>
      <c r="D278" s="43" t="s">
        <v>234</v>
      </c>
      <c r="E278" s="43" t="s">
        <v>14</v>
      </c>
      <c r="F278" s="45">
        <v>20000</v>
      </c>
      <c r="G278" s="45">
        <v>1.05</v>
      </c>
      <c r="H278" s="43">
        <f t="shared" si="10"/>
        <v>21000</v>
      </c>
      <c r="I278" s="43" t="s">
        <v>235</v>
      </c>
      <c r="J278" s="43" t="s">
        <v>46</v>
      </c>
      <c r="K278" s="43"/>
    </row>
    <row r="279" spans="1:11">
      <c r="A279" s="41">
        <v>45781</v>
      </c>
      <c r="B279" s="43" t="s">
        <v>237</v>
      </c>
      <c r="C279" s="43" t="s">
        <v>1350</v>
      </c>
      <c r="D279" s="43" t="s">
        <v>1351</v>
      </c>
      <c r="E279" s="43" t="s">
        <v>14</v>
      </c>
      <c r="F279" s="43">
        <v>25080</v>
      </c>
      <c r="G279" s="43">
        <v>1.05</v>
      </c>
      <c r="H279" s="43">
        <f t="shared" si="10"/>
        <v>26334</v>
      </c>
      <c r="I279" s="43" t="s">
        <v>864</v>
      </c>
      <c r="J279" s="43" t="s">
        <v>46</v>
      </c>
      <c r="K279" s="43"/>
    </row>
    <row r="280" spans="1:11">
      <c r="A280" s="41">
        <v>45785</v>
      </c>
      <c r="B280" s="43" t="s">
        <v>269</v>
      </c>
      <c r="C280" s="43"/>
      <c r="D280" s="43" t="s">
        <v>270</v>
      </c>
      <c r="E280" s="43" t="s">
        <v>14</v>
      </c>
      <c r="F280" s="43">
        <v>30306</v>
      </c>
      <c r="G280" s="43">
        <v>1.2</v>
      </c>
      <c r="H280" s="43">
        <f t="shared" si="10"/>
        <v>36367.2</v>
      </c>
      <c r="I280" s="43" t="s">
        <v>271</v>
      </c>
      <c r="J280" s="43" t="s">
        <v>46</v>
      </c>
      <c r="K280" s="43"/>
    </row>
    <row r="281" spans="1:11">
      <c r="A281" s="41">
        <v>45802</v>
      </c>
      <c r="B281" s="43" t="s">
        <v>269</v>
      </c>
      <c r="C281" s="43"/>
      <c r="D281" s="43" t="s">
        <v>1158</v>
      </c>
      <c r="E281" s="43" t="s">
        <v>14</v>
      </c>
      <c r="F281" s="43">
        <v>24000</v>
      </c>
      <c r="G281" s="43">
        <v>1.05</v>
      </c>
      <c r="H281" s="43">
        <f t="shared" si="10"/>
        <v>25200</v>
      </c>
      <c r="I281" s="43" t="s">
        <v>45</v>
      </c>
      <c r="J281" s="43" t="s">
        <v>46</v>
      </c>
      <c r="K281" s="43"/>
    </row>
    <row r="282" spans="1:11">
      <c r="A282" s="41">
        <v>45803</v>
      </c>
      <c r="B282" s="43" t="s">
        <v>269</v>
      </c>
      <c r="C282" s="43"/>
      <c r="D282" s="43" t="s">
        <v>1158</v>
      </c>
      <c r="E282" s="43" t="s">
        <v>14</v>
      </c>
      <c r="F282" s="43">
        <v>15473</v>
      </c>
      <c r="G282" s="43">
        <v>1.05</v>
      </c>
      <c r="H282" s="43">
        <f t="shared" si="10"/>
        <v>16246.65</v>
      </c>
      <c r="I282" s="43" t="s">
        <v>45</v>
      </c>
      <c r="J282" s="43" t="s">
        <v>46</v>
      </c>
      <c r="K282" s="43"/>
    </row>
    <row r="283" spans="1:11">
      <c r="A283" s="41">
        <v>45791</v>
      </c>
      <c r="B283" s="43" t="s">
        <v>477</v>
      </c>
      <c r="C283" s="43" t="s">
        <v>1352</v>
      </c>
      <c r="D283" s="43" t="s">
        <v>305</v>
      </c>
      <c r="E283" s="43" t="s">
        <v>14</v>
      </c>
      <c r="F283" s="43">
        <v>105</v>
      </c>
      <c r="G283" s="43">
        <v>2.8</v>
      </c>
      <c r="H283" s="43">
        <f t="shared" si="10"/>
        <v>294</v>
      </c>
      <c r="I283" s="43" t="s">
        <v>28</v>
      </c>
      <c r="J283" s="43"/>
      <c r="K283" s="43"/>
    </row>
    <row r="284" spans="1:11">
      <c r="A284" s="41">
        <v>45791</v>
      </c>
      <c r="B284" s="43" t="s">
        <v>477</v>
      </c>
      <c r="C284" s="43" t="s">
        <v>1352</v>
      </c>
      <c r="D284" s="43" t="s">
        <v>922</v>
      </c>
      <c r="E284" s="43" t="s">
        <v>14</v>
      </c>
      <c r="F284" s="43">
        <v>2</v>
      </c>
      <c r="G284" s="43">
        <v>0</v>
      </c>
      <c r="H284" s="43">
        <f t="shared" si="10"/>
        <v>0</v>
      </c>
      <c r="I284" s="43" t="s">
        <v>32</v>
      </c>
      <c r="J284" s="43"/>
      <c r="K284" s="43"/>
    </row>
    <row r="285" spans="1:11">
      <c r="A285" s="41">
        <v>45790</v>
      </c>
      <c r="B285" s="43" t="s">
        <v>1353</v>
      </c>
      <c r="C285" s="43"/>
      <c r="D285" s="43" t="s">
        <v>110</v>
      </c>
      <c r="E285" s="43" t="s">
        <v>14</v>
      </c>
      <c r="F285" s="43">
        <v>7900</v>
      </c>
      <c r="G285" s="43">
        <v>0.45</v>
      </c>
      <c r="H285" s="43">
        <f t="shared" si="10"/>
        <v>3555</v>
      </c>
      <c r="I285" s="43" t="s">
        <v>243</v>
      </c>
      <c r="J285" s="43" t="s">
        <v>46</v>
      </c>
      <c r="K285" s="43"/>
    </row>
    <row r="286" spans="1:11">
      <c r="A286" s="41">
        <v>45790</v>
      </c>
      <c r="B286" s="43" t="s">
        <v>1353</v>
      </c>
      <c r="C286" s="43"/>
      <c r="D286" s="43" t="s">
        <v>1354</v>
      </c>
      <c r="E286" s="43" t="s">
        <v>14</v>
      </c>
      <c r="F286" s="43">
        <v>22091</v>
      </c>
      <c r="G286" s="43">
        <v>0.65</v>
      </c>
      <c r="H286" s="43">
        <f t="shared" si="10"/>
        <v>14359.15</v>
      </c>
      <c r="I286" s="43" t="s">
        <v>243</v>
      </c>
      <c r="J286" s="43" t="s">
        <v>46</v>
      </c>
      <c r="K286" s="43"/>
    </row>
    <row r="287" s="35" customFormat="1" spans="1:11">
      <c r="A287" s="44">
        <v>45796</v>
      </c>
      <c r="B287" s="45" t="s">
        <v>1353</v>
      </c>
      <c r="C287" s="45" t="s">
        <v>1355</v>
      </c>
      <c r="D287" s="45" t="s">
        <v>1166</v>
      </c>
      <c r="E287" s="45" t="s">
        <v>14</v>
      </c>
      <c r="F287" s="45">
        <v>-1710</v>
      </c>
      <c r="G287" s="45">
        <v>0.7</v>
      </c>
      <c r="H287" s="45">
        <f t="shared" si="10"/>
        <v>-1197</v>
      </c>
      <c r="I287" s="45" t="s">
        <v>271</v>
      </c>
      <c r="J287" s="45"/>
      <c r="K287" s="45"/>
    </row>
    <row r="288" s="35" customFormat="1" spans="1:11">
      <c r="A288" s="44">
        <v>45800</v>
      </c>
      <c r="B288" s="45" t="s">
        <v>1353</v>
      </c>
      <c r="C288" s="45"/>
      <c r="D288" s="45" t="s">
        <v>27</v>
      </c>
      <c r="E288" s="45" t="s">
        <v>14</v>
      </c>
      <c r="F288" s="45">
        <v>8080</v>
      </c>
      <c r="G288" s="45">
        <v>1.7</v>
      </c>
      <c r="H288" s="45">
        <f t="shared" si="10"/>
        <v>13736</v>
      </c>
      <c r="I288" s="45" t="s">
        <v>982</v>
      </c>
      <c r="J288" s="45" t="s">
        <v>46</v>
      </c>
      <c r="K288" s="45"/>
    </row>
    <row r="289" s="35" customFormat="1" spans="1:11">
      <c r="A289" s="44">
        <v>45801</v>
      </c>
      <c r="B289" s="45" t="s">
        <v>1353</v>
      </c>
      <c r="C289" s="45"/>
      <c r="D289" s="45" t="s">
        <v>259</v>
      </c>
      <c r="E289" s="45" t="s">
        <v>14</v>
      </c>
      <c r="F289" s="45">
        <v>30000</v>
      </c>
      <c r="G289" s="45">
        <v>0.48</v>
      </c>
      <c r="H289" s="45">
        <f t="shared" si="10"/>
        <v>14400</v>
      </c>
      <c r="I289" s="45" t="s">
        <v>65</v>
      </c>
      <c r="J289" s="45" t="s">
        <v>46</v>
      </c>
      <c r="K289" s="45"/>
    </row>
    <row r="290" s="35" customFormat="1" spans="1:11">
      <c r="A290" s="44">
        <v>45800</v>
      </c>
      <c r="B290" s="45" t="s">
        <v>1353</v>
      </c>
      <c r="C290" s="45"/>
      <c r="D290" s="45" t="s">
        <v>493</v>
      </c>
      <c r="E290" s="45" t="s">
        <v>14</v>
      </c>
      <c r="F290" s="45">
        <v>20000</v>
      </c>
      <c r="G290" s="45">
        <v>0.75</v>
      </c>
      <c r="H290" s="45">
        <f t="shared" si="10"/>
        <v>15000</v>
      </c>
      <c r="I290" s="45" t="s">
        <v>271</v>
      </c>
      <c r="J290" s="45" t="s">
        <v>46</v>
      </c>
      <c r="K290" s="45"/>
    </row>
    <row r="291" spans="1:11">
      <c r="A291" s="44">
        <v>45803</v>
      </c>
      <c r="B291" s="45" t="s">
        <v>1353</v>
      </c>
      <c r="C291" s="45" t="s">
        <v>1356</v>
      </c>
      <c r="D291" s="45" t="s">
        <v>27</v>
      </c>
      <c r="E291" s="45" t="s">
        <v>14</v>
      </c>
      <c r="F291" s="45">
        <v>205</v>
      </c>
      <c r="G291" s="45">
        <v>1.7</v>
      </c>
      <c r="H291" s="45">
        <f t="shared" si="10"/>
        <v>348.5</v>
      </c>
      <c r="I291" s="45" t="s">
        <v>982</v>
      </c>
      <c r="J291" s="43"/>
      <c r="K291" s="43"/>
    </row>
    <row r="292" spans="1:11">
      <c r="A292" s="44">
        <v>45803</v>
      </c>
      <c r="B292" s="45" t="s">
        <v>1353</v>
      </c>
      <c r="C292" s="45"/>
      <c r="D292" s="45" t="s">
        <v>1357</v>
      </c>
      <c r="E292" s="45" t="s">
        <v>14</v>
      </c>
      <c r="F292" s="45">
        <v>3030</v>
      </c>
      <c r="G292" s="45">
        <v>1.55</v>
      </c>
      <c r="H292" s="45">
        <f t="shared" si="10"/>
        <v>4696.5</v>
      </c>
      <c r="I292" s="45" t="s">
        <v>982</v>
      </c>
      <c r="J292" s="43" t="s">
        <v>46</v>
      </c>
      <c r="K292" s="43"/>
    </row>
    <row r="293" s="35" customFormat="1" spans="1:11">
      <c r="A293" s="44">
        <v>45806</v>
      </c>
      <c r="B293" s="45" t="s">
        <v>1353</v>
      </c>
      <c r="C293" s="45"/>
      <c r="D293" s="45" t="s">
        <v>387</v>
      </c>
      <c r="E293" s="45" t="s">
        <v>14</v>
      </c>
      <c r="F293" s="45">
        <v>6100</v>
      </c>
      <c r="G293" s="45">
        <v>1.25</v>
      </c>
      <c r="H293" s="45">
        <f t="shared" si="10"/>
        <v>7625</v>
      </c>
      <c r="I293" s="45" t="s">
        <v>235</v>
      </c>
      <c r="J293" s="45" t="s">
        <v>46</v>
      </c>
      <c r="K293" s="45"/>
    </row>
    <row r="294" s="35" customFormat="1" spans="1:11">
      <c r="A294" s="44">
        <v>45806</v>
      </c>
      <c r="B294" s="45" t="s">
        <v>1353</v>
      </c>
      <c r="C294" s="45"/>
      <c r="D294" s="45" t="s">
        <v>493</v>
      </c>
      <c r="E294" s="45" t="s">
        <v>14</v>
      </c>
      <c r="F294" s="45">
        <v>50000</v>
      </c>
      <c r="G294" s="45">
        <v>0.76</v>
      </c>
      <c r="H294" s="45">
        <f t="shared" si="10"/>
        <v>38000</v>
      </c>
      <c r="I294" s="45" t="s">
        <v>503</v>
      </c>
      <c r="J294" s="45" t="s">
        <v>46</v>
      </c>
      <c r="K294" s="45"/>
    </row>
    <row r="295" s="35" customFormat="1" spans="1:11">
      <c r="A295" s="44">
        <v>45806</v>
      </c>
      <c r="B295" s="45" t="s">
        <v>1353</v>
      </c>
      <c r="C295" s="45"/>
      <c r="D295" s="45" t="s">
        <v>252</v>
      </c>
      <c r="E295" s="45" t="s">
        <v>14</v>
      </c>
      <c r="F295" s="45">
        <v>20000</v>
      </c>
      <c r="G295" s="45">
        <v>0.49</v>
      </c>
      <c r="H295" s="45">
        <f t="shared" si="10"/>
        <v>9800</v>
      </c>
      <c r="I295" s="45" t="s">
        <v>149</v>
      </c>
      <c r="J295" s="45" t="s">
        <v>46</v>
      </c>
      <c r="K295" s="45"/>
    </row>
    <row r="296" spans="1:11">
      <c r="A296" s="44">
        <v>45806</v>
      </c>
      <c r="B296" s="45" t="s">
        <v>1353</v>
      </c>
      <c r="C296" s="45"/>
      <c r="D296" s="45" t="s">
        <v>387</v>
      </c>
      <c r="E296" s="45" t="s">
        <v>14</v>
      </c>
      <c r="F296" s="45">
        <v>6100</v>
      </c>
      <c r="G296" s="45">
        <v>1.25</v>
      </c>
      <c r="H296" s="45">
        <f t="shared" si="10"/>
        <v>7625</v>
      </c>
      <c r="I296" s="45" t="s">
        <v>235</v>
      </c>
      <c r="J296" s="43" t="s">
        <v>46</v>
      </c>
      <c r="K296" s="43"/>
    </row>
    <row r="297" spans="1:11">
      <c r="A297" s="41">
        <v>45786</v>
      </c>
      <c r="B297" s="43" t="s">
        <v>225</v>
      </c>
      <c r="C297" s="87" t="s">
        <v>1358</v>
      </c>
      <c r="D297" s="43" t="s">
        <v>227</v>
      </c>
      <c r="E297" s="43" t="s">
        <v>123</v>
      </c>
      <c r="F297" s="43">
        <v>579</v>
      </c>
      <c r="G297" s="43">
        <v>0.7</v>
      </c>
      <c r="H297" s="43">
        <f t="shared" si="10"/>
        <v>405.3</v>
      </c>
      <c r="I297" s="43" t="s">
        <v>208</v>
      </c>
      <c r="J297" s="43"/>
      <c r="K297" s="43"/>
    </row>
    <row r="298" spans="1:11">
      <c r="A298" s="41">
        <v>45790</v>
      </c>
      <c r="B298" s="43" t="s">
        <v>225</v>
      </c>
      <c r="C298" s="87" t="s">
        <v>1359</v>
      </c>
      <c r="D298" s="43" t="s">
        <v>227</v>
      </c>
      <c r="E298" s="43" t="s">
        <v>123</v>
      </c>
      <c r="F298" s="43">
        <v>6034</v>
      </c>
      <c r="G298" s="43">
        <v>0.68</v>
      </c>
      <c r="H298" s="43">
        <f t="shared" si="10"/>
        <v>4103.12</v>
      </c>
      <c r="I298" s="43" t="s">
        <v>437</v>
      </c>
      <c r="J298" s="43"/>
      <c r="K298" s="43"/>
    </row>
    <row r="299" ht="12" customHeight="1" spans="1:11">
      <c r="A299" s="44">
        <v>45792</v>
      </c>
      <c r="B299" s="45" t="s">
        <v>448</v>
      </c>
      <c r="C299" s="45">
        <v>2025050026</v>
      </c>
      <c r="D299" s="45" t="s">
        <v>195</v>
      </c>
      <c r="E299" s="45" t="s">
        <v>60</v>
      </c>
      <c r="F299" s="45">
        <v>20000</v>
      </c>
      <c r="G299" s="45">
        <v>0.8</v>
      </c>
      <c r="H299" s="45">
        <f t="shared" si="10"/>
        <v>16000</v>
      </c>
      <c r="I299" s="45" t="s">
        <v>864</v>
      </c>
      <c r="J299" s="43"/>
      <c r="K299" s="43"/>
    </row>
    <row r="300" ht="12" customHeight="1" spans="1:11">
      <c r="A300" s="44">
        <v>45794</v>
      </c>
      <c r="B300" s="45" t="s">
        <v>448</v>
      </c>
      <c r="C300" s="45">
        <v>2025050034</v>
      </c>
      <c r="D300" s="45" t="s">
        <v>195</v>
      </c>
      <c r="E300" s="45" t="s">
        <v>60</v>
      </c>
      <c r="F300" s="45">
        <v>28720</v>
      </c>
      <c r="G300" s="45">
        <v>0.8</v>
      </c>
      <c r="H300" s="45">
        <f t="shared" si="10"/>
        <v>22976</v>
      </c>
      <c r="I300" s="45" t="s">
        <v>864</v>
      </c>
      <c r="J300" s="43"/>
      <c r="K300" s="43"/>
    </row>
    <row r="301" ht="12" customHeight="1" spans="1:11">
      <c r="A301" s="44">
        <v>45797</v>
      </c>
      <c r="B301" s="45" t="s">
        <v>448</v>
      </c>
      <c r="C301" s="45">
        <v>2025050040</v>
      </c>
      <c r="D301" s="45" t="s">
        <v>195</v>
      </c>
      <c r="E301" s="45" t="s">
        <v>60</v>
      </c>
      <c r="F301" s="45">
        <v>262</v>
      </c>
      <c r="G301" s="45">
        <v>0.8</v>
      </c>
      <c r="H301" s="45">
        <f t="shared" si="10"/>
        <v>209.6</v>
      </c>
      <c r="I301" s="45" t="s">
        <v>864</v>
      </c>
      <c r="J301" s="43"/>
      <c r="K301" s="43"/>
    </row>
    <row r="302" ht="12" customHeight="1" spans="1:11">
      <c r="A302" s="44">
        <v>45797</v>
      </c>
      <c r="B302" s="45" t="s">
        <v>448</v>
      </c>
      <c r="C302" s="45">
        <v>2025050040</v>
      </c>
      <c r="D302" s="45"/>
      <c r="E302" s="45" t="s">
        <v>60</v>
      </c>
      <c r="F302" s="45">
        <v>38</v>
      </c>
      <c r="G302" s="45">
        <v>0.8</v>
      </c>
      <c r="H302" s="45">
        <f t="shared" si="10"/>
        <v>30.4</v>
      </c>
      <c r="I302" s="45" t="s">
        <v>864</v>
      </c>
      <c r="J302" s="43"/>
      <c r="K302" s="43"/>
    </row>
    <row r="303" spans="1:11">
      <c r="A303" s="41">
        <v>45790</v>
      </c>
      <c r="B303" s="43" t="s">
        <v>156</v>
      </c>
      <c r="C303" s="43"/>
      <c r="D303" s="43" t="s">
        <v>1074</v>
      </c>
      <c r="E303" s="43" t="s">
        <v>463</v>
      </c>
      <c r="F303" s="43">
        <v>50000</v>
      </c>
      <c r="G303" s="43">
        <v>0.23</v>
      </c>
      <c r="H303" s="43">
        <f t="shared" si="10"/>
        <v>11500</v>
      </c>
      <c r="I303" s="43" t="s">
        <v>61</v>
      </c>
      <c r="J303" s="43" t="s">
        <v>46</v>
      </c>
      <c r="K303" s="43"/>
    </row>
    <row r="304" spans="1:11">
      <c r="A304" s="41">
        <v>45790</v>
      </c>
      <c r="B304" s="43" t="s">
        <v>156</v>
      </c>
      <c r="C304" s="43"/>
      <c r="D304" s="43" t="s">
        <v>1360</v>
      </c>
      <c r="E304" s="43" t="s">
        <v>463</v>
      </c>
      <c r="F304" s="43">
        <v>50000</v>
      </c>
      <c r="G304" s="43">
        <v>0.23</v>
      </c>
      <c r="H304" s="43">
        <f t="shared" si="10"/>
        <v>11500</v>
      </c>
      <c r="I304" s="43" t="s">
        <v>1361</v>
      </c>
      <c r="J304" s="43" t="s">
        <v>46</v>
      </c>
      <c r="K304" s="43"/>
    </row>
    <row r="305" spans="1:11">
      <c r="A305" s="41">
        <v>45790</v>
      </c>
      <c r="B305" s="43" t="s">
        <v>861</v>
      </c>
      <c r="C305" s="43" t="s">
        <v>1362</v>
      </c>
      <c r="D305" s="43" t="s">
        <v>282</v>
      </c>
      <c r="E305" s="43" t="s">
        <v>14</v>
      </c>
      <c r="F305" s="43">
        <v>10000</v>
      </c>
      <c r="G305" s="43">
        <v>0.92</v>
      </c>
      <c r="H305" s="43">
        <f t="shared" si="10"/>
        <v>9200</v>
      </c>
      <c r="I305" s="43" t="s">
        <v>283</v>
      </c>
      <c r="J305" s="43" t="s">
        <v>46</v>
      </c>
      <c r="K305" s="43"/>
    </row>
    <row r="306" spans="1:11">
      <c r="A306" s="41">
        <v>45792</v>
      </c>
      <c r="B306" s="43" t="s">
        <v>861</v>
      </c>
      <c r="C306" s="43" t="s">
        <v>1363</v>
      </c>
      <c r="D306" s="43" t="s">
        <v>234</v>
      </c>
      <c r="E306" s="43" t="s">
        <v>14</v>
      </c>
      <c r="F306" s="43">
        <v>5200</v>
      </c>
      <c r="G306" s="43">
        <v>0.95</v>
      </c>
      <c r="H306" s="43">
        <f t="shared" si="10"/>
        <v>4940</v>
      </c>
      <c r="I306" s="43" t="s">
        <v>278</v>
      </c>
      <c r="J306" s="43" t="s">
        <v>46</v>
      </c>
      <c r="K306" s="43"/>
    </row>
    <row r="307" spans="1:11">
      <c r="A307" s="41">
        <v>45792</v>
      </c>
      <c r="B307" s="43" t="s">
        <v>861</v>
      </c>
      <c r="C307" s="43" t="s">
        <v>1363</v>
      </c>
      <c r="D307" s="43">
        <v>-300</v>
      </c>
      <c r="E307" s="43" t="s">
        <v>14</v>
      </c>
      <c r="F307" s="43">
        <v>205</v>
      </c>
      <c r="G307" s="43">
        <v>1.3</v>
      </c>
      <c r="H307" s="43">
        <f t="shared" si="10"/>
        <v>266.5</v>
      </c>
      <c r="I307" s="43" t="s">
        <v>432</v>
      </c>
      <c r="J307" s="43" t="s">
        <v>46</v>
      </c>
      <c r="K307" s="43"/>
    </row>
    <row r="308" spans="1:11">
      <c r="A308" s="41">
        <v>45793</v>
      </c>
      <c r="B308" s="43" t="s">
        <v>861</v>
      </c>
      <c r="C308" s="43" t="s">
        <v>1364</v>
      </c>
      <c r="D308" s="43" t="s">
        <v>234</v>
      </c>
      <c r="E308" s="43" t="s">
        <v>14</v>
      </c>
      <c r="F308" s="43">
        <v>1040</v>
      </c>
      <c r="G308" s="43">
        <v>0.95</v>
      </c>
      <c r="H308" s="43">
        <f t="shared" ref="H308:H324" si="11">F308*G308</f>
        <v>988</v>
      </c>
      <c r="I308" s="43" t="s">
        <v>278</v>
      </c>
      <c r="J308" s="43" t="s">
        <v>46</v>
      </c>
      <c r="K308" s="43"/>
    </row>
    <row r="309" spans="1:11">
      <c r="A309" s="41">
        <v>45791</v>
      </c>
      <c r="B309" s="43" t="s">
        <v>1365</v>
      </c>
      <c r="C309" s="87" t="s">
        <v>1366</v>
      </c>
      <c r="D309" s="43" t="s">
        <v>1166</v>
      </c>
      <c r="E309" s="43" t="s">
        <v>14</v>
      </c>
      <c r="F309" s="43">
        <v>11160</v>
      </c>
      <c r="G309" s="43">
        <v>0.67</v>
      </c>
      <c r="H309" s="43">
        <f t="shared" si="11"/>
        <v>7477.2</v>
      </c>
      <c r="I309" s="43" t="s">
        <v>61</v>
      </c>
      <c r="J309" s="43" t="s">
        <v>46</v>
      </c>
      <c r="K309" s="43"/>
    </row>
    <row r="310" spans="1:11">
      <c r="A310" s="41">
        <v>45794</v>
      </c>
      <c r="B310" s="43" t="s">
        <v>1367</v>
      </c>
      <c r="C310" s="43"/>
      <c r="D310" s="43" t="s">
        <v>493</v>
      </c>
      <c r="E310" s="43" t="s">
        <v>14</v>
      </c>
      <c r="F310" s="43">
        <v>20000</v>
      </c>
      <c r="G310" s="43">
        <v>0.83</v>
      </c>
      <c r="H310" s="43">
        <f t="shared" si="11"/>
        <v>16600</v>
      </c>
      <c r="I310" s="43" t="s">
        <v>503</v>
      </c>
      <c r="J310" s="43" t="s">
        <v>46</v>
      </c>
      <c r="K310" s="43"/>
    </row>
    <row r="311" spans="1:11">
      <c r="A311" s="41">
        <v>45803</v>
      </c>
      <c r="B311" s="43" t="s">
        <v>1367</v>
      </c>
      <c r="C311" s="43"/>
      <c r="D311" s="43" t="s">
        <v>399</v>
      </c>
      <c r="E311" s="43" t="s">
        <v>14</v>
      </c>
      <c r="F311" s="43">
        <v>2050</v>
      </c>
      <c r="G311" s="43">
        <v>1</v>
      </c>
      <c r="H311" s="43">
        <f t="shared" si="11"/>
        <v>2050</v>
      </c>
      <c r="I311" s="43" t="s">
        <v>982</v>
      </c>
      <c r="J311" s="43" t="s">
        <v>46</v>
      </c>
      <c r="K311" s="43"/>
    </row>
    <row r="312" spans="1:11">
      <c r="A312" s="44">
        <v>45793</v>
      </c>
      <c r="B312" s="45" t="s">
        <v>118</v>
      </c>
      <c r="C312" s="45">
        <v>20250516006</v>
      </c>
      <c r="D312" s="45" t="s">
        <v>530</v>
      </c>
      <c r="E312" s="45" t="s">
        <v>14</v>
      </c>
      <c r="F312" s="45">
        <v>50000</v>
      </c>
      <c r="G312" s="45">
        <v>1.13</v>
      </c>
      <c r="H312" s="45">
        <f t="shared" si="11"/>
        <v>56500</v>
      </c>
      <c r="I312" s="45" t="s">
        <v>45</v>
      </c>
      <c r="J312" s="45" t="s">
        <v>46</v>
      </c>
      <c r="K312" s="45"/>
    </row>
    <row r="313" spans="1:11">
      <c r="A313" s="44">
        <v>45807</v>
      </c>
      <c r="B313" s="45" t="s">
        <v>118</v>
      </c>
      <c r="C313" s="45">
        <v>20250530002</v>
      </c>
      <c r="D313" s="45" t="s">
        <v>120</v>
      </c>
      <c r="E313" s="45" t="s">
        <v>14</v>
      </c>
      <c r="F313" s="45">
        <v>3070</v>
      </c>
      <c r="G313" s="45">
        <v>1</v>
      </c>
      <c r="H313" s="45">
        <f t="shared" si="11"/>
        <v>3070</v>
      </c>
      <c r="I313" s="45" t="s">
        <v>662</v>
      </c>
      <c r="J313" s="45" t="s">
        <v>46</v>
      </c>
      <c r="K313" s="45"/>
    </row>
    <row r="314" s="35" customFormat="1" spans="1:11">
      <c r="A314" s="44">
        <v>45797</v>
      </c>
      <c r="B314" s="45" t="s">
        <v>534</v>
      </c>
      <c r="C314" s="86" t="s">
        <v>1368</v>
      </c>
      <c r="D314" s="45" t="s">
        <v>115</v>
      </c>
      <c r="E314" s="45" t="s">
        <v>123</v>
      </c>
      <c r="F314" s="45">
        <v>30000</v>
      </c>
      <c r="G314" s="45">
        <v>0.43</v>
      </c>
      <c r="H314" s="45">
        <f t="shared" si="11"/>
        <v>12900</v>
      </c>
      <c r="I314" s="45" t="s">
        <v>126</v>
      </c>
      <c r="J314" s="45"/>
      <c r="K314" s="45"/>
    </row>
    <row r="315" s="35" customFormat="1" spans="1:11">
      <c r="A315" s="44">
        <v>45798</v>
      </c>
      <c r="B315" s="45" t="s">
        <v>534</v>
      </c>
      <c r="C315" s="86" t="s">
        <v>1369</v>
      </c>
      <c r="D315" s="45" t="s">
        <v>115</v>
      </c>
      <c r="E315" s="45" t="s">
        <v>123</v>
      </c>
      <c r="F315" s="45">
        <v>25000</v>
      </c>
      <c r="G315" s="45">
        <v>0.43</v>
      </c>
      <c r="H315" s="45">
        <f t="shared" si="11"/>
        <v>10750</v>
      </c>
      <c r="I315" s="45" t="s">
        <v>126</v>
      </c>
      <c r="J315" s="45"/>
      <c r="K315" s="45"/>
    </row>
    <row r="316" s="35" customFormat="1" spans="1:11">
      <c r="A316" s="44">
        <v>45801</v>
      </c>
      <c r="B316" s="45" t="s">
        <v>534</v>
      </c>
      <c r="C316" s="86" t="s">
        <v>1370</v>
      </c>
      <c r="D316" s="45" t="s">
        <v>115</v>
      </c>
      <c r="E316" s="45" t="s">
        <v>123</v>
      </c>
      <c r="F316" s="45">
        <v>6850</v>
      </c>
      <c r="G316" s="45">
        <v>0.43</v>
      </c>
      <c r="H316" s="45">
        <f t="shared" si="11"/>
        <v>2945.5</v>
      </c>
      <c r="I316" s="45" t="s">
        <v>126</v>
      </c>
      <c r="J316" s="45"/>
      <c r="K316" s="45"/>
    </row>
    <row r="317" spans="1:11">
      <c r="A317" s="41">
        <v>45794</v>
      </c>
      <c r="B317" s="43" t="s">
        <v>521</v>
      </c>
      <c r="C317" s="43" t="s">
        <v>1371</v>
      </c>
      <c r="D317" s="43" t="s">
        <v>179</v>
      </c>
      <c r="E317" s="43" t="s">
        <v>14</v>
      </c>
      <c r="F317" s="43">
        <v>-12712</v>
      </c>
      <c r="G317" s="43">
        <v>1.2</v>
      </c>
      <c r="H317" s="43">
        <f t="shared" si="11"/>
        <v>-15254.4</v>
      </c>
      <c r="I317" s="43" t="s">
        <v>166</v>
      </c>
      <c r="J317" s="43" t="s">
        <v>46</v>
      </c>
      <c r="K317" s="43" t="s">
        <v>449</v>
      </c>
    </row>
    <row r="318" spans="1:11">
      <c r="A318" s="41">
        <v>45794</v>
      </c>
      <c r="B318" s="43" t="s">
        <v>521</v>
      </c>
      <c r="C318" s="43" t="s">
        <v>1371</v>
      </c>
      <c r="D318" s="43" t="s">
        <v>183</v>
      </c>
      <c r="E318" s="43" t="s">
        <v>14</v>
      </c>
      <c r="F318" s="43">
        <v>10000</v>
      </c>
      <c r="G318" s="43">
        <v>1.05</v>
      </c>
      <c r="H318" s="43">
        <f t="shared" si="11"/>
        <v>10500</v>
      </c>
      <c r="I318" s="43" t="s">
        <v>61</v>
      </c>
      <c r="J318" s="43" t="s">
        <v>46</v>
      </c>
      <c r="K318" s="43"/>
    </row>
    <row r="319" s="36" customFormat="1" spans="1:11">
      <c r="A319" s="41">
        <v>45803</v>
      </c>
      <c r="B319" s="43" t="s">
        <v>521</v>
      </c>
      <c r="C319" s="43" t="s">
        <v>1372</v>
      </c>
      <c r="D319" s="43" t="s">
        <v>374</v>
      </c>
      <c r="E319" s="43" t="s">
        <v>14</v>
      </c>
      <c r="F319" s="43">
        <v>78297</v>
      </c>
      <c r="G319" s="43">
        <v>0.88</v>
      </c>
      <c r="H319" s="43"/>
      <c r="I319" s="43" t="s">
        <v>271</v>
      </c>
      <c r="J319" s="43" t="s">
        <v>46</v>
      </c>
      <c r="K319" s="43"/>
    </row>
    <row r="320" spans="1:11">
      <c r="A320" s="41">
        <v>45798</v>
      </c>
      <c r="B320" s="43" t="s">
        <v>177</v>
      </c>
      <c r="C320" s="43" t="s">
        <v>1373</v>
      </c>
      <c r="D320" s="43" t="s">
        <v>285</v>
      </c>
      <c r="E320" s="43" t="s">
        <v>14</v>
      </c>
      <c r="F320" s="43">
        <v>103</v>
      </c>
      <c r="G320" s="43">
        <v>2.05</v>
      </c>
      <c r="H320" s="43">
        <f t="shared" ref="H320:H327" si="12">F320*G320</f>
        <v>211.15</v>
      </c>
      <c r="I320" s="43" t="s">
        <v>28</v>
      </c>
      <c r="J320" s="43"/>
      <c r="K320" s="43"/>
    </row>
    <row r="321" spans="1:11">
      <c r="A321" s="41">
        <v>45798</v>
      </c>
      <c r="B321" s="43" t="s">
        <v>1374</v>
      </c>
      <c r="C321" s="43">
        <v>2025052101</v>
      </c>
      <c r="D321" s="43" t="s">
        <v>1166</v>
      </c>
      <c r="E321" s="43" t="s">
        <v>14</v>
      </c>
      <c r="F321" s="43">
        <v>20000</v>
      </c>
      <c r="G321" s="43">
        <v>0.65</v>
      </c>
      <c r="H321" s="43">
        <f t="shared" si="12"/>
        <v>13000</v>
      </c>
      <c r="I321" s="43" t="s">
        <v>35</v>
      </c>
      <c r="J321" s="43" t="s">
        <v>46</v>
      </c>
      <c r="K321" s="43"/>
    </row>
    <row r="322" spans="1:11">
      <c r="A322" s="41">
        <v>45798</v>
      </c>
      <c r="B322" s="43" t="s">
        <v>889</v>
      </c>
      <c r="C322" s="43" t="s">
        <v>1375</v>
      </c>
      <c r="D322" s="43" t="s">
        <v>713</v>
      </c>
      <c r="E322" s="43" t="s">
        <v>14</v>
      </c>
      <c r="F322" s="43">
        <v>1220</v>
      </c>
      <c r="G322" s="43">
        <v>0.85</v>
      </c>
      <c r="H322" s="43">
        <f t="shared" si="12"/>
        <v>1037</v>
      </c>
      <c r="I322" s="43" t="s">
        <v>415</v>
      </c>
      <c r="J322" s="43" t="s">
        <v>46</v>
      </c>
      <c r="K322" s="43"/>
    </row>
    <row r="323" spans="1:11">
      <c r="A323" s="41">
        <v>45803</v>
      </c>
      <c r="B323" s="43" t="s">
        <v>272</v>
      </c>
      <c r="C323" s="43">
        <v>202505026</v>
      </c>
      <c r="D323" s="43" t="s">
        <v>252</v>
      </c>
      <c r="E323" s="43" t="s">
        <v>14</v>
      </c>
      <c r="F323" s="43">
        <v>20000</v>
      </c>
      <c r="G323" s="43">
        <v>0.55</v>
      </c>
      <c r="H323" s="43">
        <f t="shared" si="12"/>
        <v>11000</v>
      </c>
      <c r="I323" s="43" t="s">
        <v>149</v>
      </c>
      <c r="J323" s="43" t="s">
        <v>46</v>
      </c>
      <c r="K323" s="43"/>
    </row>
    <row r="324" spans="1:11">
      <c r="A324" s="41">
        <v>45803</v>
      </c>
      <c r="B324" s="43" t="s">
        <v>272</v>
      </c>
      <c r="C324" s="43">
        <v>202505026</v>
      </c>
      <c r="D324" s="43" t="s">
        <v>493</v>
      </c>
      <c r="E324" s="43" t="s">
        <v>14</v>
      </c>
      <c r="F324" s="43">
        <v>10575</v>
      </c>
      <c r="G324" s="43">
        <v>0.85</v>
      </c>
      <c r="H324" s="43">
        <f t="shared" si="12"/>
        <v>8988.75</v>
      </c>
      <c r="I324" s="43" t="s">
        <v>61</v>
      </c>
      <c r="J324" s="43" t="s">
        <v>46</v>
      </c>
      <c r="K324" s="43"/>
    </row>
    <row r="325" spans="1:11">
      <c r="A325" s="41">
        <v>45803</v>
      </c>
      <c r="B325" s="43" t="s">
        <v>1376</v>
      </c>
      <c r="C325" s="43" t="s">
        <v>1377</v>
      </c>
      <c r="D325" s="43" t="s">
        <v>1378</v>
      </c>
      <c r="E325" s="43" t="s">
        <v>1379</v>
      </c>
      <c r="F325" s="43">
        <v>1203</v>
      </c>
      <c r="G325" s="43">
        <v>2</v>
      </c>
      <c r="H325" s="43">
        <f t="shared" si="12"/>
        <v>2406</v>
      </c>
      <c r="I325" s="43" t="s">
        <v>415</v>
      </c>
      <c r="J325" s="43"/>
      <c r="K325" s="43"/>
    </row>
    <row r="326" spans="1:11">
      <c r="A326" s="41">
        <v>45805</v>
      </c>
      <c r="B326" s="43" t="s">
        <v>439</v>
      </c>
      <c r="C326" s="43" t="s">
        <v>1380</v>
      </c>
      <c r="D326" s="43" t="s">
        <v>828</v>
      </c>
      <c r="E326" s="43" t="s">
        <v>158</v>
      </c>
      <c r="F326" s="43">
        <v>200000</v>
      </c>
      <c r="G326" s="43">
        <v>0.125</v>
      </c>
      <c r="H326" s="43">
        <f t="shared" si="12"/>
        <v>25000</v>
      </c>
      <c r="I326" s="43" t="s">
        <v>61</v>
      </c>
      <c r="J326" s="43" t="s">
        <v>46</v>
      </c>
      <c r="K326" s="43"/>
    </row>
    <row r="327" spans="1:11">
      <c r="A327" s="44">
        <v>45805</v>
      </c>
      <c r="B327" s="45" t="s">
        <v>263</v>
      </c>
      <c r="C327" s="45" t="s">
        <v>1381</v>
      </c>
      <c r="D327" s="45" t="s">
        <v>1382</v>
      </c>
      <c r="E327" s="45" t="s">
        <v>158</v>
      </c>
      <c r="F327" s="45">
        <v>30000</v>
      </c>
      <c r="G327" s="45">
        <v>0.118</v>
      </c>
      <c r="H327" s="43">
        <f t="shared" si="12"/>
        <v>3540</v>
      </c>
      <c r="I327" s="45" t="s">
        <v>61</v>
      </c>
      <c r="J327" s="45" t="s">
        <v>46</v>
      </c>
      <c r="K327" s="43"/>
    </row>
    <row r="328" spans="1:11">
      <c r="A328" s="72" t="s">
        <v>279</v>
      </c>
      <c r="B328" s="73"/>
      <c r="C328" s="73"/>
      <c r="D328" s="73"/>
      <c r="E328" s="73"/>
      <c r="F328" s="73"/>
      <c r="G328" s="74"/>
      <c r="H328" s="53">
        <f>SUM(H2:H327)</f>
        <v>2254489.33</v>
      </c>
      <c r="I328" s="53"/>
      <c r="J328" s="53"/>
      <c r="K328" s="53"/>
    </row>
  </sheetData>
  <mergeCells count="1">
    <mergeCell ref="A328:G32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6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3.5"/>
  <cols>
    <col min="1" max="1" width="10.875" customWidth="1"/>
    <col min="2" max="2" width="23.125" customWidth="1"/>
    <col min="3" max="3" width="24.5" customWidth="1"/>
    <col min="4" max="4" width="27.25" customWidth="1"/>
    <col min="5" max="5" width="23.875" customWidth="1"/>
    <col min="6" max="9" width="10.875" customWidth="1"/>
    <col min="10" max="10" width="14.25" customWidth="1"/>
    <col min="11" max="12" width="10.875" customWidth="1"/>
  </cols>
  <sheetData>
    <row r="1" s="32" customFormat="1" ht="19" customHeight="1" spans="1:11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9" t="s">
        <v>6</v>
      </c>
      <c r="H1" s="40" t="s">
        <v>7</v>
      </c>
      <c r="I1" s="38" t="s">
        <v>8</v>
      </c>
      <c r="J1" s="38" t="s">
        <v>9</v>
      </c>
      <c r="K1" s="38" t="s">
        <v>10</v>
      </c>
    </row>
    <row r="2" spans="1:11">
      <c r="A2" s="41">
        <v>45810</v>
      </c>
      <c r="B2" s="43" t="s">
        <v>74</v>
      </c>
      <c r="C2" s="43" t="s">
        <v>1383</v>
      </c>
      <c r="D2" s="43" t="s">
        <v>59</v>
      </c>
      <c r="E2" s="43" t="s">
        <v>62</v>
      </c>
      <c r="F2" s="45">
        <v>3939</v>
      </c>
      <c r="G2" s="45">
        <v>0.6</v>
      </c>
      <c r="H2" s="43">
        <f t="shared" ref="H2:H38" si="0">F2*G2</f>
        <v>2363.4</v>
      </c>
      <c r="I2" s="43" t="s">
        <v>77</v>
      </c>
      <c r="J2" s="43"/>
      <c r="K2" s="43"/>
    </row>
    <row r="3" spans="1:11">
      <c r="A3" s="41">
        <v>45810</v>
      </c>
      <c r="B3" s="43" t="s">
        <v>74</v>
      </c>
      <c r="C3" s="43" t="s">
        <v>1383</v>
      </c>
      <c r="D3" s="43" t="s">
        <v>59</v>
      </c>
      <c r="E3" s="43" t="s">
        <v>60</v>
      </c>
      <c r="F3" s="45">
        <v>2319</v>
      </c>
      <c r="G3" s="45">
        <v>0.58</v>
      </c>
      <c r="H3" s="43">
        <f t="shared" si="0"/>
        <v>1345.02</v>
      </c>
      <c r="I3" s="43" t="s">
        <v>78</v>
      </c>
      <c r="J3" s="43"/>
      <c r="K3" s="43"/>
    </row>
    <row r="4" spans="1:11">
      <c r="A4" s="41">
        <v>45812</v>
      </c>
      <c r="B4" s="43" t="s">
        <v>74</v>
      </c>
      <c r="C4" s="43" t="s">
        <v>1384</v>
      </c>
      <c r="D4" s="43" t="s">
        <v>59</v>
      </c>
      <c r="E4" s="43" t="s">
        <v>62</v>
      </c>
      <c r="F4" s="45">
        <v>15800</v>
      </c>
      <c r="G4" s="45">
        <v>0.56</v>
      </c>
      <c r="H4" s="43">
        <f t="shared" si="0"/>
        <v>8848</v>
      </c>
      <c r="I4" s="43" t="s">
        <v>77</v>
      </c>
      <c r="J4" s="43"/>
      <c r="K4" s="43"/>
    </row>
    <row r="5" spans="1:11">
      <c r="A5" s="41">
        <v>45814</v>
      </c>
      <c r="B5" s="43" t="s">
        <v>74</v>
      </c>
      <c r="C5" s="43" t="s">
        <v>1385</v>
      </c>
      <c r="D5" s="43" t="s">
        <v>211</v>
      </c>
      <c r="E5" s="43" t="s">
        <v>361</v>
      </c>
      <c r="F5" s="45">
        <v>100</v>
      </c>
      <c r="G5" s="45">
        <v>0.3</v>
      </c>
      <c r="H5" s="43">
        <f t="shared" si="0"/>
        <v>30</v>
      </c>
      <c r="I5" s="43" t="s">
        <v>213</v>
      </c>
      <c r="J5" s="43" t="s">
        <v>1386</v>
      </c>
      <c r="K5" s="43"/>
    </row>
    <row r="6" spans="1:11">
      <c r="A6" s="41">
        <v>45817</v>
      </c>
      <c r="B6" s="43" t="s">
        <v>74</v>
      </c>
      <c r="C6" s="43" t="s">
        <v>1387</v>
      </c>
      <c r="D6" s="43" t="s">
        <v>211</v>
      </c>
      <c r="E6" s="43" t="s">
        <v>361</v>
      </c>
      <c r="F6" s="45">
        <v>627</v>
      </c>
      <c r="G6" s="45">
        <v>0.3</v>
      </c>
      <c r="H6" s="43">
        <f t="shared" si="0"/>
        <v>188.1</v>
      </c>
      <c r="I6" s="43" t="s">
        <v>213</v>
      </c>
      <c r="J6" s="43" t="s">
        <v>1386</v>
      </c>
      <c r="K6" s="43"/>
    </row>
    <row r="7" spans="1:11">
      <c r="A7" s="41">
        <v>45824</v>
      </c>
      <c r="B7" s="43" t="s">
        <v>74</v>
      </c>
      <c r="C7" s="43" t="s">
        <v>1388</v>
      </c>
      <c r="D7" s="43" t="s">
        <v>59</v>
      </c>
      <c r="E7" s="43" t="s">
        <v>60</v>
      </c>
      <c r="F7" s="45">
        <v>10000</v>
      </c>
      <c r="G7" s="45">
        <v>0.58</v>
      </c>
      <c r="H7" s="43">
        <f t="shared" si="0"/>
        <v>5800</v>
      </c>
      <c r="I7" s="43" t="s">
        <v>78</v>
      </c>
      <c r="J7" s="43"/>
      <c r="K7" s="43"/>
    </row>
    <row r="8" spans="1:11">
      <c r="A8" s="41">
        <v>45825</v>
      </c>
      <c r="B8" s="43" t="s">
        <v>74</v>
      </c>
      <c r="C8" s="43" t="s">
        <v>1389</v>
      </c>
      <c r="D8" s="43" t="s">
        <v>59</v>
      </c>
      <c r="E8" s="43" t="s">
        <v>60</v>
      </c>
      <c r="F8" s="45">
        <v>12115</v>
      </c>
      <c r="G8" s="45">
        <v>0.58</v>
      </c>
      <c r="H8" s="43">
        <f t="shared" si="0"/>
        <v>7026.7</v>
      </c>
      <c r="I8" s="43" t="s">
        <v>78</v>
      </c>
      <c r="J8" s="43"/>
      <c r="K8" s="43"/>
    </row>
    <row r="9" spans="1:11">
      <c r="A9" s="41">
        <v>45833</v>
      </c>
      <c r="B9" s="43" t="s">
        <v>74</v>
      </c>
      <c r="C9" s="43" t="s">
        <v>1390</v>
      </c>
      <c r="D9" s="43" t="s">
        <v>130</v>
      </c>
      <c r="E9" s="43" t="s">
        <v>60</v>
      </c>
      <c r="F9" s="45">
        <v>10222</v>
      </c>
      <c r="G9" s="45">
        <v>0.58</v>
      </c>
      <c r="H9" s="43">
        <f t="shared" si="0"/>
        <v>5928.76</v>
      </c>
      <c r="I9" s="43" t="s">
        <v>79</v>
      </c>
      <c r="J9" s="43"/>
      <c r="K9" s="43"/>
    </row>
    <row r="10" spans="1:11">
      <c r="A10" s="41">
        <v>45838</v>
      </c>
      <c r="B10" s="43" t="s">
        <v>74</v>
      </c>
      <c r="C10" s="43" t="s">
        <v>1391</v>
      </c>
      <c r="D10" s="43" t="s">
        <v>122</v>
      </c>
      <c r="E10" s="43" t="s">
        <v>60</v>
      </c>
      <c r="F10" s="45">
        <v>2012</v>
      </c>
      <c r="G10" s="45">
        <v>0.7</v>
      </c>
      <c r="H10" s="43">
        <f t="shared" si="0"/>
        <v>1408.4</v>
      </c>
      <c r="I10" s="43" t="s">
        <v>864</v>
      </c>
      <c r="J10" s="43"/>
      <c r="K10" s="43"/>
    </row>
    <row r="11" spans="1:11">
      <c r="A11" s="41">
        <v>45811</v>
      </c>
      <c r="B11" s="43" t="s">
        <v>177</v>
      </c>
      <c r="C11" s="43" t="s">
        <v>1392</v>
      </c>
      <c r="D11" s="45">
        <v>-500</v>
      </c>
      <c r="E11" s="45" t="s">
        <v>14</v>
      </c>
      <c r="F11" s="45">
        <v>1530</v>
      </c>
      <c r="G11" s="45">
        <v>1.3</v>
      </c>
      <c r="H11" s="43">
        <f t="shared" si="0"/>
        <v>1989</v>
      </c>
      <c r="I11" s="43" t="s">
        <v>296</v>
      </c>
      <c r="J11" s="43"/>
      <c r="K11" s="43"/>
    </row>
    <row r="12" spans="1:11">
      <c r="A12" s="41">
        <v>45812</v>
      </c>
      <c r="B12" s="43" t="s">
        <v>177</v>
      </c>
      <c r="C12" s="43" t="s">
        <v>1393</v>
      </c>
      <c r="D12" s="43" t="s">
        <v>181</v>
      </c>
      <c r="E12" s="43" t="s">
        <v>14</v>
      </c>
      <c r="F12" s="43">
        <v>300</v>
      </c>
      <c r="G12" s="43">
        <v>2.3</v>
      </c>
      <c r="H12" s="43">
        <f t="shared" si="0"/>
        <v>690</v>
      </c>
      <c r="I12" s="43" t="s">
        <v>94</v>
      </c>
      <c r="J12" s="43"/>
      <c r="K12" s="43"/>
    </row>
    <row r="13" spans="1:11">
      <c r="A13" s="41">
        <v>45812</v>
      </c>
      <c r="B13" s="43" t="s">
        <v>177</v>
      </c>
      <c r="C13" s="43" t="s">
        <v>1393</v>
      </c>
      <c r="D13" s="43" t="s">
        <v>179</v>
      </c>
      <c r="E13" s="43" t="s">
        <v>14</v>
      </c>
      <c r="F13" s="43">
        <v>5510</v>
      </c>
      <c r="G13" s="43">
        <v>1.25</v>
      </c>
      <c r="H13" s="43">
        <f t="shared" si="0"/>
        <v>6887.5</v>
      </c>
      <c r="I13" s="43" t="s">
        <v>77</v>
      </c>
      <c r="J13" s="43"/>
      <c r="K13" s="43"/>
    </row>
    <row r="14" spans="1:11">
      <c r="A14" s="41">
        <v>45811</v>
      </c>
      <c r="B14" s="43" t="s">
        <v>194</v>
      </c>
      <c r="C14" s="43"/>
      <c r="D14" s="45" t="s">
        <v>198</v>
      </c>
      <c r="E14" s="45" t="s">
        <v>116</v>
      </c>
      <c r="F14" s="45">
        <v>4980</v>
      </c>
      <c r="G14" s="45">
        <v>1.05</v>
      </c>
      <c r="H14" s="43">
        <f t="shared" si="0"/>
        <v>5229</v>
      </c>
      <c r="I14" s="43" t="s">
        <v>200</v>
      </c>
      <c r="J14" s="43"/>
      <c r="K14" s="43"/>
    </row>
    <row r="15" spans="1:11">
      <c r="A15" s="41">
        <v>45811</v>
      </c>
      <c r="B15" s="43" t="s">
        <v>194</v>
      </c>
      <c r="C15" s="43"/>
      <c r="D15" s="45" t="s">
        <v>417</v>
      </c>
      <c r="E15" s="45" t="s">
        <v>1394</v>
      </c>
      <c r="F15" s="45">
        <v>8012</v>
      </c>
      <c r="G15" s="45">
        <v>2.23</v>
      </c>
      <c r="H15" s="43">
        <f t="shared" si="0"/>
        <v>17866.76</v>
      </c>
      <c r="I15" s="43" t="s">
        <v>77</v>
      </c>
      <c r="J15" s="43" t="s">
        <v>90</v>
      </c>
      <c r="K15" s="43">
        <v>2.4</v>
      </c>
    </row>
    <row r="16" spans="1:11">
      <c r="A16" s="41">
        <v>45811</v>
      </c>
      <c r="B16" s="43" t="s">
        <v>194</v>
      </c>
      <c r="C16" s="43"/>
      <c r="D16" s="45" t="s">
        <v>203</v>
      </c>
      <c r="E16" s="45" t="s">
        <v>123</v>
      </c>
      <c r="F16" s="45">
        <v>2086</v>
      </c>
      <c r="G16" s="45">
        <v>0.79</v>
      </c>
      <c r="H16" s="43">
        <f t="shared" si="0"/>
        <v>1647.94</v>
      </c>
      <c r="I16" s="43" t="s">
        <v>126</v>
      </c>
      <c r="J16" s="43"/>
      <c r="K16" s="43"/>
    </row>
    <row r="17" spans="1:11">
      <c r="A17" s="41">
        <v>45811</v>
      </c>
      <c r="B17" s="43" t="s">
        <v>194</v>
      </c>
      <c r="C17" s="43"/>
      <c r="D17" s="45" t="s">
        <v>1395</v>
      </c>
      <c r="E17" s="45" t="s">
        <v>99</v>
      </c>
      <c r="F17" s="45">
        <v>210</v>
      </c>
      <c r="G17" s="45">
        <v>1.24</v>
      </c>
      <c r="H17" s="43">
        <f t="shared" si="0"/>
        <v>260.4</v>
      </c>
      <c r="I17" s="43" t="s">
        <v>330</v>
      </c>
      <c r="J17" s="43" t="s">
        <v>369</v>
      </c>
      <c r="K17" s="43"/>
    </row>
    <row r="18" spans="1:11">
      <c r="A18" s="41">
        <v>45812</v>
      </c>
      <c r="B18" s="43" t="s">
        <v>194</v>
      </c>
      <c r="C18" s="43"/>
      <c r="D18" s="45" t="s">
        <v>1396</v>
      </c>
      <c r="E18" s="45" t="s">
        <v>85</v>
      </c>
      <c r="F18" s="45">
        <v>244</v>
      </c>
      <c r="G18" s="45">
        <v>1.08</v>
      </c>
      <c r="H18" s="43">
        <f t="shared" si="0"/>
        <v>263.52</v>
      </c>
      <c r="I18" s="43" t="s">
        <v>287</v>
      </c>
      <c r="J18" s="43" t="s">
        <v>416</v>
      </c>
      <c r="K18" s="43">
        <v>1.31</v>
      </c>
    </row>
    <row r="19" spans="1:11">
      <c r="A19" s="41">
        <v>45812</v>
      </c>
      <c r="B19" s="43" t="s">
        <v>194</v>
      </c>
      <c r="C19" s="43"/>
      <c r="D19" s="45" t="s">
        <v>413</v>
      </c>
      <c r="E19" s="45" t="s">
        <v>1397</v>
      </c>
      <c r="F19" s="45">
        <v>2017</v>
      </c>
      <c r="G19" s="45">
        <v>0.75</v>
      </c>
      <c r="H19" s="43">
        <f t="shared" si="0"/>
        <v>1512.75</v>
      </c>
      <c r="I19" s="43" t="s">
        <v>415</v>
      </c>
      <c r="J19" s="43" t="s">
        <v>416</v>
      </c>
      <c r="K19" s="43">
        <v>0.98</v>
      </c>
    </row>
    <row r="20" spans="1:11">
      <c r="A20" s="41">
        <v>45813</v>
      </c>
      <c r="B20" s="43" t="s">
        <v>194</v>
      </c>
      <c r="C20" s="43"/>
      <c r="D20" s="45" t="s">
        <v>1398</v>
      </c>
      <c r="E20" s="45" t="s">
        <v>14</v>
      </c>
      <c r="F20" s="45">
        <v>10050</v>
      </c>
      <c r="G20" s="45">
        <v>0.7</v>
      </c>
      <c r="H20" s="43">
        <f t="shared" si="0"/>
        <v>7035</v>
      </c>
      <c r="I20" s="43" t="s">
        <v>1399</v>
      </c>
      <c r="J20" s="43" t="s">
        <v>46</v>
      </c>
      <c r="K20" s="43"/>
    </row>
    <row r="21" spans="1:11">
      <c r="A21" s="41">
        <v>45816</v>
      </c>
      <c r="B21" s="43" t="s">
        <v>194</v>
      </c>
      <c r="C21" s="43"/>
      <c r="D21" s="45" t="s">
        <v>203</v>
      </c>
      <c r="E21" s="45" t="s">
        <v>62</v>
      </c>
      <c r="F21" s="45">
        <v>315</v>
      </c>
      <c r="G21" s="45">
        <v>0.77</v>
      </c>
      <c r="H21" s="43">
        <f t="shared" si="0"/>
        <v>242.55</v>
      </c>
      <c r="I21" s="43" t="s">
        <v>205</v>
      </c>
      <c r="J21" s="43"/>
      <c r="K21" s="43"/>
    </row>
    <row r="22" spans="1:11">
      <c r="A22" s="41">
        <v>45816</v>
      </c>
      <c r="B22" s="43" t="s">
        <v>194</v>
      </c>
      <c r="C22" s="43"/>
      <c r="D22" s="45" t="s">
        <v>417</v>
      </c>
      <c r="E22" s="45" t="s">
        <v>99</v>
      </c>
      <c r="F22" s="45">
        <v>40</v>
      </c>
      <c r="G22" s="43">
        <v>0</v>
      </c>
      <c r="H22" s="43">
        <f t="shared" si="0"/>
        <v>0</v>
      </c>
      <c r="I22" s="43" t="s">
        <v>77</v>
      </c>
      <c r="J22" s="43" t="s">
        <v>475</v>
      </c>
      <c r="K22" s="43"/>
    </row>
    <row r="23" spans="1:11">
      <c r="A23" s="41">
        <v>45816</v>
      </c>
      <c r="B23" s="43" t="s">
        <v>194</v>
      </c>
      <c r="C23" s="43"/>
      <c r="D23" s="45" t="s">
        <v>736</v>
      </c>
      <c r="E23" s="45" t="s">
        <v>99</v>
      </c>
      <c r="F23" s="45">
        <v>1519</v>
      </c>
      <c r="G23" s="45">
        <v>1.1</v>
      </c>
      <c r="H23" s="43">
        <f t="shared" si="0"/>
        <v>1670.9</v>
      </c>
      <c r="I23" s="43" t="s">
        <v>1400</v>
      </c>
      <c r="J23" s="43"/>
      <c r="K23" s="43"/>
    </row>
    <row r="24" spans="1:11">
      <c r="A24" s="41">
        <v>45816</v>
      </c>
      <c r="B24" s="43" t="s">
        <v>194</v>
      </c>
      <c r="C24" s="43"/>
      <c r="D24" s="45" t="s">
        <v>209</v>
      </c>
      <c r="E24" s="45" t="s">
        <v>124</v>
      </c>
      <c r="F24" s="45">
        <v>2009</v>
      </c>
      <c r="G24" s="45">
        <v>1.02</v>
      </c>
      <c r="H24" s="43">
        <f t="shared" si="0"/>
        <v>2049.18</v>
      </c>
      <c r="I24" s="43" t="s">
        <v>208</v>
      </c>
      <c r="J24" s="43"/>
      <c r="K24" s="43"/>
    </row>
    <row r="25" spans="1:11">
      <c r="A25" s="41">
        <v>45818</v>
      </c>
      <c r="B25" s="43" t="s">
        <v>194</v>
      </c>
      <c r="C25" s="43"/>
      <c r="D25" s="45" t="s">
        <v>736</v>
      </c>
      <c r="E25" s="45" t="s">
        <v>99</v>
      </c>
      <c r="F25" s="45">
        <v>1507</v>
      </c>
      <c r="G25" s="45">
        <v>1.1</v>
      </c>
      <c r="H25" s="43">
        <f t="shared" si="0"/>
        <v>1657.7</v>
      </c>
      <c r="I25" s="43" t="s">
        <v>1400</v>
      </c>
      <c r="J25" s="43"/>
      <c r="K25" s="43"/>
    </row>
    <row r="26" spans="1:11">
      <c r="A26" s="41">
        <v>45818</v>
      </c>
      <c r="B26" s="43" t="s">
        <v>194</v>
      </c>
      <c r="C26" s="43"/>
      <c r="D26" s="45" t="s">
        <v>1398</v>
      </c>
      <c r="E26" s="45" t="s">
        <v>14</v>
      </c>
      <c r="F26" s="45">
        <v>20050</v>
      </c>
      <c r="G26" s="45">
        <v>0.7</v>
      </c>
      <c r="H26" s="43">
        <f t="shared" si="0"/>
        <v>14035</v>
      </c>
      <c r="I26" s="43" t="s">
        <v>287</v>
      </c>
      <c r="J26" s="43"/>
      <c r="K26" s="43"/>
    </row>
    <row r="27" spans="1:11">
      <c r="A27" s="41">
        <v>45820</v>
      </c>
      <c r="B27" s="43" t="s">
        <v>194</v>
      </c>
      <c r="C27" s="43"/>
      <c r="D27" s="45" t="s">
        <v>196</v>
      </c>
      <c r="E27" s="45" t="s">
        <v>123</v>
      </c>
      <c r="F27" s="45">
        <v>1511</v>
      </c>
      <c r="G27" s="45">
        <v>0.78</v>
      </c>
      <c r="H27" s="43">
        <f t="shared" si="0"/>
        <v>1178.58</v>
      </c>
      <c r="I27" s="43" t="s">
        <v>1303</v>
      </c>
      <c r="J27" s="43"/>
      <c r="K27" s="43"/>
    </row>
    <row r="28" spans="1:11">
      <c r="A28" s="41">
        <v>45822</v>
      </c>
      <c r="B28" s="43" t="s">
        <v>194</v>
      </c>
      <c r="C28" s="43"/>
      <c r="D28" s="45" t="s">
        <v>198</v>
      </c>
      <c r="E28" s="45" t="s">
        <v>124</v>
      </c>
      <c r="F28" s="45">
        <v>16000</v>
      </c>
      <c r="G28" s="45">
        <v>1.05</v>
      </c>
      <c r="H28" s="43">
        <f t="shared" si="0"/>
        <v>16800</v>
      </c>
      <c r="I28" s="43" t="s">
        <v>193</v>
      </c>
      <c r="J28" s="43"/>
      <c r="K28" s="43"/>
    </row>
    <row r="29" spans="1:11">
      <c r="A29" s="41">
        <v>45822</v>
      </c>
      <c r="B29" s="43" t="s">
        <v>194</v>
      </c>
      <c r="C29" s="43"/>
      <c r="D29" s="45" t="s">
        <v>195</v>
      </c>
      <c r="E29" s="45" t="s">
        <v>60</v>
      </c>
      <c r="F29" s="45">
        <v>2019</v>
      </c>
      <c r="G29" s="45">
        <v>0.73</v>
      </c>
      <c r="H29" s="43">
        <f t="shared" si="0"/>
        <v>1473.87</v>
      </c>
      <c r="I29" s="43" t="s">
        <v>126</v>
      </c>
      <c r="J29" s="43"/>
      <c r="K29" s="43"/>
    </row>
    <row r="30" spans="1:11">
      <c r="A30" s="41">
        <v>45822</v>
      </c>
      <c r="B30" s="43" t="s">
        <v>194</v>
      </c>
      <c r="C30" s="43"/>
      <c r="D30" s="45" t="s">
        <v>209</v>
      </c>
      <c r="E30" s="45" t="s">
        <v>124</v>
      </c>
      <c r="F30" s="45">
        <v>3606</v>
      </c>
      <c r="G30" s="45">
        <v>1.02</v>
      </c>
      <c r="H30" s="43">
        <f t="shared" si="0"/>
        <v>3678.12</v>
      </c>
      <c r="I30" s="43" t="s">
        <v>208</v>
      </c>
      <c r="J30" s="43"/>
      <c r="K30" s="43"/>
    </row>
    <row r="31" spans="1:11">
      <c r="A31" s="41">
        <v>45822</v>
      </c>
      <c r="B31" s="43" t="s">
        <v>194</v>
      </c>
      <c r="C31" s="43"/>
      <c r="D31" s="45" t="s">
        <v>198</v>
      </c>
      <c r="E31" s="45" t="s">
        <v>124</v>
      </c>
      <c r="F31" s="45">
        <v>5018</v>
      </c>
      <c r="G31" s="45">
        <v>1.05</v>
      </c>
      <c r="H31" s="43">
        <f t="shared" si="0"/>
        <v>5268.9</v>
      </c>
      <c r="I31" s="43" t="s">
        <v>200</v>
      </c>
      <c r="J31" s="43"/>
      <c r="K31" s="43"/>
    </row>
    <row r="32" spans="1:11">
      <c r="A32" s="41">
        <v>45825</v>
      </c>
      <c r="B32" s="43" t="s">
        <v>194</v>
      </c>
      <c r="C32" s="43"/>
      <c r="D32" s="45" t="s">
        <v>1398</v>
      </c>
      <c r="E32" s="45" t="s">
        <v>14</v>
      </c>
      <c r="F32" s="45">
        <v>104</v>
      </c>
      <c r="G32" s="45">
        <v>0.7</v>
      </c>
      <c r="H32" s="43">
        <f t="shared" si="0"/>
        <v>72.8</v>
      </c>
      <c r="I32" s="43" t="s">
        <v>287</v>
      </c>
      <c r="J32" s="43"/>
      <c r="K32" s="43"/>
    </row>
    <row r="33" spans="1:11">
      <c r="A33" s="41">
        <v>45830</v>
      </c>
      <c r="B33" s="43" t="s">
        <v>194</v>
      </c>
      <c r="C33" s="43"/>
      <c r="D33" s="45" t="s">
        <v>1401</v>
      </c>
      <c r="E33" s="45" t="s">
        <v>124</v>
      </c>
      <c r="F33" s="45">
        <v>1015</v>
      </c>
      <c r="G33" s="45">
        <v>1.05</v>
      </c>
      <c r="H33" s="43">
        <f t="shared" si="0"/>
        <v>1065.75</v>
      </c>
      <c r="I33" s="43" t="s">
        <v>208</v>
      </c>
      <c r="J33" s="43"/>
      <c r="K33" s="43"/>
    </row>
    <row r="34" spans="1:11">
      <c r="A34" s="41">
        <v>45830</v>
      </c>
      <c r="B34" s="43" t="s">
        <v>194</v>
      </c>
      <c r="C34" s="43"/>
      <c r="D34" s="45" t="s">
        <v>203</v>
      </c>
      <c r="E34" s="45" t="s">
        <v>760</v>
      </c>
      <c r="F34" s="45">
        <v>2720</v>
      </c>
      <c r="G34" s="45">
        <v>0.79</v>
      </c>
      <c r="H34" s="43">
        <f t="shared" si="0"/>
        <v>2148.8</v>
      </c>
      <c r="I34" s="43" t="s">
        <v>126</v>
      </c>
      <c r="J34" s="43"/>
      <c r="K34" s="43"/>
    </row>
    <row r="35" spans="1:11">
      <c r="A35" s="41">
        <v>45830</v>
      </c>
      <c r="B35" s="43" t="s">
        <v>194</v>
      </c>
      <c r="C35" s="43"/>
      <c r="D35" s="45" t="s">
        <v>203</v>
      </c>
      <c r="E35" s="45" t="s">
        <v>1402</v>
      </c>
      <c r="F35" s="45">
        <v>395</v>
      </c>
      <c r="G35" s="45">
        <v>0.79</v>
      </c>
      <c r="H35" s="43">
        <f t="shared" si="0"/>
        <v>312.05</v>
      </c>
      <c r="I35" s="43" t="s">
        <v>278</v>
      </c>
      <c r="J35" s="43"/>
      <c r="K35" s="43"/>
    </row>
    <row r="36" spans="1:11">
      <c r="A36" s="41">
        <v>45833</v>
      </c>
      <c r="B36" s="43" t="s">
        <v>194</v>
      </c>
      <c r="C36" s="43"/>
      <c r="D36" s="45" t="s">
        <v>201</v>
      </c>
      <c r="E36" s="45" t="s">
        <v>14</v>
      </c>
      <c r="F36" s="45">
        <v>18000</v>
      </c>
      <c r="G36" s="45">
        <v>0.86</v>
      </c>
      <c r="H36" s="43">
        <f t="shared" si="0"/>
        <v>15480</v>
      </c>
      <c r="I36" s="43" t="s">
        <v>133</v>
      </c>
      <c r="J36" s="43"/>
      <c r="K36" s="43"/>
    </row>
    <row r="37" spans="1:11">
      <c r="A37" s="41">
        <v>45834</v>
      </c>
      <c r="B37" s="43" t="s">
        <v>194</v>
      </c>
      <c r="C37" s="43"/>
      <c r="D37" s="45" t="s">
        <v>1138</v>
      </c>
      <c r="E37" s="45" t="s">
        <v>14</v>
      </c>
      <c r="F37" s="45">
        <v>10000</v>
      </c>
      <c r="G37" s="45">
        <v>0.76</v>
      </c>
      <c r="H37" s="43">
        <f t="shared" si="0"/>
        <v>7600</v>
      </c>
      <c r="I37" s="43" t="s">
        <v>415</v>
      </c>
      <c r="J37" s="43"/>
      <c r="K37" s="43"/>
    </row>
    <row r="38" spans="1:11">
      <c r="A38" s="41">
        <v>45834</v>
      </c>
      <c r="B38" s="43" t="s">
        <v>194</v>
      </c>
      <c r="C38" s="43"/>
      <c r="D38" s="45" t="s">
        <v>1403</v>
      </c>
      <c r="E38" s="45" t="s">
        <v>14</v>
      </c>
      <c r="F38" s="45">
        <v>5100</v>
      </c>
      <c r="G38" s="45">
        <v>0.82</v>
      </c>
      <c r="H38" s="43">
        <f t="shared" si="0"/>
        <v>4182</v>
      </c>
      <c r="I38" s="43" t="s">
        <v>396</v>
      </c>
      <c r="J38" s="43"/>
      <c r="K38" s="43"/>
    </row>
    <row r="39" spans="1:11">
      <c r="A39" s="41">
        <v>45813</v>
      </c>
      <c r="B39" s="43" t="s">
        <v>280</v>
      </c>
      <c r="C39" s="43">
        <v>2025060035</v>
      </c>
      <c r="D39" s="43" t="s">
        <v>281</v>
      </c>
      <c r="E39" s="43" t="s">
        <v>14</v>
      </c>
      <c r="F39" s="43">
        <v>1653</v>
      </c>
      <c r="G39" s="43">
        <v>2.3</v>
      </c>
      <c r="H39" s="43">
        <f t="shared" ref="H39:H67" si="1">F39*G39</f>
        <v>3801.9</v>
      </c>
      <c r="I39" s="43" t="s">
        <v>94</v>
      </c>
      <c r="J39" s="43"/>
      <c r="K39" s="43"/>
    </row>
    <row r="40" spans="1:11">
      <c r="A40" s="41">
        <v>45832</v>
      </c>
      <c r="B40" s="43" t="s">
        <v>280</v>
      </c>
      <c r="C40" s="43">
        <v>2025060169</v>
      </c>
      <c r="D40" s="43" t="s">
        <v>281</v>
      </c>
      <c r="E40" s="43" t="s">
        <v>14</v>
      </c>
      <c r="F40" s="43">
        <v>380</v>
      </c>
      <c r="G40" s="43">
        <v>2.3</v>
      </c>
      <c r="H40" s="43">
        <f t="shared" si="1"/>
        <v>874</v>
      </c>
      <c r="I40" s="43" t="s">
        <v>94</v>
      </c>
      <c r="J40" s="43" t="s">
        <v>1404</v>
      </c>
      <c r="K40" s="43"/>
    </row>
    <row r="41" spans="1:11">
      <c r="A41" s="41">
        <v>45811</v>
      </c>
      <c r="B41" s="43" t="s">
        <v>101</v>
      </c>
      <c r="C41" s="43"/>
      <c r="D41" s="43" t="s">
        <v>107</v>
      </c>
      <c r="E41" s="43" t="s">
        <v>60</v>
      </c>
      <c r="F41" s="45">
        <v>4055</v>
      </c>
      <c r="G41" s="45">
        <v>0.82</v>
      </c>
      <c r="H41" s="43">
        <f t="shared" si="1"/>
        <v>3325.1</v>
      </c>
      <c r="I41" s="43" t="s">
        <v>45</v>
      </c>
      <c r="J41" s="43"/>
      <c r="K41" s="43"/>
    </row>
    <row r="42" spans="1:11">
      <c r="A42" s="41">
        <v>45813</v>
      </c>
      <c r="B42" s="43" t="s">
        <v>101</v>
      </c>
      <c r="C42" s="43">
        <v>20250602</v>
      </c>
      <c r="D42" s="43" t="s">
        <v>84</v>
      </c>
      <c r="E42" s="43" t="s">
        <v>1405</v>
      </c>
      <c r="F42" s="45">
        <v>2410</v>
      </c>
      <c r="G42" s="45">
        <v>1.2</v>
      </c>
      <c r="H42" s="43">
        <f t="shared" si="1"/>
        <v>2892</v>
      </c>
      <c r="I42" s="43" t="s">
        <v>106</v>
      </c>
      <c r="J42" s="43"/>
      <c r="K42" s="43"/>
    </row>
    <row r="43" spans="1:11">
      <c r="A43" s="41">
        <v>45813</v>
      </c>
      <c r="B43" s="43" t="s">
        <v>101</v>
      </c>
      <c r="C43" s="43">
        <v>20250602</v>
      </c>
      <c r="D43" s="43" t="s">
        <v>754</v>
      </c>
      <c r="E43" s="43" t="s">
        <v>1405</v>
      </c>
      <c r="F43" s="45">
        <v>1010</v>
      </c>
      <c r="G43" s="45">
        <v>1.1</v>
      </c>
      <c r="H43" s="43">
        <f t="shared" si="1"/>
        <v>1111</v>
      </c>
      <c r="I43" s="43" t="s">
        <v>106</v>
      </c>
      <c r="J43" s="43"/>
      <c r="K43" s="43"/>
    </row>
    <row r="44" spans="1:11">
      <c r="A44" s="41">
        <v>45815</v>
      </c>
      <c r="B44" s="43" t="s">
        <v>101</v>
      </c>
      <c r="C44" s="43">
        <v>20250603</v>
      </c>
      <c r="D44" s="43" t="s">
        <v>107</v>
      </c>
      <c r="E44" s="43" t="s">
        <v>60</v>
      </c>
      <c r="F44" s="45">
        <v>2039</v>
      </c>
      <c r="G44" s="45">
        <v>0.82</v>
      </c>
      <c r="H44" s="43">
        <f t="shared" si="1"/>
        <v>1671.98</v>
      </c>
      <c r="I44" s="43" t="s">
        <v>45</v>
      </c>
      <c r="J44" s="43"/>
      <c r="K44" s="43"/>
    </row>
    <row r="45" spans="1:11">
      <c r="A45" s="41">
        <v>45818</v>
      </c>
      <c r="B45" s="43" t="s">
        <v>101</v>
      </c>
      <c r="C45" s="43">
        <v>20250604</v>
      </c>
      <c r="D45" s="43" t="s">
        <v>102</v>
      </c>
      <c r="E45" s="43" t="s">
        <v>60</v>
      </c>
      <c r="F45" s="45">
        <v>9857</v>
      </c>
      <c r="G45" s="45">
        <v>0.8</v>
      </c>
      <c r="H45" s="43">
        <f t="shared" si="1"/>
        <v>7885.6</v>
      </c>
      <c r="I45" s="43" t="s">
        <v>103</v>
      </c>
      <c r="J45" s="43"/>
      <c r="K45" s="43"/>
    </row>
    <row r="46" spans="1:11">
      <c r="A46" s="41">
        <v>45820</v>
      </c>
      <c r="B46" s="43" t="s">
        <v>101</v>
      </c>
      <c r="C46" s="43">
        <v>20250605</v>
      </c>
      <c r="D46" s="43" t="s">
        <v>1299</v>
      </c>
      <c r="E46" s="43" t="s">
        <v>99</v>
      </c>
      <c r="F46" s="45">
        <v>38250</v>
      </c>
      <c r="G46" s="45">
        <v>0.98</v>
      </c>
      <c r="H46" s="43">
        <f t="shared" si="1"/>
        <v>37485</v>
      </c>
      <c r="I46" s="43" t="s">
        <v>213</v>
      </c>
      <c r="J46" s="43" t="s">
        <v>369</v>
      </c>
      <c r="K46" s="43"/>
    </row>
    <row r="47" spans="1:11">
      <c r="A47" s="41">
        <v>45821</v>
      </c>
      <c r="B47" s="43" t="s">
        <v>101</v>
      </c>
      <c r="C47" s="43">
        <v>20250606</v>
      </c>
      <c r="D47" s="43" t="s">
        <v>102</v>
      </c>
      <c r="E47" s="43" t="s">
        <v>60</v>
      </c>
      <c r="F47" s="45">
        <v>1800</v>
      </c>
      <c r="G47" s="45">
        <v>0.8</v>
      </c>
      <c r="H47" s="43">
        <f t="shared" si="1"/>
        <v>1440</v>
      </c>
      <c r="I47" s="43" t="s">
        <v>103</v>
      </c>
      <c r="J47" s="43"/>
      <c r="K47" s="43"/>
    </row>
    <row r="48" spans="1:11">
      <c r="A48" s="41">
        <v>45834</v>
      </c>
      <c r="B48" s="43" t="s">
        <v>101</v>
      </c>
      <c r="C48" s="43">
        <v>20250607</v>
      </c>
      <c r="D48" s="43" t="s">
        <v>107</v>
      </c>
      <c r="E48" s="43" t="s">
        <v>60</v>
      </c>
      <c r="F48" s="45">
        <v>810</v>
      </c>
      <c r="G48" s="45">
        <v>0.8</v>
      </c>
      <c r="H48" s="43">
        <f t="shared" si="1"/>
        <v>648</v>
      </c>
      <c r="I48" s="43" t="s">
        <v>1406</v>
      </c>
      <c r="J48" s="43"/>
      <c r="K48" s="43"/>
    </row>
    <row r="49" spans="1:11">
      <c r="A49" s="41">
        <v>45834</v>
      </c>
      <c r="B49" s="43" t="s">
        <v>101</v>
      </c>
      <c r="C49" s="43">
        <v>20250607</v>
      </c>
      <c r="D49" s="43" t="s">
        <v>107</v>
      </c>
      <c r="E49" s="43" t="s">
        <v>62</v>
      </c>
      <c r="F49" s="45">
        <v>4220</v>
      </c>
      <c r="G49" s="45">
        <v>0.82</v>
      </c>
      <c r="H49" s="43">
        <f t="shared" si="1"/>
        <v>3460.4</v>
      </c>
      <c r="I49" s="43" t="s">
        <v>45</v>
      </c>
      <c r="J49" s="43"/>
      <c r="K49" s="43"/>
    </row>
    <row r="50" spans="1:11">
      <c r="A50" s="41">
        <v>45834</v>
      </c>
      <c r="B50" s="43" t="s">
        <v>101</v>
      </c>
      <c r="C50" s="43">
        <v>20250607</v>
      </c>
      <c r="D50" s="43" t="s">
        <v>1299</v>
      </c>
      <c r="E50" s="43" t="s">
        <v>99</v>
      </c>
      <c r="F50" s="45">
        <v>21000</v>
      </c>
      <c r="G50" s="45">
        <v>0.93</v>
      </c>
      <c r="H50" s="43">
        <f t="shared" si="1"/>
        <v>19530</v>
      </c>
      <c r="I50" s="43" t="s">
        <v>213</v>
      </c>
      <c r="J50" s="43"/>
      <c r="K50" s="43"/>
    </row>
    <row r="51" spans="1:11">
      <c r="A51" s="41">
        <v>45836</v>
      </c>
      <c r="B51" s="43" t="s">
        <v>101</v>
      </c>
      <c r="C51" s="43">
        <v>20250608</v>
      </c>
      <c r="D51" s="43" t="s">
        <v>1299</v>
      </c>
      <c r="E51" s="43" t="s">
        <v>99</v>
      </c>
      <c r="F51" s="45">
        <v>10000</v>
      </c>
      <c r="G51" s="45">
        <v>0.93</v>
      </c>
      <c r="H51" s="43">
        <f t="shared" si="1"/>
        <v>9300</v>
      </c>
      <c r="I51" s="43" t="s">
        <v>105</v>
      </c>
      <c r="J51" s="43"/>
      <c r="K51" s="43"/>
    </row>
    <row r="52" spans="1:11">
      <c r="A52" s="41">
        <v>45838</v>
      </c>
      <c r="B52" s="43" t="s">
        <v>101</v>
      </c>
      <c r="C52" s="43">
        <v>20250609</v>
      </c>
      <c r="D52" s="43" t="s">
        <v>362</v>
      </c>
      <c r="E52" s="43" t="s">
        <v>1405</v>
      </c>
      <c r="F52" s="45">
        <v>6605</v>
      </c>
      <c r="G52" s="45">
        <v>0.95</v>
      </c>
      <c r="H52" s="43">
        <f t="shared" si="1"/>
        <v>6274.75</v>
      </c>
      <c r="I52" s="43" t="s">
        <v>363</v>
      </c>
      <c r="J52" s="43"/>
      <c r="K52" s="43"/>
    </row>
    <row r="53" spans="1:11">
      <c r="A53" s="41">
        <v>45838</v>
      </c>
      <c r="B53" s="43" t="s">
        <v>101</v>
      </c>
      <c r="C53" s="43">
        <v>20250609</v>
      </c>
      <c r="D53" s="43" t="s">
        <v>1299</v>
      </c>
      <c r="E53" s="43" t="s">
        <v>99</v>
      </c>
      <c r="F53" s="45">
        <v>23000</v>
      </c>
      <c r="G53" s="45">
        <v>0.93</v>
      </c>
      <c r="H53" s="43">
        <f t="shared" si="1"/>
        <v>21390</v>
      </c>
      <c r="I53" s="43" t="s">
        <v>213</v>
      </c>
      <c r="J53" s="43"/>
      <c r="K53" s="43"/>
    </row>
    <row r="54" spans="1:11">
      <c r="A54" s="41">
        <v>45800</v>
      </c>
      <c r="B54" s="43" t="s">
        <v>1407</v>
      </c>
      <c r="C54" s="87" t="s">
        <v>1408</v>
      </c>
      <c r="D54" s="43" t="s">
        <v>115</v>
      </c>
      <c r="E54" s="43" t="s">
        <v>1409</v>
      </c>
      <c r="F54" s="43">
        <v>4000</v>
      </c>
      <c r="G54" s="43">
        <v>0.44</v>
      </c>
      <c r="H54" s="43">
        <f t="shared" si="1"/>
        <v>1760</v>
      </c>
      <c r="I54" s="43" t="s">
        <v>77</v>
      </c>
      <c r="J54" s="43"/>
      <c r="K54" s="43"/>
    </row>
    <row r="55" spans="1:11">
      <c r="A55" s="41">
        <v>45805</v>
      </c>
      <c r="B55" s="43" t="s">
        <v>1407</v>
      </c>
      <c r="C55" s="87" t="s">
        <v>1410</v>
      </c>
      <c r="D55" s="43" t="s">
        <v>115</v>
      </c>
      <c r="E55" s="43" t="s">
        <v>1409</v>
      </c>
      <c r="F55" s="43">
        <v>4000</v>
      </c>
      <c r="G55" s="43">
        <v>0.44</v>
      </c>
      <c r="H55" s="43">
        <f t="shared" si="1"/>
        <v>1760</v>
      </c>
      <c r="I55" s="43" t="s">
        <v>77</v>
      </c>
      <c r="J55" s="43"/>
      <c r="K55" s="43"/>
    </row>
    <row r="56" spans="1:11">
      <c r="A56" s="41">
        <v>45811</v>
      </c>
      <c r="B56" s="43" t="s">
        <v>1407</v>
      </c>
      <c r="C56" s="87" t="s">
        <v>1411</v>
      </c>
      <c r="D56" s="43" t="s">
        <v>76</v>
      </c>
      <c r="E56" s="43" t="s">
        <v>450</v>
      </c>
      <c r="F56" s="43">
        <v>7000</v>
      </c>
      <c r="G56" s="43">
        <v>0.52</v>
      </c>
      <c r="H56" s="43">
        <f t="shared" si="1"/>
        <v>3640</v>
      </c>
      <c r="I56" s="43" t="s">
        <v>77</v>
      </c>
      <c r="J56" s="43"/>
      <c r="K56" s="43"/>
    </row>
    <row r="57" spans="1:11">
      <c r="A57" s="41">
        <v>45825</v>
      </c>
      <c r="B57" s="43" t="s">
        <v>1407</v>
      </c>
      <c r="C57" s="43"/>
      <c r="D57" s="43" t="s">
        <v>122</v>
      </c>
      <c r="E57" s="43" t="s">
        <v>60</v>
      </c>
      <c r="F57" s="43">
        <v>2110</v>
      </c>
      <c r="G57" s="43">
        <v>0.53</v>
      </c>
      <c r="H57" s="43">
        <f t="shared" si="1"/>
        <v>1118.3</v>
      </c>
      <c r="I57" s="43" t="s">
        <v>864</v>
      </c>
      <c r="J57" s="43"/>
      <c r="K57" s="43"/>
    </row>
    <row r="58" spans="1:11">
      <c r="A58" s="44">
        <v>45811</v>
      </c>
      <c r="B58" s="45" t="s">
        <v>969</v>
      </c>
      <c r="C58" s="45"/>
      <c r="D58" s="45" t="s">
        <v>115</v>
      </c>
      <c r="E58" s="45" t="s">
        <v>123</v>
      </c>
      <c r="F58" s="45">
        <v>4050</v>
      </c>
      <c r="G58" s="45">
        <v>0.53</v>
      </c>
      <c r="H58" s="45">
        <f t="shared" si="1"/>
        <v>2146.5</v>
      </c>
      <c r="I58" s="45" t="s">
        <v>805</v>
      </c>
      <c r="J58" s="43"/>
      <c r="K58" s="62"/>
    </row>
    <row r="59" spans="1:11">
      <c r="A59" s="44">
        <v>45814</v>
      </c>
      <c r="B59" s="45" t="s">
        <v>969</v>
      </c>
      <c r="C59" s="45"/>
      <c r="D59" s="45" t="s">
        <v>115</v>
      </c>
      <c r="E59" s="45" t="s">
        <v>123</v>
      </c>
      <c r="F59" s="45">
        <v>7810</v>
      </c>
      <c r="G59" s="45">
        <v>0.53</v>
      </c>
      <c r="H59" s="45">
        <f t="shared" si="1"/>
        <v>4139.3</v>
      </c>
      <c r="I59" s="45" t="s">
        <v>805</v>
      </c>
      <c r="J59" s="43"/>
      <c r="K59" s="62"/>
    </row>
    <row r="60" spans="1:11">
      <c r="A60" s="41">
        <v>45811</v>
      </c>
      <c r="B60" s="43" t="s">
        <v>260</v>
      </c>
      <c r="C60" s="43" t="s">
        <v>1412</v>
      </c>
      <c r="D60" s="43" t="s">
        <v>884</v>
      </c>
      <c r="E60" s="43" t="s">
        <v>14</v>
      </c>
      <c r="F60" s="43">
        <v>705</v>
      </c>
      <c r="G60" s="43">
        <v>1.9</v>
      </c>
      <c r="H60" s="43">
        <f t="shared" si="1"/>
        <v>1339.5</v>
      </c>
      <c r="I60" s="43" t="s">
        <v>406</v>
      </c>
      <c r="J60" s="43"/>
      <c r="K60" s="62"/>
    </row>
    <row r="61" spans="1:11">
      <c r="A61" s="41">
        <v>45811</v>
      </c>
      <c r="B61" s="43" t="s">
        <v>121</v>
      </c>
      <c r="C61" s="43"/>
      <c r="D61" s="43" t="s">
        <v>70</v>
      </c>
      <c r="E61" s="43" t="s">
        <v>136</v>
      </c>
      <c r="F61" s="43">
        <v>40000</v>
      </c>
      <c r="G61" s="43">
        <v>0.52</v>
      </c>
      <c r="H61" s="43">
        <f t="shared" si="1"/>
        <v>20800</v>
      </c>
      <c r="I61" s="43" t="s">
        <v>45</v>
      </c>
      <c r="J61" s="43"/>
      <c r="K61" s="43"/>
    </row>
    <row r="62" spans="1:11">
      <c r="A62" s="41">
        <v>45814</v>
      </c>
      <c r="B62" s="43" t="s">
        <v>121</v>
      </c>
      <c r="C62" s="43"/>
      <c r="D62" s="43" t="s">
        <v>70</v>
      </c>
      <c r="E62" s="43" t="s">
        <v>136</v>
      </c>
      <c r="F62" s="43">
        <v>40000</v>
      </c>
      <c r="G62" s="43">
        <v>0.52</v>
      </c>
      <c r="H62" s="43">
        <f t="shared" si="1"/>
        <v>20800</v>
      </c>
      <c r="I62" s="43" t="s">
        <v>45</v>
      </c>
      <c r="J62" s="43"/>
      <c r="K62" s="43"/>
    </row>
    <row r="63" spans="1:11">
      <c r="A63" s="41">
        <v>45816</v>
      </c>
      <c r="B63" s="43" t="s">
        <v>121</v>
      </c>
      <c r="C63" s="43"/>
      <c r="D63" s="43" t="s">
        <v>70</v>
      </c>
      <c r="E63" s="43" t="s">
        <v>136</v>
      </c>
      <c r="F63" s="43">
        <v>40108</v>
      </c>
      <c r="G63" s="43">
        <v>0.52</v>
      </c>
      <c r="H63" s="43">
        <f t="shared" si="1"/>
        <v>20856.16</v>
      </c>
      <c r="I63" s="43" t="s">
        <v>45</v>
      </c>
      <c r="J63" s="43"/>
      <c r="K63" s="43"/>
    </row>
    <row r="64" spans="1:11">
      <c r="A64" s="41">
        <v>45821</v>
      </c>
      <c r="B64" s="43" t="s">
        <v>121</v>
      </c>
      <c r="C64" s="43"/>
      <c r="D64" s="43" t="s">
        <v>122</v>
      </c>
      <c r="E64" s="43" t="s">
        <v>124</v>
      </c>
      <c r="F64" s="43">
        <v>6081</v>
      </c>
      <c r="G64" s="43">
        <v>0.54</v>
      </c>
      <c r="H64" s="43">
        <f t="shared" si="1"/>
        <v>3283.74</v>
      </c>
      <c r="I64" s="43" t="s">
        <v>117</v>
      </c>
      <c r="J64" s="43"/>
      <c r="K64" s="43"/>
    </row>
    <row r="65" spans="1:11">
      <c r="A65" s="41">
        <v>45837</v>
      </c>
      <c r="B65" s="43" t="s">
        <v>121</v>
      </c>
      <c r="C65" s="43"/>
      <c r="D65" s="43" t="s">
        <v>122</v>
      </c>
      <c r="E65" s="43" t="s">
        <v>124</v>
      </c>
      <c r="F65" s="43">
        <v>5297</v>
      </c>
      <c r="G65" s="43">
        <v>0.54</v>
      </c>
      <c r="H65" s="43">
        <f t="shared" si="1"/>
        <v>2860.38</v>
      </c>
      <c r="I65" s="43" t="s">
        <v>117</v>
      </c>
      <c r="J65" s="43"/>
      <c r="K65" s="43"/>
    </row>
    <row r="66" spans="1:11">
      <c r="A66" s="41">
        <v>45835</v>
      </c>
      <c r="B66" s="43" t="s">
        <v>121</v>
      </c>
      <c r="C66" s="43"/>
      <c r="D66" s="43" t="s">
        <v>201</v>
      </c>
      <c r="E66" s="43" t="s">
        <v>14</v>
      </c>
      <c r="F66" s="43">
        <v>30000</v>
      </c>
      <c r="G66" s="43">
        <v>0.85</v>
      </c>
      <c r="H66" s="43">
        <f t="shared" si="1"/>
        <v>25500</v>
      </c>
      <c r="I66" s="43" t="s">
        <v>61</v>
      </c>
      <c r="J66" s="43" t="s">
        <v>46</v>
      </c>
      <c r="K66" s="43"/>
    </row>
    <row r="67" spans="1:11">
      <c r="A67" s="41">
        <v>45837</v>
      </c>
      <c r="B67" s="43" t="s">
        <v>121</v>
      </c>
      <c r="C67" s="43"/>
      <c r="D67" s="43" t="s">
        <v>70</v>
      </c>
      <c r="E67" s="43" t="s">
        <v>136</v>
      </c>
      <c r="F67" s="43">
        <v>23500</v>
      </c>
      <c r="G67" s="43">
        <v>0.52</v>
      </c>
      <c r="H67" s="43">
        <f t="shared" si="1"/>
        <v>12220</v>
      </c>
      <c r="I67" s="43" t="s">
        <v>45</v>
      </c>
      <c r="J67" s="43"/>
      <c r="K67" s="43"/>
    </row>
    <row r="68" spans="1:11">
      <c r="A68" s="41">
        <v>45813</v>
      </c>
      <c r="B68" s="43" t="s">
        <v>215</v>
      </c>
      <c r="C68" s="43" t="s">
        <v>1413</v>
      </c>
      <c r="D68" s="43" t="s">
        <v>217</v>
      </c>
      <c r="E68" s="43" t="s">
        <v>818</v>
      </c>
      <c r="F68" s="43">
        <v>200</v>
      </c>
      <c r="G68" s="43">
        <v>2.2</v>
      </c>
      <c r="H68" s="43">
        <f t="shared" ref="H67:H89" si="2">F68*G68</f>
        <v>440</v>
      </c>
      <c r="I68" s="43" t="s">
        <v>61</v>
      </c>
      <c r="J68" s="43"/>
      <c r="K68" s="43"/>
    </row>
    <row r="69" spans="1:11">
      <c r="A69" s="41">
        <v>45818</v>
      </c>
      <c r="B69" s="43" t="s">
        <v>215</v>
      </c>
      <c r="C69" s="43" t="s">
        <v>1414</v>
      </c>
      <c r="D69" s="43" t="s">
        <v>217</v>
      </c>
      <c r="E69" s="43" t="s">
        <v>220</v>
      </c>
      <c r="F69" s="43">
        <v>200</v>
      </c>
      <c r="G69" s="43">
        <v>2.6</v>
      </c>
      <c r="H69" s="43">
        <f t="shared" si="2"/>
        <v>520</v>
      </c>
      <c r="I69" s="43" t="s">
        <v>61</v>
      </c>
      <c r="J69" s="43"/>
      <c r="K69" s="43"/>
    </row>
    <row r="70" spans="1:11">
      <c r="A70" s="41">
        <v>45812</v>
      </c>
      <c r="B70" s="43" t="s">
        <v>1376</v>
      </c>
      <c r="C70" s="43" t="s">
        <v>1415</v>
      </c>
      <c r="D70" s="43" t="s">
        <v>1378</v>
      </c>
      <c r="E70" s="43" t="s">
        <v>1416</v>
      </c>
      <c r="F70" s="43">
        <v>2000</v>
      </c>
      <c r="G70" s="43">
        <v>2</v>
      </c>
      <c r="H70" s="43">
        <f t="shared" si="2"/>
        <v>4000</v>
      </c>
      <c r="I70" s="43" t="s">
        <v>415</v>
      </c>
      <c r="J70" s="43"/>
      <c r="K70" s="43"/>
    </row>
    <row r="71" spans="1:11">
      <c r="A71" s="41">
        <v>45812</v>
      </c>
      <c r="B71" s="43" t="s">
        <v>11</v>
      </c>
      <c r="C71" s="45" t="s">
        <v>1417</v>
      </c>
      <c r="D71" s="45" t="s">
        <v>13</v>
      </c>
      <c r="E71" s="45" t="s">
        <v>14</v>
      </c>
      <c r="F71" s="45">
        <v>20</v>
      </c>
      <c r="G71" s="45">
        <v>1.4</v>
      </c>
      <c r="H71" s="43">
        <f t="shared" si="2"/>
        <v>28</v>
      </c>
      <c r="I71" s="43" t="s">
        <v>1116</v>
      </c>
      <c r="J71" s="43"/>
      <c r="K71" s="43"/>
    </row>
    <row r="72" spans="1:11">
      <c r="A72" s="41">
        <v>45811</v>
      </c>
      <c r="B72" s="43" t="s">
        <v>11</v>
      </c>
      <c r="C72" s="45" t="s">
        <v>1418</v>
      </c>
      <c r="D72" s="45" t="s">
        <v>179</v>
      </c>
      <c r="E72" s="45" t="s">
        <v>14</v>
      </c>
      <c r="F72" s="45">
        <v>25000</v>
      </c>
      <c r="G72" s="45">
        <v>1</v>
      </c>
      <c r="H72" s="43">
        <f t="shared" si="2"/>
        <v>25000</v>
      </c>
      <c r="I72" s="43" t="s">
        <v>166</v>
      </c>
      <c r="J72" s="43" t="s">
        <v>46</v>
      </c>
      <c r="K72" s="43"/>
    </row>
    <row r="73" spans="1:11">
      <c r="A73" s="41">
        <v>45811</v>
      </c>
      <c r="B73" s="43" t="s">
        <v>11</v>
      </c>
      <c r="C73" s="45" t="s">
        <v>1418</v>
      </c>
      <c r="D73" s="45" t="s">
        <v>1173</v>
      </c>
      <c r="E73" s="45" t="s">
        <v>14</v>
      </c>
      <c r="F73" s="45">
        <v>5170</v>
      </c>
      <c r="G73" s="45">
        <v>1.6</v>
      </c>
      <c r="H73" s="43">
        <f t="shared" si="2"/>
        <v>8272</v>
      </c>
      <c r="I73" s="43" t="s">
        <v>433</v>
      </c>
      <c r="J73" s="43" t="s">
        <v>46</v>
      </c>
      <c r="K73" s="43"/>
    </row>
    <row r="74" spans="1:11">
      <c r="A74" s="41">
        <v>45811</v>
      </c>
      <c r="B74" s="43" t="s">
        <v>11</v>
      </c>
      <c r="C74" s="45" t="s">
        <v>1418</v>
      </c>
      <c r="D74" s="45" t="s">
        <v>1419</v>
      </c>
      <c r="E74" s="45" t="s">
        <v>14</v>
      </c>
      <c r="F74" s="45">
        <v>205</v>
      </c>
      <c r="G74" s="45">
        <v>1</v>
      </c>
      <c r="H74" s="43">
        <f t="shared" si="2"/>
        <v>205</v>
      </c>
      <c r="I74" s="43" t="s">
        <v>71</v>
      </c>
      <c r="J74" s="43"/>
      <c r="K74" s="43"/>
    </row>
    <row r="75" spans="1:11">
      <c r="A75" s="41">
        <v>45818</v>
      </c>
      <c r="B75" s="43" t="s">
        <v>11</v>
      </c>
      <c r="C75" s="45" t="s">
        <v>1420</v>
      </c>
      <c r="D75" s="45" t="s">
        <v>392</v>
      </c>
      <c r="E75" s="45" t="s">
        <v>14</v>
      </c>
      <c r="F75" s="45">
        <v>20</v>
      </c>
      <c r="G75" s="45">
        <v>1.1</v>
      </c>
      <c r="H75" s="43">
        <f t="shared" si="2"/>
        <v>22</v>
      </c>
      <c r="I75" s="43" t="s">
        <v>271</v>
      </c>
      <c r="J75" s="43" t="s">
        <v>16</v>
      </c>
      <c r="K75" s="43"/>
    </row>
    <row r="76" spans="1:11">
      <c r="A76" s="41">
        <v>45819</v>
      </c>
      <c r="B76" s="43" t="s">
        <v>11</v>
      </c>
      <c r="C76" s="45" t="s">
        <v>1421</v>
      </c>
      <c r="D76" s="45" t="s">
        <v>310</v>
      </c>
      <c r="E76" s="45" t="s">
        <v>14</v>
      </c>
      <c r="F76" s="45">
        <v>10</v>
      </c>
      <c r="G76" s="45">
        <v>1.2</v>
      </c>
      <c r="H76" s="43">
        <f t="shared" si="2"/>
        <v>12</v>
      </c>
      <c r="I76" s="43" t="s">
        <v>32</v>
      </c>
      <c r="J76" s="43" t="s">
        <v>16</v>
      </c>
      <c r="K76" s="43"/>
    </row>
    <row r="77" spans="1:11">
      <c r="A77" s="41">
        <v>45819</v>
      </c>
      <c r="B77" s="43" t="s">
        <v>11</v>
      </c>
      <c r="C77" s="45" t="s">
        <v>1421</v>
      </c>
      <c r="D77" s="45" t="s">
        <v>823</v>
      </c>
      <c r="E77" s="45" t="s">
        <v>14</v>
      </c>
      <c r="F77" s="45">
        <v>10</v>
      </c>
      <c r="G77" s="45">
        <v>1.4</v>
      </c>
      <c r="H77" s="43">
        <f t="shared" si="2"/>
        <v>14</v>
      </c>
      <c r="I77" s="43" t="s">
        <v>32</v>
      </c>
      <c r="J77" s="43" t="s">
        <v>16</v>
      </c>
      <c r="K77" s="43"/>
    </row>
    <row r="78" spans="1:11">
      <c r="A78" s="41">
        <v>45824</v>
      </c>
      <c r="B78" s="43" t="s">
        <v>11</v>
      </c>
      <c r="C78" s="45" t="s">
        <v>1422</v>
      </c>
      <c r="D78" s="45" t="s">
        <v>1121</v>
      </c>
      <c r="E78" s="45" t="s">
        <v>14</v>
      </c>
      <c r="F78" s="45">
        <v>10</v>
      </c>
      <c r="G78" s="45">
        <v>1.2</v>
      </c>
      <c r="H78" s="43">
        <f t="shared" si="2"/>
        <v>12</v>
      </c>
      <c r="I78" s="43" t="s">
        <v>32</v>
      </c>
      <c r="J78" s="43" t="s">
        <v>16</v>
      </c>
      <c r="K78" s="43"/>
    </row>
    <row r="79" spans="1:11">
      <c r="A79" s="41">
        <v>45827</v>
      </c>
      <c r="B79" s="43" t="s">
        <v>11</v>
      </c>
      <c r="C79" s="45" t="s">
        <v>1423</v>
      </c>
      <c r="D79" s="45" t="s">
        <v>399</v>
      </c>
      <c r="E79" s="45" t="s">
        <v>14</v>
      </c>
      <c r="F79" s="45">
        <v>2100</v>
      </c>
      <c r="G79" s="45">
        <v>1.1</v>
      </c>
      <c r="H79" s="43">
        <f t="shared" si="2"/>
        <v>2310</v>
      </c>
      <c r="I79" s="43" t="s">
        <v>278</v>
      </c>
      <c r="J79" s="43" t="s">
        <v>1424</v>
      </c>
      <c r="K79" s="43"/>
    </row>
    <row r="80" spans="1:11">
      <c r="A80" s="41">
        <v>45827</v>
      </c>
      <c r="B80" s="43" t="s">
        <v>11</v>
      </c>
      <c r="C80" s="45" t="s">
        <v>1425</v>
      </c>
      <c r="D80" s="45" t="s">
        <v>694</v>
      </c>
      <c r="E80" s="45" t="s">
        <v>14</v>
      </c>
      <c r="F80" s="45">
        <v>20800</v>
      </c>
      <c r="G80" s="45">
        <v>1.5</v>
      </c>
      <c r="H80" s="43">
        <f t="shared" si="2"/>
        <v>31200</v>
      </c>
      <c r="I80" s="43" t="s">
        <v>396</v>
      </c>
      <c r="J80" s="43" t="s">
        <v>1424</v>
      </c>
      <c r="K80" s="43"/>
    </row>
    <row r="81" spans="1:11">
      <c r="A81" s="41">
        <v>45827</v>
      </c>
      <c r="B81" s="43" t="s">
        <v>11</v>
      </c>
      <c r="C81" s="45" t="s">
        <v>1426</v>
      </c>
      <c r="D81" s="45" t="s">
        <v>314</v>
      </c>
      <c r="E81" s="45" t="s">
        <v>14</v>
      </c>
      <c r="F81" s="45">
        <v>100</v>
      </c>
      <c r="G81" s="45">
        <v>1.45</v>
      </c>
      <c r="H81" s="43">
        <f t="shared" si="2"/>
        <v>145</v>
      </c>
      <c r="I81" s="43" t="s">
        <v>28</v>
      </c>
      <c r="J81" s="43"/>
      <c r="K81" s="43"/>
    </row>
    <row r="82" spans="1:11">
      <c r="A82" s="41">
        <v>45827</v>
      </c>
      <c r="B82" s="43" t="s">
        <v>11</v>
      </c>
      <c r="C82" s="45" t="s">
        <v>1426</v>
      </c>
      <c r="D82" s="45" t="s">
        <v>713</v>
      </c>
      <c r="E82" s="45" t="s">
        <v>14</v>
      </c>
      <c r="F82" s="45">
        <v>10</v>
      </c>
      <c r="G82" s="45">
        <v>1</v>
      </c>
      <c r="H82" s="43">
        <f t="shared" si="2"/>
        <v>10</v>
      </c>
      <c r="I82" s="43" t="s">
        <v>32</v>
      </c>
      <c r="J82" s="43"/>
      <c r="K82" s="43"/>
    </row>
    <row r="83" spans="1:11">
      <c r="A83" s="41">
        <v>45831</v>
      </c>
      <c r="B83" s="43" t="s">
        <v>11</v>
      </c>
      <c r="C83" s="45" t="s">
        <v>1427</v>
      </c>
      <c r="D83" s="45" t="s">
        <v>1428</v>
      </c>
      <c r="E83" s="45" t="s">
        <v>14</v>
      </c>
      <c r="F83" s="45">
        <v>102</v>
      </c>
      <c r="G83" s="45">
        <v>1.3</v>
      </c>
      <c r="H83" s="43">
        <f t="shared" si="2"/>
        <v>132.6</v>
      </c>
      <c r="I83" s="43" t="s">
        <v>1429</v>
      </c>
      <c r="J83" s="43" t="s">
        <v>1430</v>
      </c>
      <c r="K83" s="43"/>
    </row>
    <row r="84" spans="1:11">
      <c r="A84" s="41">
        <v>45831</v>
      </c>
      <c r="B84" s="43" t="s">
        <v>11</v>
      </c>
      <c r="C84" s="45" t="s">
        <v>1431</v>
      </c>
      <c r="D84" s="45" t="s">
        <v>24</v>
      </c>
      <c r="E84" s="45" t="s">
        <v>14</v>
      </c>
      <c r="F84" s="45">
        <v>30</v>
      </c>
      <c r="G84" s="45">
        <v>1</v>
      </c>
      <c r="H84" s="43">
        <f t="shared" si="2"/>
        <v>30</v>
      </c>
      <c r="I84" s="43" t="s">
        <v>94</v>
      </c>
      <c r="J84" s="43"/>
      <c r="K84" s="43"/>
    </row>
    <row r="85" s="35" customFormat="1" spans="1:11">
      <c r="A85" s="44">
        <v>45832</v>
      </c>
      <c r="B85" s="45" t="s">
        <v>11</v>
      </c>
      <c r="C85" s="45" t="s">
        <v>1432</v>
      </c>
      <c r="D85" s="45" t="s">
        <v>1428</v>
      </c>
      <c r="E85" s="45" t="s">
        <v>14</v>
      </c>
      <c r="F85" s="45">
        <v>40000</v>
      </c>
      <c r="G85" s="45">
        <v>1.3</v>
      </c>
      <c r="H85" s="45">
        <f t="shared" si="2"/>
        <v>52000</v>
      </c>
      <c r="I85" s="45" t="s">
        <v>1429</v>
      </c>
      <c r="J85" s="45" t="s">
        <v>46</v>
      </c>
      <c r="K85" s="45"/>
    </row>
    <row r="86" s="35" customFormat="1" spans="1:11">
      <c r="A86" s="44">
        <v>45832</v>
      </c>
      <c r="B86" s="45" t="s">
        <v>11</v>
      </c>
      <c r="C86" s="45" t="s">
        <v>1432</v>
      </c>
      <c r="D86" s="45" t="s">
        <v>84</v>
      </c>
      <c r="E86" s="45" t="s">
        <v>14</v>
      </c>
      <c r="F86" s="45">
        <v>3050</v>
      </c>
      <c r="G86" s="45">
        <v>1</v>
      </c>
      <c r="H86" s="45">
        <f t="shared" si="2"/>
        <v>3050</v>
      </c>
      <c r="I86" s="45" t="s">
        <v>466</v>
      </c>
      <c r="J86" s="45" t="s">
        <v>46</v>
      </c>
      <c r="K86" s="45"/>
    </row>
    <row r="87" s="35" customFormat="1" spans="1:11">
      <c r="A87" s="44">
        <v>45833</v>
      </c>
      <c r="B87" s="45" t="s">
        <v>11</v>
      </c>
      <c r="C87" s="45" t="s">
        <v>1433</v>
      </c>
      <c r="D87" s="45" t="s">
        <v>321</v>
      </c>
      <c r="E87" s="45" t="s">
        <v>14</v>
      </c>
      <c r="F87" s="45">
        <v>151</v>
      </c>
      <c r="G87" s="45">
        <v>1.3</v>
      </c>
      <c r="H87" s="45">
        <f t="shared" si="2"/>
        <v>196.3</v>
      </c>
      <c r="I87" s="45" t="s">
        <v>322</v>
      </c>
      <c r="J87" s="45"/>
      <c r="K87" s="45"/>
    </row>
    <row r="88" s="35" customFormat="1" spans="1:11">
      <c r="A88" s="44">
        <v>45833</v>
      </c>
      <c r="B88" s="45" t="s">
        <v>11</v>
      </c>
      <c r="C88" s="45" t="s">
        <v>1433</v>
      </c>
      <c r="D88" s="45" t="s">
        <v>1434</v>
      </c>
      <c r="E88" s="45" t="s">
        <v>14</v>
      </c>
      <c r="F88" s="45">
        <v>20</v>
      </c>
      <c r="G88" s="45">
        <v>0.9</v>
      </c>
      <c r="H88" s="45">
        <f t="shared" si="2"/>
        <v>18</v>
      </c>
      <c r="I88" s="45" t="s">
        <v>396</v>
      </c>
      <c r="J88" s="45"/>
      <c r="K88" s="45"/>
    </row>
    <row r="89" s="35" customFormat="1" spans="1:11">
      <c r="A89" s="44">
        <v>45833</v>
      </c>
      <c r="B89" s="45" t="s">
        <v>11</v>
      </c>
      <c r="C89" s="45" t="s">
        <v>1433</v>
      </c>
      <c r="D89" s="45" t="s">
        <v>36</v>
      </c>
      <c r="E89" s="45" t="s">
        <v>14</v>
      </c>
      <c r="F89" s="45">
        <v>52</v>
      </c>
      <c r="G89" s="45">
        <v>0.9</v>
      </c>
      <c r="H89" s="45">
        <f t="shared" si="2"/>
        <v>46.8</v>
      </c>
      <c r="I89" s="45" t="s">
        <v>432</v>
      </c>
      <c r="J89" s="45"/>
      <c r="K89" s="45"/>
    </row>
    <row r="90" spans="1:11">
      <c r="A90" s="41">
        <v>45810</v>
      </c>
      <c r="B90" s="43" t="s">
        <v>113</v>
      </c>
      <c r="C90" s="43" t="s">
        <v>1435</v>
      </c>
      <c r="D90" s="43" t="s">
        <v>59</v>
      </c>
      <c r="E90" s="43" t="s">
        <v>60</v>
      </c>
      <c r="F90" s="43">
        <v>10</v>
      </c>
      <c r="G90" s="43">
        <v>0</v>
      </c>
      <c r="H90" s="43">
        <f t="shared" ref="H90:H153" si="3">F90*G90</f>
        <v>0</v>
      </c>
      <c r="I90" s="43" t="s">
        <v>32</v>
      </c>
      <c r="J90" s="43"/>
      <c r="K90" s="43"/>
    </row>
    <row r="91" spans="1:11">
      <c r="A91" s="41">
        <v>45810</v>
      </c>
      <c r="B91" s="43" t="s">
        <v>113</v>
      </c>
      <c r="C91" s="43" t="s">
        <v>1435</v>
      </c>
      <c r="D91" s="43" t="s">
        <v>59</v>
      </c>
      <c r="E91" s="43" t="s">
        <v>60</v>
      </c>
      <c r="F91" s="43">
        <v>10</v>
      </c>
      <c r="G91" s="43">
        <v>0</v>
      </c>
      <c r="H91" s="43">
        <f t="shared" si="3"/>
        <v>0</v>
      </c>
      <c r="I91" s="43" t="s">
        <v>32</v>
      </c>
      <c r="J91" s="43"/>
      <c r="K91" s="43"/>
    </row>
    <row r="92" spans="1:11">
      <c r="A92" s="41">
        <v>45810</v>
      </c>
      <c r="B92" s="43" t="s">
        <v>113</v>
      </c>
      <c r="C92" s="43" t="s">
        <v>1435</v>
      </c>
      <c r="D92" s="43" t="s">
        <v>627</v>
      </c>
      <c r="E92" s="43" t="s">
        <v>60</v>
      </c>
      <c r="F92" s="43">
        <v>10</v>
      </c>
      <c r="G92" s="43">
        <v>0</v>
      </c>
      <c r="H92" s="43">
        <f t="shared" si="3"/>
        <v>0</v>
      </c>
      <c r="I92" s="43" t="s">
        <v>32</v>
      </c>
      <c r="J92" s="43"/>
      <c r="K92" s="43"/>
    </row>
    <row r="93" spans="1:11">
      <c r="A93" s="41">
        <v>45810</v>
      </c>
      <c r="B93" s="43" t="s">
        <v>113</v>
      </c>
      <c r="C93" s="43" t="s">
        <v>1436</v>
      </c>
      <c r="D93" s="43" t="s">
        <v>130</v>
      </c>
      <c r="E93" s="43" t="s">
        <v>60</v>
      </c>
      <c r="F93" s="45">
        <v>36400</v>
      </c>
      <c r="G93" s="45">
        <v>0.4</v>
      </c>
      <c r="H93" s="43">
        <f t="shared" si="3"/>
        <v>14560</v>
      </c>
      <c r="I93" s="43" t="s">
        <v>149</v>
      </c>
      <c r="J93" s="43"/>
      <c r="K93" s="43"/>
    </row>
    <row r="94" spans="1:11">
      <c r="A94" s="41">
        <v>45810</v>
      </c>
      <c r="B94" s="43" t="s">
        <v>113</v>
      </c>
      <c r="C94" s="43" t="s">
        <v>1436</v>
      </c>
      <c r="D94" s="43" t="s">
        <v>130</v>
      </c>
      <c r="E94" s="43" t="s">
        <v>60</v>
      </c>
      <c r="F94" s="45">
        <v>7830</v>
      </c>
      <c r="G94" s="45">
        <v>0.4</v>
      </c>
      <c r="H94" s="43">
        <f t="shared" si="3"/>
        <v>3132</v>
      </c>
      <c r="I94" s="43" t="s">
        <v>982</v>
      </c>
      <c r="J94" s="43"/>
      <c r="K94" s="43"/>
    </row>
    <row r="95" spans="1:11">
      <c r="A95" s="41">
        <v>45810</v>
      </c>
      <c r="B95" s="43" t="s">
        <v>113</v>
      </c>
      <c r="C95" s="43" t="s">
        <v>1436</v>
      </c>
      <c r="D95" s="43" t="s">
        <v>122</v>
      </c>
      <c r="E95" s="43" t="s">
        <v>99</v>
      </c>
      <c r="F95" s="45">
        <v>7200</v>
      </c>
      <c r="G95" s="45">
        <v>0.6</v>
      </c>
      <c r="H95" s="43">
        <f t="shared" si="3"/>
        <v>4320</v>
      </c>
      <c r="I95" s="43" t="s">
        <v>999</v>
      </c>
      <c r="J95" s="43" t="s">
        <v>90</v>
      </c>
      <c r="K95" s="43">
        <v>0.77</v>
      </c>
    </row>
    <row r="96" spans="1:11">
      <c r="A96" s="41">
        <v>45810</v>
      </c>
      <c r="B96" s="43" t="s">
        <v>113</v>
      </c>
      <c r="C96" s="43" t="s">
        <v>1436</v>
      </c>
      <c r="D96" s="43" t="s">
        <v>59</v>
      </c>
      <c r="E96" s="43" t="s">
        <v>62</v>
      </c>
      <c r="F96" s="45">
        <v>8000</v>
      </c>
      <c r="G96" s="45">
        <v>0.45</v>
      </c>
      <c r="H96" s="43">
        <f t="shared" si="3"/>
        <v>3600</v>
      </c>
      <c r="I96" s="43" t="s">
        <v>69</v>
      </c>
      <c r="J96" s="43"/>
      <c r="K96" s="43"/>
    </row>
    <row r="97" spans="1:11">
      <c r="A97" s="41">
        <v>45810</v>
      </c>
      <c r="B97" s="43" t="s">
        <v>113</v>
      </c>
      <c r="C97" s="43" t="s">
        <v>1436</v>
      </c>
      <c r="D97" s="43" t="s">
        <v>59</v>
      </c>
      <c r="E97" s="43" t="s">
        <v>127</v>
      </c>
      <c r="F97" s="45">
        <v>122</v>
      </c>
      <c r="G97" s="45">
        <v>0.48</v>
      </c>
      <c r="H97" s="43">
        <f t="shared" si="3"/>
        <v>58.56</v>
      </c>
      <c r="I97" s="43" t="s">
        <v>35</v>
      </c>
      <c r="J97" s="43"/>
      <c r="K97" s="43"/>
    </row>
    <row r="98" spans="1:11">
      <c r="A98" s="41">
        <v>45811</v>
      </c>
      <c r="B98" s="43" t="s">
        <v>113</v>
      </c>
      <c r="C98" s="43" t="s">
        <v>1437</v>
      </c>
      <c r="D98" s="43" t="s">
        <v>1061</v>
      </c>
      <c r="E98" s="43" t="s">
        <v>62</v>
      </c>
      <c r="F98" s="45">
        <v>6110</v>
      </c>
      <c r="G98" s="45">
        <v>0.6</v>
      </c>
      <c r="H98" s="43">
        <f t="shared" si="3"/>
        <v>3666</v>
      </c>
      <c r="I98" s="43" t="s">
        <v>982</v>
      </c>
      <c r="J98" s="43"/>
      <c r="K98" s="43"/>
    </row>
    <row r="99" spans="1:11">
      <c r="A99" s="41">
        <v>45812</v>
      </c>
      <c r="B99" s="43" t="s">
        <v>113</v>
      </c>
      <c r="C99" s="43" t="s">
        <v>1438</v>
      </c>
      <c r="D99" s="43" t="s">
        <v>59</v>
      </c>
      <c r="E99" s="43" t="s">
        <v>60</v>
      </c>
      <c r="F99" s="45">
        <v>113</v>
      </c>
      <c r="G99" s="45">
        <v>0.43</v>
      </c>
      <c r="H99" s="43">
        <f t="shared" si="3"/>
        <v>48.59</v>
      </c>
      <c r="I99" s="43" t="s">
        <v>982</v>
      </c>
      <c r="J99" s="43"/>
      <c r="K99" s="43"/>
    </row>
    <row r="100" spans="1:11">
      <c r="A100" s="41">
        <v>45812</v>
      </c>
      <c r="B100" s="43" t="s">
        <v>113</v>
      </c>
      <c r="C100" s="43" t="s">
        <v>1438</v>
      </c>
      <c r="D100" s="43" t="s">
        <v>59</v>
      </c>
      <c r="E100" s="43" t="s">
        <v>60</v>
      </c>
      <c r="F100" s="45">
        <v>88</v>
      </c>
      <c r="G100" s="45">
        <v>0.43</v>
      </c>
      <c r="H100" s="43">
        <f t="shared" si="3"/>
        <v>37.84</v>
      </c>
      <c r="I100" s="43" t="s">
        <v>982</v>
      </c>
      <c r="J100" s="43"/>
      <c r="K100" s="43"/>
    </row>
    <row r="101" spans="1:11">
      <c r="A101" s="41">
        <v>45812</v>
      </c>
      <c r="B101" s="43" t="s">
        <v>113</v>
      </c>
      <c r="C101" s="43" t="s">
        <v>1438</v>
      </c>
      <c r="D101" s="43" t="s">
        <v>1061</v>
      </c>
      <c r="E101" s="43" t="s">
        <v>127</v>
      </c>
      <c r="F101" s="43">
        <v>10</v>
      </c>
      <c r="G101" s="43">
        <v>0</v>
      </c>
      <c r="H101" s="43">
        <f t="shared" si="3"/>
        <v>0</v>
      </c>
      <c r="I101" s="43" t="s">
        <v>32</v>
      </c>
      <c r="J101" s="43"/>
      <c r="K101" s="43"/>
    </row>
    <row r="102" spans="1:11">
      <c r="A102" s="41">
        <v>45812</v>
      </c>
      <c r="B102" s="43" t="s">
        <v>113</v>
      </c>
      <c r="C102" s="43" t="s">
        <v>1438</v>
      </c>
      <c r="D102" s="43" t="s">
        <v>122</v>
      </c>
      <c r="E102" s="43" t="s">
        <v>127</v>
      </c>
      <c r="F102" s="43">
        <v>24</v>
      </c>
      <c r="G102" s="43">
        <v>0</v>
      </c>
      <c r="H102" s="43">
        <f t="shared" si="3"/>
        <v>0</v>
      </c>
      <c r="I102" s="43" t="s">
        <v>32</v>
      </c>
      <c r="J102" s="43"/>
      <c r="K102" s="43"/>
    </row>
    <row r="103" spans="1:11">
      <c r="A103" s="41">
        <v>45812</v>
      </c>
      <c r="B103" s="43" t="s">
        <v>113</v>
      </c>
      <c r="C103" s="43" t="s">
        <v>1439</v>
      </c>
      <c r="D103" s="43" t="s">
        <v>122</v>
      </c>
      <c r="E103" s="43" t="s">
        <v>1440</v>
      </c>
      <c r="F103" s="45">
        <v>70</v>
      </c>
      <c r="G103" s="45">
        <v>0.6</v>
      </c>
      <c r="H103" s="43">
        <f t="shared" si="3"/>
        <v>42</v>
      </c>
      <c r="I103" s="43" t="s">
        <v>999</v>
      </c>
      <c r="J103" s="43"/>
      <c r="K103" s="43"/>
    </row>
    <row r="104" spans="1:11">
      <c r="A104" s="41">
        <v>45812</v>
      </c>
      <c r="B104" s="43" t="s">
        <v>113</v>
      </c>
      <c r="C104" s="43" t="s">
        <v>1439</v>
      </c>
      <c r="D104" s="43" t="s">
        <v>59</v>
      </c>
      <c r="E104" s="43" t="s">
        <v>62</v>
      </c>
      <c r="F104" s="45">
        <v>22000</v>
      </c>
      <c r="G104" s="45">
        <v>0.45</v>
      </c>
      <c r="H104" s="43">
        <f t="shared" si="3"/>
        <v>9900</v>
      </c>
      <c r="I104" s="43" t="s">
        <v>69</v>
      </c>
      <c r="J104" s="43"/>
      <c r="K104" s="43"/>
    </row>
    <row r="105" spans="1:11">
      <c r="A105" s="41">
        <v>45812</v>
      </c>
      <c r="B105" s="43" t="s">
        <v>113</v>
      </c>
      <c r="C105" s="43" t="s">
        <v>1439</v>
      </c>
      <c r="D105" s="43" t="s">
        <v>115</v>
      </c>
      <c r="E105" s="43" t="s">
        <v>60</v>
      </c>
      <c r="F105" s="45">
        <v>12050</v>
      </c>
      <c r="G105" s="45">
        <v>0.43</v>
      </c>
      <c r="H105" s="43">
        <f t="shared" si="3"/>
        <v>5181.5</v>
      </c>
      <c r="I105" s="43" t="s">
        <v>126</v>
      </c>
      <c r="J105" s="43"/>
      <c r="K105" s="43"/>
    </row>
    <row r="106" spans="1:11">
      <c r="A106" s="41">
        <v>45812</v>
      </c>
      <c r="B106" s="43" t="s">
        <v>113</v>
      </c>
      <c r="C106" s="43" t="s">
        <v>1439</v>
      </c>
      <c r="D106" s="43" t="s">
        <v>122</v>
      </c>
      <c r="E106" s="43" t="s">
        <v>123</v>
      </c>
      <c r="F106" s="45">
        <v>30050</v>
      </c>
      <c r="G106" s="45">
        <v>0.55</v>
      </c>
      <c r="H106" s="43">
        <f t="shared" si="3"/>
        <v>16527.5</v>
      </c>
      <c r="I106" s="43" t="s">
        <v>126</v>
      </c>
      <c r="J106" s="43"/>
      <c r="K106" s="43"/>
    </row>
    <row r="107" spans="1:11">
      <c r="A107" s="41">
        <v>45812</v>
      </c>
      <c r="B107" s="43" t="s">
        <v>113</v>
      </c>
      <c r="C107" s="43" t="s">
        <v>1439</v>
      </c>
      <c r="D107" s="43" t="s">
        <v>76</v>
      </c>
      <c r="E107" s="43" t="s">
        <v>123</v>
      </c>
      <c r="F107" s="45">
        <v>4010</v>
      </c>
      <c r="G107" s="45">
        <v>0.48</v>
      </c>
      <c r="H107" s="43">
        <f t="shared" si="3"/>
        <v>1924.8</v>
      </c>
      <c r="I107" s="43" t="s">
        <v>999</v>
      </c>
      <c r="J107" s="43"/>
      <c r="K107" s="43"/>
    </row>
    <row r="108" spans="1:11">
      <c r="A108" s="41">
        <v>45812</v>
      </c>
      <c r="B108" s="43" t="s">
        <v>113</v>
      </c>
      <c r="C108" s="43" t="s">
        <v>1439</v>
      </c>
      <c r="D108" s="43" t="s">
        <v>122</v>
      </c>
      <c r="E108" s="43" t="s">
        <v>62</v>
      </c>
      <c r="F108" s="45">
        <v>4030</v>
      </c>
      <c r="G108" s="45">
        <v>0.52</v>
      </c>
      <c r="H108" s="43">
        <f t="shared" si="3"/>
        <v>2095.6</v>
      </c>
      <c r="I108" s="43" t="s">
        <v>1441</v>
      </c>
      <c r="J108" s="43"/>
      <c r="K108" s="43"/>
    </row>
    <row r="109" spans="1:11">
      <c r="A109" s="41">
        <v>45813</v>
      </c>
      <c r="B109" s="43" t="s">
        <v>113</v>
      </c>
      <c r="C109" s="43" t="s">
        <v>1442</v>
      </c>
      <c r="D109" s="43" t="s">
        <v>1443</v>
      </c>
      <c r="E109" s="43" t="s">
        <v>123</v>
      </c>
      <c r="F109" s="43">
        <v>10</v>
      </c>
      <c r="G109" s="43">
        <v>0</v>
      </c>
      <c r="H109" s="43">
        <f t="shared" si="3"/>
        <v>0</v>
      </c>
      <c r="I109" s="43" t="s">
        <v>32</v>
      </c>
      <c r="J109" s="43"/>
      <c r="K109" s="43"/>
    </row>
    <row r="110" spans="1:11">
      <c r="A110" s="41">
        <v>45813</v>
      </c>
      <c r="B110" s="43" t="s">
        <v>113</v>
      </c>
      <c r="C110" s="43" t="s">
        <v>1442</v>
      </c>
      <c r="D110" s="43" t="s">
        <v>115</v>
      </c>
      <c r="E110" s="43" t="s">
        <v>123</v>
      </c>
      <c r="F110" s="45">
        <v>48120</v>
      </c>
      <c r="G110" s="45">
        <v>0.48</v>
      </c>
      <c r="H110" s="43">
        <f t="shared" si="3"/>
        <v>23097.6</v>
      </c>
      <c r="I110" s="43" t="s">
        <v>126</v>
      </c>
      <c r="J110" s="43"/>
      <c r="K110" s="43"/>
    </row>
    <row r="111" spans="1:11">
      <c r="A111" s="41">
        <v>45813</v>
      </c>
      <c r="B111" s="43" t="s">
        <v>113</v>
      </c>
      <c r="C111" s="43" t="s">
        <v>1442</v>
      </c>
      <c r="D111" s="43" t="s">
        <v>130</v>
      </c>
      <c r="E111" s="43" t="s">
        <v>123</v>
      </c>
      <c r="F111" s="45">
        <v>10320</v>
      </c>
      <c r="G111" s="45">
        <v>0.45</v>
      </c>
      <c r="H111" s="43">
        <f t="shared" si="3"/>
        <v>4644</v>
      </c>
      <c r="I111" s="43" t="s">
        <v>117</v>
      </c>
      <c r="J111" s="43"/>
      <c r="K111" s="43"/>
    </row>
    <row r="112" spans="1:11">
      <c r="A112" s="41">
        <v>45814</v>
      </c>
      <c r="B112" s="43" t="s">
        <v>113</v>
      </c>
      <c r="C112" s="43" t="s">
        <v>1444</v>
      </c>
      <c r="D112" s="43" t="s">
        <v>627</v>
      </c>
      <c r="E112" s="43" t="s">
        <v>60</v>
      </c>
      <c r="F112" s="43">
        <v>15</v>
      </c>
      <c r="G112" s="43">
        <v>0</v>
      </c>
      <c r="H112" s="43">
        <f t="shared" si="3"/>
        <v>0</v>
      </c>
      <c r="I112" s="43" t="s">
        <v>32</v>
      </c>
      <c r="J112" s="43"/>
      <c r="K112" s="43"/>
    </row>
    <row r="113" spans="1:11">
      <c r="A113" s="41">
        <v>45815</v>
      </c>
      <c r="B113" s="43" t="s">
        <v>113</v>
      </c>
      <c r="C113" s="43" t="s">
        <v>1445</v>
      </c>
      <c r="D113" s="43" t="s">
        <v>76</v>
      </c>
      <c r="E113" s="43" t="s">
        <v>124</v>
      </c>
      <c r="F113" s="45">
        <v>3010</v>
      </c>
      <c r="G113" s="45">
        <v>0.48</v>
      </c>
      <c r="H113" s="43">
        <f t="shared" si="3"/>
        <v>1444.8</v>
      </c>
      <c r="I113" s="43" t="s">
        <v>340</v>
      </c>
      <c r="J113" s="43"/>
      <c r="K113" s="43"/>
    </row>
    <row r="114" spans="1:11">
      <c r="A114" s="41">
        <v>45817</v>
      </c>
      <c r="B114" s="43" t="s">
        <v>113</v>
      </c>
      <c r="C114" s="43" t="s">
        <v>1446</v>
      </c>
      <c r="D114" s="43" t="s">
        <v>115</v>
      </c>
      <c r="E114" s="43" t="s">
        <v>123</v>
      </c>
      <c r="F114" s="45">
        <v>4070</v>
      </c>
      <c r="G114" s="45">
        <v>0.5</v>
      </c>
      <c r="H114" s="43">
        <f t="shared" si="3"/>
        <v>2035</v>
      </c>
      <c r="I114" s="43" t="s">
        <v>126</v>
      </c>
      <c r="J114" s="43"/>
      <c r="K114" s="43"/>
    </row>
    <row r="115" spans="1:11">
      <c r="A115" s="41">
        <v>45817</v>
      </c>
      <c r="B115" s="43" t="s">
        <v>113</v>
      </c>
      <c r="C115" s="43" t="s">
        <v>1446</v>
      </c>
      <c r="D115" s="43" t="s">
        <v>130</v>
      </c>
      <c r="E115" s="43" t="s">
        <v>365</v>
      </c>
      <c r="F115" s="45">
        <v>3105</v>
      </c>
      <c r="G115" s="45">
        <v>0.55</v>
      </c>
      <c r="H115" s="43">
        <f t="shared" si="3"/>
        <v>1707.75</v>
      </c>
      <c r="I115" s="43" t="s">
        <v>149</v>
      </c>
      <c r="J115" s="43" t="s">
        <v>983</v>
      </c>
      <c r="K115" s="43">
        <v>0.72</v>
      </c>
    </row>
    <row r="116" spans="1:11">
      <c r="A116" s="41">
        <v>45818</v>
      </c>
      <c r="B116" s="43" t="s">
        <v>113</v>
      </c>
      <c r="C116" s="43" t="s">
        <v>1447</v>
      </c>
      <c r="D116" s="43" t="s">
        <v>128</v>
      </c>
      <c r="E116" s="43" t="s">
        <v>60</v>
      </c>
      <c r="F116" s="45">
        <v>20010</v>
      </c>
      <c r="G116" s="45">
        <v>0.5</v>
      </c>
      <c r="H116" s="43">
        <f t="shared" si="3"/>
        <v>10005</v>
      </c>
      <c r="I116" s="43" t="s">
        <v>129</v>
      </c>
      <c r="J116" s="43"/>
      <c r="K116" s="43"/>
    </row>
    <row r="117" spans="1:11">
      <c r="A117" s="41">
        <v>45818</v>
      </c>
      <c r="B117" s="43" t="s">
        <v>113</v>
      </c>
      <c r="C117" s="43" t="s">
        <v>1447</v>
      </c>
      <c r="D117" s="43" t="s">
        <v>122</v>
      </c>
      <c r="E117" s="43" t="s">
        <v>62</v>
      </c>
      <c r="F117" s="45">
        <v>6080</v>
      </c>
      <c r="G117" s="45">
        <v>0.52</v>
      </c>
      <c r="H117" s="43">
        <f t="shared" si="3"/>
        <v>3161.6</v>
      </c>
      <c r="I117" s="43" t="s">
        <v>35</v>
      </c>
      <c r="J117" s="43"/>
      <c r="K117" s="43"/>
    </row>
    <row r="118" spans="1:11">
      <c r="A118" s="41">
        <v>45819</v>
      </c>
      <c r="B118" s="43" t="s">
        <v>113</v>
      </c>
      <c r="C118" s="43" t="s">
        <v>1448</v>
      </c>
      <c r="D118" s="43" t="s">
        <v>122</v>
      </c>
      <c r="E118" s="43" t="s">
        <v>85</v>
      </c>
      <c r="F118" s="45">
        <v>7270</v>
      </c>
      <c r="G118" s="45">
        <v>0.6</v>
      </c>
      <c r="H118" s="43">
        <f t="shared" si="3"/>
        <v>4362</v>
      </c>
      <c r="I118" s="43" t="s">
        <v>999</v>
      </c>
      <c r="J118" s="43" t="s">
        <v>90</v>
      </c>
      <c r="K118" s="43">
        <v>0.77</v>
      </c>
    </row>
    <row r="119" spans="1:11">
      <c r="A119" s="41">
        <v>45819</v>
      </c>
      <c r="B119" s="43" t="s">
        <v>113</v>
      </c>
      <c r="C119" s="43" t="s">
        <v>1448</v>
      </c>
      <c r="D119" s="43" t="s">
        <v>115</v>
      </c>
      <c r="E119" s="43" t="s">
        <v>123</v>
      </c>
      <c r="F119" s="45">
        <v>2500</v>
      </c>
      <c r="G119" s="45">
        <v>0.48</v>
      </c>
      <c r="H119" s="43">
        <f t="shared" si="3"/>
        <v>1200</v>
      </c>
      <c r="I119" s="43" t="s">
        <v>126</v>
      </c>
      <c r="J119" s="43"/>
      <c r="K119" s="43"/>
    </row>
    <row r="120" spans="1:11">
      <c r="A120" s="41">
        <v>45819</v>
      </c>
      <c r="B120" s="43" t="s">
        <v>113</v>
      </c>
      <c r="C120" s="43" t="s">
        <v>1448</v>
      </c>
      <c r="D120" s="43" t="s">
        <v>76</v>
      </c>
      <c r="E120" s="43" t="s">
        <v>123</v>
      </c>
      <c r="F120" s="45">
        <v>2510</v>
      </c>
      <c r="G120" s="45">
        <v>0.48</v>
      </c>
      <c r="H120" s="43">
        <f t="shared" si="3"/>
        <v>1204.8</v>
      </c>
      <c r="I120" s="43" t="s">
        <v>999</v>
      </c>
      <c r="J120" s="43"/>
      <c r="K120" s="43"/>
    </row>
    <row r="121" spans="1:11">
      <c r="A121" s="41">
        <v>45820</v>
      </c>
      <c r="B121" s="43" t="s">
        <v>113</v>
      </c>
      <c r="C121" s="43" t="s">
        <v>1449</v>
      </c>
      <c r="D121" s="43" t="s">
        <v>122</v>
      </c>
      <c r="E121" s="43" t="s">
        <v>60</v>
      </c>
      <c r="F121" s="45">
        <v>44420</v>
      </c>
      <c r="G121" s="45">
        <v>0.5</v>
      </c>
      <c r="H121" s="43">
        <f t="shared" si="3"/>
        <v>22210</v>
      </c>
      <c r="I121" s="43" t="s">
        <v>340</v>
      </c>
      <c r="J121" s="43"/>
      <c r="K121" s="43"/>
    </row>
    <row r="122" spans="1:11">
      <c r="A122" s="41">
        <v>45820</v>
      </c>
      <c r="B122" s="43" t="s">
        <v>113</v>
      </c>
      <c r="C122" s="43" t="s">
        <v>1449</v>
      </c>
      <c r="D122" s="43" t="s">
        <v>128</v>
      </c>
      <c r="E122" s="43" t="s">
        <v>62</v>
      </c>
      <c r="F122" s="43">
        <v>15</v>
      </c>
      <c r="G122" s="43">
        <v>0</v>
      </c>
      <c r="H122" s="43">
        <f t="shared" si="3"/>
        <v>0</v>
      </c>
      <c r="I122" s="43" t="s">
        <v>32</v>
      </c>
      <c r="J122" s="43"/>
      <c r="K122" s="43"/>
    </row>
    <row r="123" spans="1:11">
      <c r="A123" s="41">
        <v>45821</v>
      </c>
      <c r="B123" s="43" t="s">
        <v>113</v>
      </c>
      <c r="C123" s="43" t="s">
        <v>1450</v>
      </c>
      <c r="D123" s="43" t="s">
        <v>76</v>
      </c>
      <c r="E123" s="43" t="s">
        <v>123</v>
      </c>
      <c r="F123" s="45">
        <v>26320</v>
      </c>
      <c r="G123" s="45">
        <v>0.5</v>
      </c>
      <c r="H123" s="43">
        <f t="shared" si="3"/>
        <v>13160</v>
      </c>
      <c r="I123" s="43" t="s">
        <v>117</v>
      </c>
      <c r="J123" s="43"/>
      <c r="K123" s="43"/>
    </row>
    <row r="124" spans="1:11">
      <c r="A124" s="41">
        <v>45821</v>
      </c>
      <c r="B124" s="43" t="s">
        <v>113</v>
      </c>
      <c r="C124" s="43" t="s">
        <v>1450</v>
      </c>
      <c r="D124" s="43" t="s">
        <v>122</v>
      </c>
      <c r="E124" s="43" t="s">
        <v>123</v>
      </c>
      <c r="F124" s="45">
        <v>6110</v>
      </c>
      <c r="G124" s="45">
        <v>0.55</v>
      </c>
      <c r="H124" s="43">
        <f t="shared" si="3"/>
        <v>3360.5</v>
      </c>
      <c r="I124" s="43" t="s">
        <v>278</v>
      </c>
      <c r="J124" s="43"/>
      <c r="K124" s="43"/>
    </row>
    <row r="125" spans="1:11">
      <c r="A125" s="41">
        <v>45822</v>
      </c>
      <c r="B125" s="43" t="s">
        <v>113</v>
      </c>
      <c r="C125" s="43" t="s">
        <v>1451</v>
      </c>
      <c r="D125" s="43" t="s">
        <v>59</v>
      </c>
      <c r="E125" s="43" t="s">
        <v>1243</v>
      </c>
      <c r="F125" s="45">
        <v>7660</v>
      </c>
      <c r="G125" s="45">
        <v>0.49</v>
      </c>
      <c r="H125" s="43">
        <f t="shared" si="3"/>
        <v>3753.4</v>
      </c>
      <c r="I125" s="43" t="s">
        <v>982</v>
      </c>
      <c r="J125" s="43" t="s">
        <v>1452</v>
      </c>
      <c r="K125" s="43">
        <v>0.5</v>
      </c>
    </row>
    <row r="126" spans="1:11">
      <c r="A126" s="41">
        <v>45822</v>
      </c>
      <c r="B126" s="43" t="s">
        <v>113</v>
      </c>
      <c r="C126" s="43" t="s">
        <v>1451</v>
      </c>
      <c r="D126" s="43" t="s">
        <v>130</v>
      </c>
      <c r="E126" s="43" t="s">
        <v>132</v>
      </c>
      <c r="F126" s="45">
        <v>8310</v>
      </c>
      <c r="G126" s="45">
        <v>0.6</v>
      </c>
      <c r="H126" s="43">
        <f t="shared" si="3"/>
        <v>4986</v>
      </c>
      <c r="I126" s="43" t="s">
        <v>761</v>
      </c>
      <c r="J126" s="43" t="s">
        <v>90</v>
      </c>
      <c r="K126" s="43">
        <v>0.77</v>
      </c>
    </row>
    <row r="127" spans="1:11">
      <c r="A127" s="41">
        <v>45822</v>
      </c>
      <c r="B127" s="43" t="s">
        <v>113</v>
      </c>
      <c r="C127" s="43" t="s">
        <v>1451</v>
      </c>
      <c r="D127" s="43" t="s">
        <v>128</v>
      </c>
      <c r="E127" s="43" t="s">
        <v>60</v>
      </c>
      <c r="F127" s="45">
        <v>20010</v>
      </c>
      <c r="G127" s="45">
        <v>0.5</v>
      </c>
      <c r="H127" s="43">
        <f t="shared" si="3"/>
        <v>10005</v>
      </c>
      <c r="I127" s="43" t="s">
        <v>1453</v>
      </c>
      <c r="J127" s="43"/>
      <c r="K127" s="43"/>
    </row>
    <row r="128" spans="1:11">
      <c r="A128" s="41">
        <v>45822</v>
      </c>
      <c r="B128" s="43" t="s">
        <v>113</v>
      </c>
      <c r="C128" s="43" t="s">
        <v>1451</v>
      </c>
      <c r="D128" s="43" t="s">
        <v>59</v>
      </c>
      <c r="E128" s="43" t="s">
        <v>60</v>
      </c>
      <c r="F128" s="45">
        <v>2380</v>
      </c>
      <c r="G128" s="45">
        <v>0.49</v>
      </c>
      <c r="H128" s="43">
        <f t="shared" si="3"/>
        <v>1166.2</v>
      </c>
      <c r="I128" s="43" t="s">
        <v>982</v>
      </c>
      <c r="J128" s="43"/>
      <c r="K128" s="43"/>
    </row>
    <row r="129" spans="1:11">
      <c r="A129" s="41">
        <v>45822</v>
      </c>
      <c r="B129" s="43" t="s">
        <v>113</v>
      </c>
      <c r="C129" s="43" t="s">
        <v>1454</v>
      </c>
      <c r="D129" s="43" t="s">
        <v>130</v>
      </c>
      <c r="E129" s="43" t="s">
        <v>62</v>
      </c>
      <c r="F129" s="45">
        <v>63</v>
      </c>
      <c r="G129" s="45">
        <v>0.42</v>
      </c>
      <c r="H129" s="43">
        <f t="shared" si="3"/>
        <v>26.46</v>
      </c>
      <c r="I129" s="43" t="s">
        <v>982</v>
      </c>
      <c r="J129" s="43"/>
      <c r="K129" s="43"/>
    </row>
    <row r="130" spans="1:11">
      <c r="A130" s="41">
        <v>45822</v>
      </c>
      <c r="B130" s="43" t="s">
        <v>113</v>
      </c>
      <c r="C130" s="43" t="s">
        <v>1454</v>
      </c>
      <c r="D130" s="43" t="s">
        <v>115</v>
      </c>
      <c r="E130" s="43" t="s">
        <v>365</v>
      </c>
      <c r="F130" s="45">
        <v>40</v>
      </c>
      <c r="G130" s="45">
        <v>0.55</v>
      </c>
      <c r="H130" s="43">
        <f t="shared" si="3"/>
        <v>22</v>
      </c>
      <c r="I130" s="43" t="s">
        <v>805</v>
      </c>
      <c r="J130" s="43" t="s">
        <v>90</v>
      </c>
      <c r="K130" s="43">
        <v>0.77</v>
      </c>
    </row>
    <row r="131" spans="1:11">
      <c r="A131" s="41">
        <v>45823</v>
      </c>
      <c r="B131" s="43" t="s">
        <v>113</v>
      </c>
      <c r="C131" s="43" t="s">
        <v>1455</v>
      </c>
      <c r="D131" s="43" t="s">
        <v>76</v>
      </c>
      <c r="E131" s="43" t="s">
        <v>124</v>
      </c>
      <c r="F131" s="45">
        <v>360</v>
      </c>
      <c r="G131" s="45">
        <v>0.46</v>
      </c>
      <c r="H131" s="43">
        <f t="shared" si="3"/>
        <v>165.6</v>
      </c>
      <c r="I131" s="43" t="s">
        <v>1456</v>
      </c>
      <c r="J131" s="43"/>
      <c r="K131" s="43"/>
    </row>
    <row r="132" spans="1:11">
      <c r="A132" s="41">
        <v>45823</v>
      </c>
      <c r="B132" s="43" t="s">
        <v>113</v>
      </c>
      <c r="C132" s="43" t="s">
        <v>1455</v>
      </c>
      <c r="D132" s="43" t="s">
        <v>115</v>
      </c>
      <c r="E132" s="43" t="s">
        <v>123</v>
      </c>
      <c r="F132" s="45">
        <v>1100</v>
      </c>
      <c r="G132" s="45">
        <v>0.48</v>
      </c>
      <c r="H132" s="43">
        <f t="shared" si="3"/>
        <v>528</v>
      </c>
      <c r="I132" s="43" t="s">
        <v>126</v>
      </c>
      <c r="J132" s="43"/>
      <c r="K132" s="43"/>
    </row>
    <row r="133" spans="1:11">
      <c r="A133" s="41">
        <v>45824</v>
      </c>
      <c r="B133" s="43" t="s">
        <v>113</v>
      </c>
      <c r="C133" s="43" t="s">
        <v>1457</v>
      </c>
      <c r="D133" s="43" t="s">
        <v>122</v>
      </c>
      <c r="E133" s="43" t="s">
        <v>60</v>
      </c>
      <c r="F133" s="45">
        <v>205</v>
      </c>
      <c r="G133" s="45">
        <v>0.5</v>
      </c>
      <c r="H133" s="43">
        <f t="shared" si="3"/>
        <v>102.5</v>
      </c>
      <c r="I133" s="43" t="s">
        <v>340</v>
      </c>
      <c r="J133" s="43"/>
      <c r="K133" s="43"/>
    </row>
    <row r="134" spans="1:11">
      <c r="A134" s="41">
        <v>45825</v>
      </c>
      <c r="B134" s="43" t="s">
        <v>113</v>
      </c>
      <c r="C134" s="43" t="s">
        <v>1458</v>
      </c>
      <c r="D134" s="43" t="s">
        <v>122</v>
      </c>
      <c r="E134" s="43" t="s">
        <v>123</v>
      </c>
      <c r="F134" s="45">
        <v>16040</v>
      </c>
      <c r="G134" s="45">
        <v>0.55</v>
      </c>
      <c r="H134" s="43">
        <f t="shared" si="3"/>
        <v>8822</v>
      </c>
      <c r="I134" s="43" t="s">
        <v>126</v>
      </c>
      <c r="J134" s="43"/>
      <c r="K134" s="43"/>
    </row>
    <row r="135" spans="1:11">
      <c r="A135" s="41">
        <v>45826</v>
      </c>
      <c r="B135" s="43" t="s">
        <v>113</v>
      </c>
      <c r="C135" s="43" t="s">
        <v>1459</v>
      </c>
      <c r="D135" s="43" t="s">
        <v>70</v>
      </c>
      <c r="E135" s="43" t="s">
        <v>123</v>
      </c>
      <c r="F135" s="45">
        <v>4025</v>
      </c>
      <c r="G135" s="45">
        <v>0.56</v>
      </c>
      <c r="H135" s="43">
        <f t="shared" si="3"/>
        <v>2254</v>
      </c>
      <c r="I135" s="43" t="s">
        <v>126</v>
      </c>
      <c r="J135" s="43"/>
      <c r="K135" s="43"/>
    </row>
    <row r="136" spans="1:11">
      <c r="A136" s="41">
        <v>45826</v>
      </c>
      <c r="B136" s="43" t="s">
        <v>113</v>
      </c>
      <c r="C136" s="43" t="s">
        <v>1459</v>
      </c>
      <c r="D136" s="43" t="s">
        <v>76</v>
      </c>
      <c r="E136" s="43" t="s">
        <v>60</v>
      </c>
      <c r="F136" s="45">
        <v>12210</v>
      </c>
      <c r="G136" s="45">
        <v>0.43</v>
      </c>
      <c r="H136" s="43">
        <f t="shared" si="3"/>
        <v>5250.3</v>
      </c>
      <c r="I136" s="43" t="s">
        <v>100</v>
      </c>
      <c r="J136" s="43"/>
      <c r="K136" s="43"/>
    </row>
    <row r="137" spans="1:11">
      <c r="A137" s="41">
        <v>45826</v>
      </c>
      <c r="B137" s="43" t="s">
        <v>113</v>
      </c>
      <c r="C137" s="43" t="s">
        <v>1460</v>
      </c>
      <c r="D137" s="43" t="s">
        <v>1461</v>
      </c>
      <c r="E137" s="43" t="s">
        <v>127</v>
      </c>
      <c r="F137" s="43">
        <v>20</v>
      </c>
      <c r="G137" s="43">
        <v>0</v>
      </c>
      <c r="H137" s="43">
        <f t="shared" si="3"/>
        <v>0</v>
      </c>
      <c r="I137" s="43" t="s">
        <v>32</v>
      </c>
      <c r="J137" s="43"/>
      <c r="K137" s="43"/>
    </row>
    <row r="138" spans="1:11">
      <c r="A138" s="41">
        <v>45827</v>
      </c>
      <c r="B138" s="43" t="s">
        <v>113</v>
      </c>
      <c r="C138" s="43" t="s">
        <v>1462</v>
      </c>
      <c r="D138" s="43" t="s">
        <v>115</v>
      </c>
      <c r="E138" s="43" t="s">
        <v>123</v>
      </c>
      <c r="F138" s="45">
        <v>24110</v>
      </c>
      <c r="G138" s="45">
        <v>0.48</v>
      </c>
      <c r="H138" s="43">
        <f t="shared" si="3"/>
        <v>11572.8</v>
      </c>
      <c r="I138" s="43" t="s">
        <v>126</v>
      </c>
      <c r="J138" s="43"/>
      <c r="K138" s="43"/>
    </row>
    <row r="139" spans="1:11">
      <c r="A139" s="41">
        <v>45827</v>
      </c>
      <c r="B139" s="43" t="s">
        <v>113</v>
      </c>
      <c r="C139" s="43" t="s">
        <v>1462</v>
      </c>
      <c r="D139" s="43" t="s">
        <v>115</v>
      </c>
      <c r="E139" s="43" t="s">
        <v>123</v>
      </c>
      <c r="F139" s="45">
        <v>6120</v>
      </c>
      <c r="G139" s="45">
        <v>0.5</v>
      </c>
      <c r="H139" s="43">
        <f t="shared" si="3"/>
        <v>3060</v>
      </c>
      <c r="I139" s="43" t="s">
        <v>126</v>
      </c>
      <c r="J139" s="43"/>
      <c r="K139" s="43"/>
    </row>
    <row r="140" spans="1:11">
      <c r="A140" s="41">
        <v>45827</v>
      </c>
      <c r="B140" s="43" t="s">
        <v>113</v>
      </c>
      <c r="C140" s="43" t="s">
        <v>1462</v>
      </c>
      <c r="D140" s="43" t="s">
        <v>617</v>
      </c>
      <c r="E140" s="43" t="s">
        <v>60</v>
      </c>
      <c r="F140" s="45">
        <v>400</v>
      </c>
      <c r="G140" s="45">
        <v>0.5</v>
      </c>
      <c r="H140" s="43">
        <f t="shared" si="3"/>
        <v>200</v>
      </c>
      <c r="I140" s="43" t="s">
        <v>100</v>
      </c>
      <c r="J140" s="43"/>
      <c r="K140" s="43"/>
    </row>
    <row r="141" spans="1:11">
      <c r="A141" s="41">
        <v>45828</v>
      </c>
      <c r="B141" s="43" t="s">
        <v>113</v>
      </c>
      <c r="C141" s="43" t="s">
        <v>1463</v>
      </c>
      <c r="D141" s="43" t="s">
        <v>59</v>
      </c>
      <c r="E141" s="43" t="s">
        <v>127</v>
      </c>
      <c r="F141" s="43">
        <v>20</v>
      </c>
      <c r="G141" s="43">
        <v>0</v>
      </c>
      <c r="H141" s="43">
        <f t="shared" si="3"/>
        <v>0</v>
      </c>
      <c r="I141" s="43" t="s">
        <v>32</v>
      </c>
      <c r="J141" s="43"/>
      <c r="K141" s="43"/>
    </row>
    <row r="142" spans="1:11">
      <c r="A142" s="41">
        <v>45829</v>
      </c>
      <c r="B142" s="43" t="s">
        <v>113</v>
      </c>
      <c r="C142" s="43" t="s">
        <v>1464</v>
      </c>
      <c r="D142" s="43" t="s">
        <v>115</v>
      </c>
      <c r="E142" s="43" t="s">
        <v>123</v>
      </c>
      <c r="F142" s="45">
        <v>23500</v>
      </c>
      <c r="G142" s="45">
        <v>0.48</v>
      </c>
      <c r="H142" s="43">
        <f t="shared" si="3"/>
        <v>11280</v>
      </c>
      <c r="I142" s="43" t="s">
        <v>126</v>
      </c>
      <c r="J142" s="43"/>
      <c r="K142" s="43"/>
    </row>
    <row r="143" spans="1:11">
      <c r="A143" s="41">
        <v>45829</v>
      </c>
      <c r="B143" s="43" t="s">
        <v>113</v>
      </c>
      <c r="C143" s="43" t="s">
        <v>1464</v>
      </c>
      <c r="D143" s="43" t="s">
        <v>115</v>
      </c>
      <c r="E143" s="43" t="s">
        <v>60</v>
      </c>
      <c r="F143" s="45">
        <v>9770</v>
      </c>
      <c r="G143" s="45">
        <v>0.41</v>
      </c>
      <c r="H143" s="43">
        <f t="shared" si="3"/>
        <v>4005.7</v>
      </c>
      <c r="I143" s="43" t="s">
        <v>340</v>
      </c>
      <c r="J143" s="43"/>
      <c r="K143" s="43"/>
    </row>
    <row r="144" spans="1:11">
      <c r="A144" s="41">
        <v>45829</v>
      </c>
      <c r="B144" s="43" t="s">
        <v>113</v>
      </c>
      <c r="C144" s="43" t="s">
        <v>1464</v>
      </c>
      <c r="D144" s="43" t="s">
        <v>115</v>
      </c>
      <c r="E144" s="43" t="s">
        <v>60</v>
      </c>
      <c r="F144" s="45">
        <v>6070</v>
      </c>
      <c r="G144" s="45">
        <v>0.43</v>
      </c>
      <c r="H144" s="43">
        <f t="shared" si="3"/>
        <v>2610.1</v>
      </c>
      <c r="I144" s="43" t="s">
        <v>1465</v>
      </c>
      <c r="J144" s="43"/>
      <c r="K144" s="43"/>
    </row>
    <row r="145" spans="1:11">
      <c r="A145" s="41">
        <v>45829</v>
      </c>
      <c r="B145" s="43" t="s">
        <v>113</v>
      </c>
      <c r="C145" s="43" t="s">
        <v>1464</v>
      </c>
      <c r="D145" s="43" t="s">
        <v>115</v>
      </c>
      <c r="E145" s="43" t="s">
        <v>339</v>
      </c>
      <c r="F145" s="45">
        <v>4060</v>
      </c>
      <c r="G145" s="45">
        <v>0.46</v>
      </c>
      <c r="H145" s="43">
        <f t="shared" si="3"/>
        <v>1867.6</v>
      </c>
      <c r="I145" s="43" t="s">
        <v>1465</v>
      </c>
      <c r="J145" s="43"/>
      <c r="K145" s="43"/>
    </row>
    <row r="146" spans="1:11">
      <c r="A146" s="41">
        <v>45829</v>
      </c>
      <c r="B146" s="43" t="s">
        <v>113</v>
      </c>
      <c r="C146" s="43" t="s">
        <v>1464</v>
      </c>
      <c r="D146" s="43" t="s">
        <v>76</v>
      </c>
      <c r="E146" s="43" t="s">
        <v>60</v>
      </c>
      <c r="F146" s="45">
        <v>10000</v>
      </c>
      <c r="G146" s="45">
        <v>0.43</v>
      </c>
      <c r="H146" s="43">
        <f t="shared" si="3"/>
        <v>4300</v>
      </c>
      <c r="I146" s="43" t="s">
        <v>376</v>
      </c>
      <c r="J146" s="43"/>
      <c r="K146" s="43"/>
    </row>
    <row r="147" spans="1:11">
      <c r="A147" s="41">
        <v>45830</v>
      </c>
      <c r="B147" s="43" t="s">
        <v>113</v>
      </c>
      <c r="C147" s="43" t="s">
        <v>1466</v>
      </c>
      <c r="D147" s="43" t="s">
        <v>76</v>
      </c>
      <c r="E147" s="43" t="s">
        <v>111</v>
      </c>
      <c r="F147" s="45">
        <v>150</v>
      </c>
      <c r="G147" s="45">
        <v>0.43</v>
      </c>
      <c r="H147" s="43">
        <f t="shared" si="3"/>
        <v>64.5</v>
      </c>
      <c r="I147" s="43" t="s">
        <v>1467</v>
      </c>
      <c r="J147" s="43"/>
      <c r="K147" s="43"/>
    </row>
    <row r="148" spans="1:11">
      <c r="A148" s="41">
        <v>45830</v>
      </c>
      <c r="B148" s="43" t="s">
        <v>113</v>
      </c>
      <c r="C148" s="43" t="s">
        <v>1468</v>
      </c>
      <c r="D148" s="43" t="s">
        <v>128</v>
      </c>
      <c r="E148" s="43" t="s">
        <v>60</v>
      </c>
      <c r="F148" s="45">
        <v>125</v>
      </c>
      <c r="G148" s="45">
        <v>0.5</v>
      </c>
      <c r="H148" s="43">
        <f t="shared" ref="H148:H180" si="4">F148*G148</f>
        <v>62.5</v>
      </c>
      <c r="I148" s="43" t="s">
        <v>278</v>
      </c>
      <c r="J148" s="43"/>
      <c r="K148" s="43"/>
    </row>
    <row r="149" spans="1:11">
      <c r="A149" s="41">
        <v>45830</v>
      </c>
      <c r="B149" s="43" t="s">
        <v>113</v>
      </c>
      <c r="C149" s="43" t="s">
        <v>1468</v>
      </c>
      <c r="D149" s="43" t="s">
        <v>1461</v>
      </c>
      <c r="E149" s="43" t="s">
        <v>60</v>
      </c>
      <c r="F149" s="45">
        <v>45</v>
      </c>
      <c r="G149" s="45">
        <v>0.5</v>
      </c>
      <c r="H149" s="43">
        <f t="shared" si="4"/>
        <v>22.5</v>
      </c>
      <c r="I149" s="43" t="s">
        <v>278</v>
      </c>
      <c r="J149" s="43"/>
      <c r="K149" s="43"/>
    </row>
    <row r="150" spans="1:11">
      <c r="A150" s="41">
        <v>45830</v>
      </c>
      <c r="B150" s="43" t="s">
        <v>113</v>
      </c>
      <c r="C150" s="43" t="s">
        <v>1468</v>
      </c>
      <c r="D150" s="43" t="s">
        <v>115</v>
      </c>
      <c r="E150" s="43" t="s">
        <v>62</v>
      </c>
      <c r="F150" s="45">
        <v>50</v>
      </c>
      <c r="G150" s="45">
        <v>0.45</v>
      </c>
      <c r="H150" s="43">
        <f t="shared" si="4"/>
        <v>22.5</v>
      </c>
      <c r="I150" s="43" t="s">
        <v>278</v>
      </c>
      <c r="J150" s="43"/>
      <c r="K150" s="43"/>
    </row>
    <row r="151" spans="1:11">
      <c r="A151" s="41">
        <v>45830</v>
      </c>
      <c r="B151" s="43" t="s">
        <v>113</v>
      </c>
      <c r="C151" s="43" t="s">
        <v>1468</v>
      </c>
      <c r="D151" s="43" t="s">
        <v>59</v>
      </c>
      <c r="E151" s="43" t="s">
        <v>127</v>
      </c>
      <c r="F151" s="45">
        <v>60</v>
      </c>
      <c r="G151" s="45">
        <v>0.5</v>
      </c>
      <c r="H151" s="43">
        <f t="shared" si="4"/>
        <v>30</v>
      </c>
      <c r="I151" s="43" t="s">
        <v>278</v>
      </c>
      <c r="J151" s="43"/>
      <c r="K151" s="43"/>
    </row>
    <row r="152" spans="1:11">
      <c r="A152" s="41">
        <v>45830</v>
      </c>
      <c r="B152" s="43" t="s">
        <v>113</v>
      </c>
      <c r="C152" s="43" t="s">
        <v>1468</v>
      </c>
      <c r="D152" s="43" t="s">
        <v>59</v>
      </c>
      <c r="E152" s="43" t="s">
        <v>62</v>
      </c>
      <c r="F152" s="43">
        <v>20</v>
      </c>
      <c r="G152" s="43">
        <v>0</v>
      </c>
      <c r="H152" s="43">
        <f t="shared" si="4"/>
        <v>0</v>
      </c>
      <c r="I152" s="43" t="s">
        <v>32</v>
      </c>
      <c r="J152" s="43"/>
      <c r="K152" s="43"/>
    </row>
    <row r="153" spans="1:11">
      <c r="A153" s="41">
        <v>45830</v>
      </c>
      <c r="B153" s="43" t="s">
        <v>113</v>
      </c>
      <c r="C153" s="43" t="s">
        <v>1468</v>
      </c>
      <c r="D153" s="43" t="s">
        <v>122</v>
      </c>
      <c r="E153" s="43" t="s">
        <v>62</v>
      </c>
      <c r="F153" s="43">
        <v>40</v>
      </c>
      <c r="G153" s="43">
        <v>0</v>
      </c>
      <c r="H153" s="43">
        <f t="shared" si="4"/>
        <v>0</v>
      </c>
      <c r="I153" s="43" t="s">
        <v>32</v>
      </c>
      <c r="J153" s="43"/>
      <c r="K153" s="43"/>
    </row>
    <row r="154" spans="1:11">
      <c r="A154" s="41">
        <v>45830</v>
      </c>
      <c r="B154" s="43" t="s">
        <v>113</v>
      </c>
      <c r="C154" s="43" t="s">
        <v>1466</v>
      </c>
      <c r="D154" s="43" t="s">
        <v>122</v>
      </c>
      <c r="E154" s="43" t="s">
        <v>60</v>
      </c>
      <c r="F154" s="45">
        <v>2030</v>
      </c>
      <c r="G154" s="45">
        <v>0.5</v>
      </c>
      <c r="H154" s="43">
        <f t="shared" si="4"/>
        <v>1015</v>
      </c>
      <c r="I154" s="43" t="s">
        <v>126</v>
      </c>
      <c r="J154" s="43"/>
      <c r="K154" s="43"/>
    </row>
    <row r="155" spans="1:11">
      <c r="A155" s="41">
        <v>45830</v>
      </c>
      <c r="B155" s="43" t="s">
        <v>113</v>
      </c>
      <c r="C155" s="43" t="s">
        <v>1466</v>
      </c>
      <c r="D155" s="43" t="s">
        <v>627</v>
      </c>
      <c r="E155" s="43" t="s">
        <v>123</v>
      </c>
      <c r="F155" s="45">
        <v>205</v>
      </c>
      <c r="G155" s="45">
        <v>0.55</v>
      </c>
      <c r="H155" s="43">
        <f t="shared" si="4"/>
        <v>112.75</v>
      </c>
      <c r="I155" s="43" t="s">
        <v>982</v>
      </c>
      <c r="J155" s="43"/>
      <c r="K155" s="43"/>
    </row>
    <row r="156" spans="1:11">
      <c r="A156" s="41">
        <v>45830</v>
      </c>
      <c r="B156" s="43" t="s">
        <v>113</v>
      </c>
      <c r="C156" s="43" t="s">
        <v>1466</v>
      </c>
      <c r="D156" s="43" t="s">
        <v>59</v>
      </c>
      <c r="E156" s="43" t="s">
        <v>123</v>
      </c>
      <c r="F156" s="45">
        <v>300</v>
      </c>
      <c r="G156" s="45">
        <v>0.48</v>
      </c>
      <c r="H156" s="43">
        <f t="shared" si="4"/>
        <v>144</v>
      </c>
      <c r="I156" s="43" t="s">
        <v>35</v>
      </c>
      <c r="J156" s="43"/>
      <c r="K156" s="43"/>
    </row>
    <row r="157" spans="1:11">
      <c r="A157" s="41">
        <v>45830</v>
      </c>
      <c r="B157" s="43" t="s">
        <v>113</v>
      </c>
      <c r="C157" s="43" t="s">
        <v>1466</v>
      </c>
      <c r="D157" s="43" t="s">
        <v>115</v>
      </c>
      <c r="E157" s="43" t="s">
        <v>123</v>
      </c>
      <c r="F157" s="45">
        <v>20140</v>
      </c>
      <c r="G157" s="45">
        <v>0.48</v>
      </c>
      <c r="H157" s="43">
        <f t="shared" si="4"/>
        <v>9667.2</v>
      </c>
      <c r="I157" s="43" t="s">
        <v>126</v>
      </c>
      <c r="J157" s="43"/>
      <c r="K157" s="43"/>
    </row>
    <row r="158" spans="1:11">
      <c r="A158" s="41">
        <v>45830</v>
      </c>
      <c r="B158" s="43" t="s">
        <v>113</v>
      </c>
      <c r="C158" s="43" t="s">
        <v>1466</v>
      </c>
      <c r="D158" s="43" t="s">
        <v>76</v>
      </c>
      <c r="E158" s="43" t="s">
        <v>346</v>
      </c>
      <c r="F158" s="45">
        <v>2210</v>
      </c>
      <c r="G158" s="45">
        <v>0.46</v>
      </c>
      <c r="H158" s="43">
        <f t="shared" si="4"/>
        <v>1016.6</v>
      </c>
      <c r="I158" s="43" t="s">
        <v>340</v>
      </c>
      <c r="J158" s="43"/>
      <c r="K158" s="43"/>
    </row>
    <row r="159" spans="1:11">
      <c r="A159" s="41">
        <v>45830</v>
      </c>
      <c r="B159" s="43" t="s">
        <v>113</v>
      </c>
      <c r="C159" s="43" t="s">
        <v>1466</v>
      </c>
      <c r="D159" s="43" t="s">
        <v>76</v>
      </c>
      <c r="E159" s="43" t="s">
        <v>99</v>
      </c>
      <c r="F159" s="45">
        <v>9883</v>
      </c>
      <c r="G159" s="45">
        <v>0.57</v>
      </c>
      <c r="H159" s="43">
        <f t="shared" si="4"/>
        <v>5633.31</v>
      </c>
      <c r="I159" s="43" t="s">
        <v>1467</v>
      </c>
      <c r="J159" s="43" t="s">
        <v>90</v>
      </c>
      <c r="K159" s="43">
        <v>0.74</v>
      </c>
    </row>
    <row r="160" spans="1:11">
      <c r="A160" s="41">
        <v>45831</v>
      </c>
      <c r="B160" s="43" t="s">
        <v>113</v>
      </c>
      <c r="C160" s="43" t="s">
        <v>1469</v>
      </c>
      <c r="D160" s="43" t="s">
        <v>76</v>
      </c>
      <c r="E160" s="43" t="s">
        <v>123</v>
      </c>
      <c r="F160" s="45">
        <v>12070</v>
      </c>
      <c r="G160" s="45">
        <v>0.48</v>
      </c>
      <c r="H160" s="43">
        <f t="shared" si="4"/>
        <v>5793.6</v>
      </c>
      <c r="I160" s="43" t="s">
        <v>126</v>
      </c>
      <c r="J160" s="43"/>
      <c r="K160" s="43"/>
    </row>
    <row r="161" spans="1:11">
      <c r="A161" s="41">
        <v>45831</v>
      </c>
      <c r="B161" s="43" t="s">
        <v>113</v>
      </c>
      <c r="C161" s="43" t="s">
        <v>1469</v>
      </c>
      <c r="D161" s="43" t="s">
        <v>122</v>
      </c>
      <c r="E161" s="43" t="s">
        <v>1470</v>
      </c>
      <c r="F161" s="45">
        <v>340</v>
      </c>
      <c r="G161" s="45">
        <v>0.52</v>
      </c>
      <c r="H161" s="43">
        <f t="shared" si="4"/>
        <v>176.8</v>
      </c>
      <c r="I161" s="43" t="s">
        <v>278</v>
      </c>
      <c r="J161" s="43"/>
      <c r="K161" s="43"/>
    </row>
    <row r="162" spans="1:11">
      <c r="A162" s="41">
        <v>45832</v>
      </c>
      <c r="B162" s="43" t="s">
        <v>113</v>
      </c>
      <c r="C162" s="43" t="s">
        <v>1471</v>
      </c>
      <c r="D162" s="43" t="s">
        <v>128</v>
      </c>
      <c r="E162" s="43" t="s">
        <v>62</v>
      </c>
      <c r="F162" s="45">
        <v>4150</v>
      </c>
      <c r="G162" s="45">
        <v>0.52</v>
      </c>
      <c r="H162" s="43">
        <f t="shared" si="4"/>
        <v>2158</v>
      </c>
      <c r="I162" s="43" t="s">
        <v>278</v>
      </c>
      <c r="J162" s="43"/>
      <c r="K162" s="43"/>
    </row>
    <row r="163" spans="1:11">
      <c r="A163" s="41">
        <v>45832</v>
      </c>
      <c r="B163" s="43" t="s">
        <v>113</v>
      </c>
      <c r="C163" s="43" t="s">
        <v>1472</v>
      </c>
      <c r="D163" s="43" t="s">
        <v>76</v>
      </c>
      <c r="E163" s="43" t="s">
        <v>123</v>
      </c>
      <c r="F163" s="45">
        <v>200</v>
      </c>
      <c r="G163" s="45">
        <v>0.48</v>
      </c>
      <c r="H163" s="43">
        <f t="shared" si="4"/>
        <v>96</v>
      </c>
      <c r="I163" s="43" t="s">
        <v>999</v>
      </c>
      <c r="J163" s="43"/>
      <c r="K163" s="43"/>
    </row>
    <row r="164" spans="1:11">
      <c r="A164" s="41">
        <v>45832</v>
      </c>
      <c r="B164" s="43" t="s">
        <v>113</v>
      </c>
      <c r="C164" s="43" t="s">
        <v>1472</v>
      </c>
      <c r="D164" s="43" t="s">
        <v>130</v>
      </c>
      <c r="E164" s="43" t="s">
        <v>123</v>
      </c>
      <c r="F164" s="45">
        <v>200</v>
      </c>
      <c r="G164" s="45">
        <v>0.45</v>
      </c>
      <c r="H164" s="43">
        <f t="shared" si="4"/>
        <v>90</v>
      </c>
      <c r="I164" s="43" t="s">
        <v>999</v>
      </c>
      <c r="J164" s="43"/>
      <c r="K164" s="43"/>
    </row>
    <row r="165" spans="1:11">
      <c r="A165" s="41">
        <v>45833</v>
      </c>
      <c r="B165" s="43" t="s">
        <v>113</v>
      </c>
      <c r="C165" s="43" t="s">
        <v>1473</v>
      </c>
      <c r="D165" s="43" t="s">
        <v>130</v>
      </c>
      <c r="E165" s="43" t="s">
        <v>60</v>
      </c>
      <c r="F165" s="45">
        <v>4000</v>
      </c>
      <c r="G165" s="45">
        <v>0.4</v>
      </c>
      <c r="H165" s="43">
        <f t="shared" si="4"/>
        <v>1600</v>
      </c>
      <c r="I165" s="43" t="s">
        <v>149</v>
      </c>
      <c r="J165" s="43"/>
      <c r="K165" s="43"/>
    </row>
    <row r="166" spans="1:11">
      <c r="A166" s="41">
        <v>45833</v>
      </c>
      <c r="B166" s="43" t="s">
        <v>113</v>
      </c>
      <c r="C166" s="43" t="s">
        <v>1474</v>
      </c>
      <c r="D166" s="43" t="s">
        <v>122</v>
      </c>
      <c r="E166" s="43" t="s">
        <v>62</v>
      </c>
      <c r="F166" s="43">
        <v>10</v>
      </c>
      <c r="G166" s="43">
        <v>0</v>
      </c>
      <c r="H166" s="43">
        <f t="shared" si="4"/>
        <v>0</v>
      </c>
      <c r="I166" s="43" t="s">
        <v>32</v>
      </c>
      <c r="J166" s="43"/>
      <c r="K166" s="43"/>
    </row>
    <row r="167" s="35" customFormat="1" spans="1:11">
      <c r="A167" s="44">
        <v>45834</v>
      </c>
      <c r="B167" s="45" t="s">
        <v>113</v>
      </c>
      <c r="C167" s="45" t="s">
        <v>1475</v>
      </c>
      <c r="D167" s="45" t="s">
        <v>59</v>
      </c>
      <c r="E167" s="45" t="s">
        <v>14</v>
      </c>
      <c r="F167" s="45">
        <v>20</v>
      </c>
      <c r="G167" s="45">
        <v>0</v>
      </c>
      <c r="H167" s="45">
        <f t="shared" si="4"/>
        <v>0</v>
      </c>
      <c r="I167" s="45" t="s">
        <v>32</v>
      </c>
      <c r="J167" s="45"/>
      <c r="K167" s="45"/>
    </row>
    <row r="168" s="35" customFormat="1" spans="1:11">
      <c r="A168" s="44">
        <v>45835</v>
      </c>
      <c r="B168" s="45" t="s">
        <v>113</v>
      </c>
      <c r="C168" s="45" t="s">
        <v>1476</v>
      </c>
      <c r="D168" s="45" t="s">
        <v>130</v>
      </c>
      <c r="E168" s="45" t="s">
        <v>60</v>
      </c>
      <c r="F168" s="45">
        <v>2010</v>
      </c>
      <c r="G168" s="45">
        <v>0.4</v>
      </c>
      <c r="H168" s="45">
        <f t="shared" si="4"/>
        <v>804</v>
      </c>
      <c r="I168" s="45" t="s">
        <v>1477</v>
      </c>
      <c r="J168" s="45"/>
      <c r="K168" s="45"/>
    </row>
    <row r="169" s="35" customFormat="1" spans="1:11">
      <c r="A169" s="44">
        <v>45835</v>
      </c>
      <c r="B169" s="45" t="s">
        <v>113</v>
      </c>
      <c r="C169" s="45" t="s">
        <v>1476</v>
      </c>
      <c r="D169" s="45" t="s">
        <v>115</v>
      </c>
      <c r="E169" s="45" t="s">
        <v>1478</v>
      </c>
      <c r="F169" s="45">
        <v>2235</v>
      </c>
      <c r="G169" s="45">
        <v>0.48</v>
      </c>
      <c r="H169" s="45">
        <f t="shared" si="4"/>
        <v>1072.8</v>
      </c>
      <c r="I169" s="45" t="s">
        <v>126</v>
      </c>
      <c r="J169" s="45"/>
      <c r="K169" s="45"/>
    </row>
    <row r="170" s="35" customFormat="1" spans="1:11">
      <c r="A170" s="44">
        <v>45835</v>
      </c>
      <c r="B170" s="45" t="s">
        <v>113</v>
      </c>
      <c r="C170" s="45" t="s">
        <v>1479</v>
      </c>
      <c r="D170" s="45" t="s">
        <v>1061</v>
      </c>
      <c r="E170" s="45" t="s">
        <v>60</v>
      </c>
      <c r="F170" s="45">
        <v>23</v>
      </c>
      <c r="G170" s="45">
        <v>0</v>
      </c>
      <c r="H170" s="45">
        <f t="shared" si="4"/>
        <v>0</v>
      </c>
      <c r="I170" s="45" t="s">
        <v>32</v>
      </c>
      <c r="J170" s="45"/>
      <c r="K170" s="45"/>
    </row>
    <row r="171" spans="1:11">
      <c r="A171" s="41">
        <v>45836</v>
      </c>
      <c r="B171" s="43" t="s">
        <v>113</v>
      </c>
      <c r="C171" s="43" t="s">
        <v>1480</v>
      </c>
      <c r="D171" s="43" t="s">
        <v>59</v>
      </c>
      <c r="E171" s="43" t="s">
        <v>62</v>
      </c>
      <c r="F171" s="45">
        <v>9330</v>
      </c>
      <c r="G171" s="45">
        <v>0.45</v>
      </c>
      <c r="H171" s="43">
        <f t="shared" si="4"/>
        <v>4198.5</v>
      </c>
      <c r="I171" s="43" t="s">
        <v>133</v>
      </c>
      <c r="J171" s="43"/>
      <c r="K171" s="43"/>
    </row>
    <row r="172" spans="1:11">
      <c r="A172" s="41">
        <v>45836</v>
      </c>
      <c r="B172" s="43" t="s">
        <v>113</v>
      </c>
      <c r="C172" s="43" t="s">
        <v>1480</v>
      </c>
      <c r="D172" s="43" t="s">
        <v>76</v>
      </c>
      <c r="E172" s="43" t="s">
        <v>60</v>
      </c>
      <c r="F172" s="45">
        <v>4000</v>
      </c>
      <c r="G172" s="45">
        <v>0.43</v>
      </c>
      <c r="H172" s="43">
        <f t="shared" si="4"/>
        <v>1720</v>
      </c>
      <c r="I172" s="43" t="s">
        <v>999</v>
      </c>
      <c r="J172" s="43"/>
      <c r="K172" s="43"/>
    </row>
    <row r="173" spans="1:11">
      <c r="A173" s="41">
        <v>45836</v>
      </c>
      <c r="B173" s="43" t="s">
        <v>113</v>
      </c>
      <c r="C173" s="43" t="s">
        <v>1480</v>
      </c>
      <c r="D173" s="43" t="s">
        <v>59</v>
      </c>
      <c r="E173" s="43" t="s">
        <v>62</v>
      </c>
      <c r="F173" s="45">
        <v>810</v>
      </c>
      <c r="G173" s="45">
        <v>0.45</v>
      </c>
      <c r="H173" s="43">
        <f t="shared" si="4"/>
        <v>364.5</v>
      </c>
      <c r="I173" s="43" t="s">
        <v>133</v>
      </c>
      <c r="J173" s="43"/>
      <c r="K173" s="43"/>
    </row>
    <row r="174" spans="1:11">
      <c r="A174" s="41">
        <v>45836</v>
      </c>
      <c r="B174" s="43" t="s">
        <v>113</v>
      </c>
      <c r="C174" s="43" t="s">
        <v>1480</v>
      </c>
      <c r="D174" s="43" t="s">
        <v>76</v>
      </c>
      <c r="E174" s="43" t="s">
        <v>123</v>
      </c>
      <c r="F174" s="45">
        <v>6010</v>
      </c>
      <c r="G174" s="45">
        <v>0.48</v>
      </c>
      <c r="H174" s="43">
        <f t="shared" si="4"/>
        <v>2884.8</v>
      </c>
      <c r="I174" s="43" t="s">
        <v>999</v>
      </c>
      <c r="J174" s="43"/>
      <c r="K174" s="43"/>
    </row>
    <row r="175" spans="1:11">
      <c r="A175" s="41">
        <v>45836</v>
      </c>
      <c r="B175" s="43" t="s">
        <v>113</v>
      </c>
      <c r="C175" s="43" t="s">
        <v>1480</v>
      </c>
      <c r="D175" s="43" t="s">
        <v>130</v>
      </c>
      <c r="E175" s="43" t="s">
        <v>123</v>
      </c>
      <c r="F175" s="45">
        <v>6010</v>
      </c>
      <c r="G175" s="45">
        <v>0.45</v>
      </c>
      <c r="H175" s="43">
        <f t="shared" si="4"/>
        <v>2704.5</v>
      </c>
      <c r="I175" s="43" t="s">
        <v>999</v>
      </c>
      <c r="J175" s="43"/>
      <c r="K175" s="43"/>
    </row>
    <row r="176" customFormat="1" spans="1:11">
      <c r="A176" s="41">
        <v>45836</v>
      </c>
      <c r="B176" s="43" t="s">
        <v>113</v>
      </c>
      <c r="C176" s="43" t="s">
        <v>1481</v>
      </c>
      <c r="D176" s="43" t="s">
        <v>122</v>
      </c>
      <c r="E176" s="43" t="s">
        <v>62</v>
      </c>
      <c r="F176" s="45">
        <v>102</v>
      </c>
      <c r="G176" s="45">
        <v>0.52</v>
      </c>
      <c r="H176" s="43">
        <f t="shared" si="4"/>
        <v>53.04</v>
      </c>
      <c r="I176" s="43" t="s">
        <v>35</v>
      </c>
      <c r="J176" s="43"/>
      <c r="K176" s="43"/>
    </row>
    <row r="177" s="35" customFormat="1" spans="1:11">
      <c r="A177" s="44">
        <v>45837</v>
      </c>
      <c r="B177" s="45" t="s">
        <v>113</v>
      </c>
      <c r="C177" s="45" t="s">
        <v>1482</v>
      </c>
      <c r="D177" s="45" t="s">
        <v>76</v>
      </c>
      <c r="E177" s="45" t="s">
        <v>124</v>
      </c>
      <c r="F177" s="45">
        <v>4110</v>
      </c>
      <c r="G177" s="45">
        <v>0.46</v>
      </c>
      <c r="H177" s="45">
        <f t="shared" si="4"/>
        <v>1890.6</v>
      </c>
      <c r="I177" s="45" t="s">
        <v>340</v>
      </c>
      <c r="J177" s="45"/>
      <c r="K177" s="45"/>
    </row>
    <row r="178" s="35" customFormat="1" spans="1:11">
      <c r="A178" s="44">
        <v>45837</v>
      </c>
      <c r="B178" s="45" t="s">
        <v>113</v>
      </c>
      <c r="C178" s="45" t="s">
        <v>1482</v>
      </c>
      <c r="D178" s="45" t="s">
        <v>122</v>
      </c>
      <c r="E178" s="45" t="s">
        <v>1257</v>
      </c>
      <c r="F178" s="45">
        <v>38</v>
      </c>
      <c r="G178" s="45">
        <v>0.6</v>
      </c>
      <c r="H178" s="45">
        <f t="shared" si="4"/>
        <v>22.8</v>
      </c>
      <c r="I178" s="45" t="s">
        <v>999</v>
      </c>
      <c r="J178" s="45" t="s">
        <v>87</v>
      </c>
      <c r="K178" s="45"/>
    </row>
    <row r="179" s="35" customFormat="1" spans="1:11">
      <c r="A179" s="44">
        <v>45838</v>
      </c>
      <c r="B179" s="45" t="s">
        <v>113</v>
      </c>
      <c r="C179" s="45" t="s">
        <v>1483</v>
      </c>
      <c r="D179" s="45" t="s">
        <v>122</v>
      </c>
      <c r="E179" s="45" t="s">
        <v>60</v>
      </c>
      <c r="F179" s="45">
        <v>8070</v>
      </c>
      <c r="G179" s="45">
        <v>0.5</v>
      </c>
      <c r="H179" s="45">
        <f t="shared" si="4"/>
        <v>4035</v>
      </c>
      <c r="I179" s="45" t="s">
        <v>1465</v>
      </c>
      <c r="J179" s="45"/>
      <c r="K179" s="45"/>
    </row>
    <row r="180" s="35" customFormat="1" spans="1:11">
      <c r="A180" s="44">
        <v>45838</v>
      </c>
      <c r="B180" s="45" t="s">
        <v>113</v>
      </c>
      <c r="C180" s="45" t="s">
        <v>1483</v>
      </c>
      <c r="D180" s="45" t="s">
        <v>627</v>
      </c>
      <c r="E180" s="45" t="s">
        <v>339</v>
      </c>
      <c r="F180" s="45">
        <v>6060</v>
      </c>
      <c r="G180" s="45">
        <v>0.53</v>
      </c>
      <c r="H180" s="45">
        <f t="shared" si="4"/>
        <v>3211.8</v>
      </c>
      <c r="I180" s="45" t="s">
        <v>117</v>
      </c>
      <c r="J180" s="45"/>
      <c r="K180" s="45"/>
    </row>
    <row r="181" spans="1:11">
      <c r="A181" s="41">
        <v>45817</v>
      </c>
      <c r="B181" s="43" t="s">
        <v>260</v>
      </c>
      <c r="C181" s="43" t="s">
        <v>1484</v>
      </c>
      <c r="D181" s="45" t="s">
        <v>1345</v>
      </c>
      <c r="E181" s="45" t="s">
        <v>14</v>
      </c>
      <c r="F181" s="45">
        <v>20</v>
      </c>
      <c r="G181" s="45">
        <v>0.95</v>
      </c>
      <c r="H181" s="43">
        <f t="shared" ref="H181:H210" si="5">F181*G181</f>
        <v>19</v>
      </c>
      <c r="I181" s="43" t="s">
        <v>193</v>
      </c>
      <c r="J181" s="43"/>
      <c r="K181" s="43"/>
    </row>
    <row r="182" spans="1:11">
      <c r="A182" s="41">
        <v>45824</v>
      </c>
      <c r="B182" s="43" t="s">
        <v>260</v>
      </c>
      <c r="C182" s="43" t="s">
        <v>1485</v>
      </c>
      <c r="D182" s="45" t="s">
        <v>1486</v>
      </c>
      <c r="E182" s="45" t="s">
        <v>14</v>
      </c>
      <c r="F182" s="45">
        <v>53</v>
      </c>
      <c r="G182" s="45">
        <v>0.85</v>
      </c>
      <c r="H182" s="43">
        <f t="shared" si="5"/>
        <v>45.05</v>
      </c>
      <c r="I182" s="43" t="s">
        <v>28</v>
      </c>
      <c r="J182" s="43"/>
      <c r="K182" s="43"/>
    </row>
    <row r="183" spans="1:11">
      <c r="A183" s="41">
        <v>45825</v>
      </c>
      <c r="B183" s="43" t="s">
        <v>260</v>
      </c>
      <c r="C183" s="43" t="s">
        <v>1487</v>
      </c>
      <c r="D183" s="45" t="s">
        <v>699</v>
      </c>
      <c r="E183" s="45" t="s">
        <v>14</v>
      </c>
      <c r="F183" s="45">
        <v>105</v>
      </c>
      <c r="G183" s="45">
        <v>1.143</v>
      </c>
      <c r="H183" s="43">
        <f t="shared" si="5"/>
        <v>120.015</v>
      </c>
      <c r="I183" s="43" t="s">
        <v>28</v>
      </c>
      <c r="J183" s="43" t="s">
        <v>16</v>
      </c>
      <c r="K183" s="43"/>
    </row>
    <row r="184" spans="1:11">
      <c r="A184" s="41">
        <v>45831</v>
      </c>
      <c r="B184" s="43" t="s">
        <v>260</v>
      </c>
      <c r="C184" s="43" t="s">
        <v>1488</v>
      </c>
      <c r="D184" s="45" t="s">
        <v>696</v>
      </c>
      <c r="E184" s="45" t="s">
        <v>14</v>
      </c>
      <c r="F184" s="45">
        <v>103</v>
      </c>
      <c r="G184" s="45">
        <v>1.05</v>
      </c>
      <c r="H184" s="43">
        <f t="shared" si="5"/>
        <v>108.15</v>
      </c>
      <c r="I184" s="43" t="s">
        <v>999</v>
      </c>
      <c r="J184" s="43" t="s">
        <v>16</v>
      </c>
      <c r="K184" s="43"/>
    </row>
    <row r="185" spans="1:11">
      <c r="A185" s="41">
        <v>45831</v>
      </c>
      <c r="B185" s="43" t="s">
        <v>260</v>
      </c>
      <c r="C185" s="43" t="s">
        <v>1488</v>
      </c>
      <c r="D185" s="45" t="s">
        <v>1136</v>
      </c>
      <c r="E185" s="45"/>
      <c r="F185" s="45">
        <v>1</v>
      </c>
      <c r="G185" s="45">
        <v>15</v>
      </c>
      <c r="H185" s="43">
        <f t="shared" si="5"/>
        <v>15</v>
      </c>
      <c r="I185" s="43" t="s">
        <v>999</v>
      </c>
      <c r="J185" s="43" t="s">
        <v>16</v>
      </c>
      <c r="K185" s="43"/>
    </row>
    <row r="186" spans="1:11">
      <c r="A186" s="41">
        <v>45812</v>
      </c>
      <c r="B186" s="43" t="s">
        <v>1489</v>
      </c>
      <c r="C186" s="43" t="s">
        <v>1490</v>
      </c>
      <c r="D186" s="45" t="s">
        <v>493</v>
      </c>
      <c r="E186" s="45" t="s">
        <v>14</v>
      </c>
      <c r="F186" s="45">
        <v>60000</v>
      </c>
      <c r="G186" s="45">
        <v>0.76</v>
      </c>
      <c r="H186" s="43">
        <f t="shared" si="5"/>
        <v>45600</v>
      </c>
      <c r="I186" s="43" t="s">
        <v>271</v>
      </c>
      <c r="J186" s="43" t="s">
        <v>46</v>
      </c>
      <c r="K186" s="43"/>
    </row>
    <row r="187" spans="1:11">
      <c r="A187" s="41">
        <v>45812</v>
      </c>
      <c r="B187" s="43" t="s">
        <v>1489</v>
      </c>
      <c r="C187" s="43" t="s">
        <v>1491</v>
      </c>
      <c r="D187" s="45" t="s">
        <v>259</v>
      </c>
      <c r="E187" s="45" t="s">
        <v>14</v>
      </c>
      <c r="F187" s="45">
        <v>30000</v>
      </c>
      <c r="G187" s="45">
        <v>0.49</v>
      </c>
      <c r="H187" s="43">
        <f t="shared" si="5"/>
        <v>14700</v>
      </c>
      <c r="I187" s="43" t="s">
        <v>271</v>
      </c>
      <c r="J187" s="43" t="s">
        <v>46</v>
      </c>
      <c r="K187" s="43"/>
    </row>
    <row r="188" spans="1:11">
      <c r="A188" s="41">
        <v>45813</v>
      </c>
      <c r="B188" s="43" t="s">
        <v>1489</v>
      </c>
      <c r="C188" s="43" t="s">
        <v>1492</v>
      </c>
      <c r="D188" s="45" t="s">
        <v>27</v>
      </c>
      <c r="E188" s="45" t="s">
        <v>14</v>
      </c>
      <c r="F188" s="45">
        <v>205</v>
      </c>
      <c r="G188" s="45">
        <v>1.7</v>
      </c>
      <c r="H188" s="43">
        <f t="shared" si="5"/>
        <v>348.5</v>
      </c>
      <c r="I188" s="43" t="s">
        <v>982</v>
      </c>
      <c r="J188" s="43"/>
      <c r="K188" s="43"/>
    </row>
    <row r="189" spans="1:11">
      <c r="A189" s="41">
        <v>45814</v>
      </c>
      <c r="B189" s="43" t="s">
        <v>1489</v>
      </c>
      <c r="C189" s="43" t="s">
        <v>1493</v>
      </c>
      <c r="D189" s="45" t="s">
        <v>88</v>
      </c>
      <c r="E189" s="45" t="s">
        <v>14</v>
      </c>
      <c r="F189" s="45">
        <v>3070</v>
      </c>
      <c r="G189" s="45">
        <v>1.95</v>
      </c>
      <c r="H189" s="43">
        <f t="shared" si="5"/>
        <v>5986.5</v>
      </c>
      <c r="I189" s="43" t="s">
        <v>89</v>
      </c>
      <c r="J189" s="43"/>
      <c r="K189" s="43"/>
    </row>
    <row r="190" spans="1:11">
      <c r="A190" s="41">
        <v>45814</v>
      </c>
      <c r="B190" s="43" t="s">
        <v>1489</v>
      </c>
      <c r="C190" s="43"/>
      <c r="D190" s="45" t="s">
        <v>88</v>
      </c>
      <c r="E190" s="45" t="s">
        <v>14</v>
      </c>
      <c r="F190" s="45">
        <v>15150</v>
      </c>
      <c r="G190" s="45">
        <v>1.95</v>
      </c>
      <c r="H190" s="43">
        <f t="shared" si="5"/>
        <v>29542.5</v>
      </c>
      <c r="I190" s="43" t="s">
        <v>63</v>
      </c>
      <c r="J190" s="43" t="s">
        <v>46</v>
      </c>
      <c r="K190" s="43"/>
    </row>
    <row r="191" spans="1:11">
      <c r="A191" s="41">
        <v>45814</v>
      </c>
      <c r="B191" s="43" t="s">
        <v>1489</v>
      </c>
      <c r="C191" s="43"/>
      <c r="D191" s="45" t="s">
        <v>181</v>
      </c>
      <c r="E191" s="45" t="s">
        <v>14</v>
      </c>
      <c r="F191" s="45">
        <v>4030</v>
      </c>
      <c r="G191" s="45">
        <v>2.2</v>
      </c>
      <c r="H191" s="43">
        <f t="shared" si="5"/>
        <v>8866</v>
      </c>
      <c r="I191" s="43" t="s">
        <v>94</v>
      </c>
      <c r="J191" s="43" t="s">
        <v>46</v>
      </c>
      <c r="K191" s="43"/>
    </row>
    <row r="192" spans="1:11">
      <c r="A192" s="41">
        <v>45819</v>
      </c>
      <c r="B192" s="43" t="s">
        <v>1489</v>
      </c>
      <c r="C192" s="43"/>
      <c r="D192" s="45" t="s">
        <v>314</v>
      </c>
      <c r="E192" s="45" t="s">
        <v>14</v>
      </c>
      <c r="F192" s="45">
        <v>29950</v>
      </c>
      <c r="G192" s="45">
        <v>1.45</v>
      </c>
      <c r="H192" s="43">
        <f t="shared" si="5"/>
        <v>43427.5</v>
      </c>
      <c r="I192" s="43" t="s">
        <v>271</v>
      </c>
      <c r="J192" s="43"/>
      <c r="K192" s="43"/>
    </row>
    <row r="193" spans="1:11">
      <c r="A193" s="41">
        <v>45820</v>
      </c>
      <c r="B193" s="43" t="s">
        <v>1489</v>
      </c>
      <c r="C193" s="43"/>
      <c r="D193" s="45" t="s">
        <v>392</v>
      </c>
      <c r="E193" s="45" t="s">
        <v>14</v>
      </c>
      <c r="F193" s="45">
        <v>1070</v>
      </c>
      <c r="G193" s="45">
        <v>1.2</v>
      </c>
      <c r="H193" s="43">
        <f t="shared" si="5"/>
        <v>1284</v>
      </c>
      <c r="I193" s="43" t="s">
        <v>864</v>
      </c>
      <c r="J193" s="43"/>
      <c r="K193" s="43"/>
    </row>
    <row r="194" spans="1:11">
      <c r="A194" s="41">
        <v>45820</v>
      </c>
      <c r="B194" s="43" t="s">
        <v>1489</v>
      </c>
      <c r="C194" s="43"/>
      <c r="D194" s="45" t="s">
        <v>88</v>
      </c>
      <c r="E194" s="45" t="s">
        <v>14</v>
      </c>
      <c r="F194" s="45">
        <v>350</v>
      </c>
      <c r="G194" s="45">
        <v>1.95</v>
      </c>
      <c r="H194" s="43">
        <f t="shared" si="5"/>
        <v>682.5</v>
      </c>
      <c r="I194" s="43" t="s">
        <v>63</v>
      </c>
      <c r="J194" s="43"/>
      <c r="K194" s="43"/>
    </row>
    <row r="195" spans="1:11">
      <c r="A195" s="41">
        <v>45820</v>
      </c>
      <c r="B195" s="43" t="s">
        <v>1489</v>
      </c>
      <c r="C195" s="43"/>
      <c r="D195" s="45" t="s">
        <v>181</v>
      </c>
      <c r="E195" s="45" t="s">
        <v>14</v>
      </c>
      <c r="F195" s="45">
        <v>140</v>
      </c>
      <c r="G195" s="45">
        <v>2.2</v>
      </c>
      <c r="H195" s="43">
        <f t="shared" si="5"/>
        <v>308</v>
      </c>
      <c r="I195" s="43" t="s">
        <v>28</v>
      </c>
      <c r="J195" s="43"/>
      <c r="K195" s="43"/>
    </row>
    <row r="196" spans="1:11">
      <c r="A196" s="41">
        <v>45822</v>
      </c>
      <c r="B196" s="43" t="s">
        <v>1489</v>
      </c>
      <c r="C196" s="43" t="s">
        <v>1494</v>
      </c>
      <c r="D196" s="45" t="s">
        <v>27</v>
      </c>
      <c r="E196" s="45" t="s">
        <v>14</v>
      </c>
      <c r="F196" s="45">
        <v>620</v>
      </c>
      <c r="G196" s="45">
        <v>1.7</v>
      </c>
      <c r="H196" s="43">
        <f t="shared" si="5"/>
        <v>1054</v>
      </c>
      <c r="I196" s="43" t="s">
        <v>982</v>
      </c>
      <c r="J196" s="43"/>
      <c r="K196" s="43"/>
    </row>
    <row r="197" spans="1:11">
      <c r="A197" s="41">
        <v>45824</v>
      </c>
      <c r="B197" s="43" t="s">
        <v>1489</v>
      </c>
      <c r="C197" s="43"/>
      <c r="D197" s="45" t="s">
        <v>314</v>
      </c>
      <c r="E197" s="45" t="s">
        <v>14</v>
      </c>
      <c r="F197" s="45">
        <v>750</v>
      </c>
      <c r="G197" s="45">
        <v>1.45</v>
      </c>
      <c r="H197" s="43">
        <f t="shared" si="5"/>
        <v>1087.5</v>
      </c>
      <c r="I197" s="43" t="s">
        <v>271</v>
      </c>
      <c r="J197" s="43"/>
      <c r="K197" s="43"/>
    </row>
    <row r="198" spans="1:11">
      <c r="A198" s="41">
        <v>45827</v>
      </c>
      <c r="B198" s="43" t="s">
        <v>1489</v>
      </c>
      <c r="C198" s="43"/>
      <c r="D198" s="45" t="s">
        <v>259</v>
      </c>
      <c r="E198" s="45" t="s">
        <v>14</v>
      </c>
      <c r="F198" s="45">
        <v>50000</v>
      </c>
      <c r="G198" s="45">
        <v>0.49</v>
      </c>
      <c r="H198" s="43">
        <f t="shared" si="5"/>
        <v>24500</v>
      </c>
      <c r="I198" s="43" t="s">
        <v>126</v>
      </c>
      <c r="J198" s="43" t="s">
        <v>46</v>
      </c>
      <c r="K198" s="43"/>
    </row>
    <row r="199" spans="1:11">
      <c r="A199" s="41">
        <v>45827</v>
      </c>
      <c r="B199" s="43" t="s">
        <v>1489</v>
      </c>
      <c r="C199" s="43"/>
      <c r="D199" s="45" t="s">
        <v>201</v>
      </c>
      <c r="E199" s="45" t="s">
        <v>14</v>
      </c>
      <c r="F199" s="45">
        <v>19800</v>
      </c>
      <c r="G199" s="45">
        <v>0.84</v>
      </c>
      <c r="H199" s="43">
        <f t="shared" si="5"/>
        <v>16632</v>
      </c>
      <c r="I199" s="43" t="s">
        <v>133</v>
      </c>
      <c r="J199" s="43" t="s">
        <v>46</v>
      </c>
      <c r="K199" s="43"/>
    </row>
    <row r="200" spans="1:11">
      <c r="A200" s="41">
        <v>45831</v>
      </c>
      <c r="B200" s="43" t="s">
        <v>1489</v>
      </c>
      <c r="C200" s="43"/>
      <c r="D200" s="45" t="s">
        <v>110</v>
      </c>
      <c r="E200" s="45" t="s">
        <v>14</v>
      </c>
      <c r="F200" s="45">
        <v>650</v>
      </c>
      <c r="G200" s="45">
        <v>0.45</v>
      </c>
      <c r="H200" s="43">
        <f t="shared" si="5"/>
        <v>292.5</v>
      </c>
      <c r="I200" s="43" t="s">
        <v>243</v>
      </c>
      <c r="J200" s="43"/>
      <c r="K200" s="43"/>
    </row>
    <row r="201" spans="1:11">
      <c r="A201" s="41">
        <v>45833</v>
      </c>
      <c r="B201" s="43" t="s">
        <v>1489</v>
      </c>
      <c r="C201" s="43"/>
      <c r="D201" s="45" t="s">
        <v>1495</v>
      </c>
      <c r="E201" s="45" t="s">
        <v>14</v>
      </c>
      <c r="F201" s="45">
        <v>45686</v>
      </c>
      <c r="G201" s="45">
        <v>0.7</v>
      </c>
      <c r="H201" s="43">
        <f t="shared" si="5"/>
        <v>31980.2</v>
      </c>
      <c r="I201" s="43" t="s">
        <v>243</v>
      </c>
      <c r="J201" s="43" t="s">
        <v>46</v>
      </c>
      <c r="K201" s="43"/>
    </row>
    <row r="202" spans="1:11">
      <c r="A202" s="41">
        <v>45815</v>
      </c>
      <c r="B202" s="43" t="s">
        <v>97</v>
      </c>
      <c r="C202" s="43"/>
      <c r="D202" s="43" t="s">
        <v>224</v>
      </c>
      <c r="E202" s="43" t="s">
        <v>207</v>
      </c>
      <c r="F202" s="43">
        <v>4005</v>
      </c>
      <c r="G202" s="43">
        <v>0.95</v>
      </c>
      <c r="H202" s="43">
        <f t="shared" si="5"/>
        <v>3804.75</v>
      </c>
      <c r="I202" s="43" t="s">
        <v>208</v>
      </c>
      <c r="J202" s="43"/>
      <c r="K202" s="43"/>
    </row>
    <row r="203" spans="1:11">
      <c r="A203" s="41">
        <v>45829</v>
      </c>
      <c r="B203" s="43" t="s">
        <v>97</v>
      </c>
      <c r="C203" s="43"/>
      <c r="D203" s="43" t="s">
        <v>224</v>
      </c>
      <c r="E203" s="43" t="s">
        <v>361</v>
      </c>
      <c r="F203" s="43">
        <v>35</v>
      </c>
      <c r="G203" s="43">
        <v>1</v>
      </c>
      <c r="H203" s="43">
        <f t="shared" si="5"/>
        <v>35</v>
      </c>
      <c r="I203" s="43" t="s">
        <v>28</v>
      </c>
      <c r="J203" s="43"/>
      <c r="K203" s="43"/>
    </row>
    <row r="204" spans="1:11">
      <c r="A204" s="41">
        <v>45813</v>
      </c>
      <c r="B204" s="43" t="s">
        <v>91</v>
      </c>
      <c r="C204" s="45" t="s">
        <v>1496</v>
      </c>
      <c r="D204" s="45" t="s">
        <v>95</v>
      </c>
      <c r="E204" s="45" t="s">
        <v>14</v>
      </c>
      <c r="F204" s="45">
        <v>833</v>
      </c>
      <c r="G204" s="45">
        <v>4.2</v>
      </c>
      <c r="H204" s="43">
        <f t="shared" si="5"/>
        <v>3498.6</v>
      </c>
      <c r="I204" s="43" t="s">
        <v>94</v>
      </c>
      <c r="J204" s="43"/>
      <c r="K204" s="43"/>
    </row>
    <row r="205" spans="1:11">
      <c r="A205" s="41">
        <v>45818</v>
      </c>
      <c r="B205" s="43" t="s">
        <v>91</v>
      </c>
      <c r="C205" s="45" t="s">
        <v>1497</v>
      </c>
      <c r="D205" s="45" t="s">
        <v>95</v>
      </c>
      <c r="E205" s="45" t="s">
        <v>14</v>
      </c>
      <c r="F205" s="45">
        <v>48</v>
      </c>
      <c r="G205" s="45">
        <v>4.2</v>
      </c>
      <c r="H205" s="43">
        <f t="shared" si="5"/>
        <v>201.6</v>
      </c>
      <c r="I205" s="43" t="s">
        <v>94</v>
      </c>
      <c r="J205" s="43" t="s">
        <v>475</v>
      </c>
      <c r="K205" s="43"/>
    </row>
    <row r="206" spans="1:11">
      <c r="A206" s="41">
        <v>45819</v>
      </c>
      <c r="B206" s="43" t="s">
        <v>91</v>
      </c>
      <c r="C206" s="45" t="s">
        <v>1498</v>
      </c>
      <c r="D206" s="45" t="s">
        <v>564</v>
      </c>
      <c r="E206" s="45" t="s">
        <v>14</v>
      </c>
      <c r="F206" s="45">
        <v>40</v>
      </c>
      <c r="G206" s="45">
        <v>4.4</v>
      </c>
      <c r="H206" s="43">
        <f t="shared" si="5"/>
        <v>176</v>
      </c>
      <c r="I206" s="43" t="s">
        <v>1499</v>
      </c>
      <c r="J206" s="43"/>
      <c r="K206" s="43"/>
    </row>
    <row r="207" spans="1:11">
      <c r="A207" s="41">
        <v>45821</v>
      </c>
      <c r="B207" s="43" t="s">
        <v>91</v>
      </c>
      <c r="C207" s="43" t="s">
        <v>1500</v>
      </c>
      <c r="D207" s="43" t="s">
        <v>95</v>
      </c>
      <c r="E207" s="43" t="s">
        <v>14</v>
      </c>
      <c r="F207" s="43">
        <v>3000</v>
      </c>
      <c r="G207" s="43">
        <v>4.3</v>
      </c>
      <c r="H207" s="43">
        <f t="shared" si="5"/>
        <v>12900</v>
      </c>
      <c r="I207" s="43" t="s">
        <v>94</v>
      </c>
      <c r="J207" s="43"/>
      <c r="K207" s="43"/>
    </row>
    <row r="208" spans="1:11">
      <c r="A208" s="41">
        <v>45821</v>
      </c>
      <c r="B208" s="43" t="s">
        <v>91</v>
      </c>
      <c r="C208" s="43" t="s">
        <v>1501</v>
      </c>
      <c r="D208" s="43" t="s">
        <v>181</v>
      </c>
      <c r="E208" s="43" t="s">
        <v>14</v>
      </c>
      <c r="F208" s="43">
        <v>10000</v>
      </c>
      <c r="G208" s="43">
        <v>2.215</v>
      </c>
      <c r="H208" s="43">
        <f t="shared" si="5"/>
        <v>22150</v>
      </c>
      <c r="I208" s="43" t="s">
        <v>94</v>
      </c>
      <c r="J208" s="43" t="s">
        <v>46</v>
      </c>
      <c r="K208" s="43"/>
    </row>
    <row r="209" spans="1:11">
      <c r="A209" s="41">
        <v>45831</v>
      </c>
      <c r="B209" s="43" t="s">
        <v>91</v>
      </c>
      <c r="C209" s="43" t="s">
        <v>1502</v>
      </c>
      <c r="D209" s="43" t="s">
        <v>917</v>
      </c>
      <c r="E209" s="43" t="s">
        <v>14</v>
      </c>
      <c r="F209" s="43">
        <v>1000</v>
      </c>
      <c r="G209" s="43">
        <v>3.8</v>
      </c>
      <c r="H209" s="43">
        <f t="shared" si="5"/>
        <v>3800</v>
      </c>
      <c r="I209" s="43" t="s">
        <v>94</v>
      </c>
      <c r="J209" s="43"/>
      <c r="K209" s="43"/>
    </row>
    <row r="210" spans="1:11">
      <c r="A210" s="41">
        <v>45836</v>
      </c>
      <c r="B210" s="43" t="s">
        <v>91</v>
      </c>
      <c r="C210" s="43" t="s">
        <v>1503</v>
      </c>
      <c r="D210" s="43" t="s">
        <v>564</v>
      </c>
      <c r="E210" s="43" t="s">
        <v>14</v>
      </c>
      <c r="F210" s="43">
        <v>4</v>
      </c>
      <c r="G210" s="43">
        <v>4.4</v>
      </c>
      <c r="H210" s="43">
        <f t="shared" si="5"/>
        <v>17.6</v>
      </c>
      <c r="I210" s="43" t="s">
        <v>1504</v>
      </c>
      <c r="J210" s="43"/>
      <c r="K210" s="43"/>
    </row>
    <row r="211" spans="1:11">
      <c r="A211" s="41">
        <v>45813</v>
      </c>
      <c r="B211" s="43" t="s">
        <v>225</v>
      </c>
      <c r="C211" s="87" t="s">
        <v>1505</v>
      </c>
      <c r="D211" s="45" t="s">
        <v>227</v>
      </c>
      <c r="E211" s="45" t="s">
        <v>116</v>
      </c>
      <c r="F211" s="45">
        <v>512</v>
      </c>
      <c r="G211" s="45">
        <v>0.66</v>
      </c>
      <c r="H211" s="43">
        <f t="shared" ref="H211:H251" si="6">F211*G211</f>
        <v>337.92</v>
      </c>
      <c r="I211" s="43" t="s">
        <v>1506</v>
      </c>
      <c r="J211" s="43"/>
      <c r="K211" s="43"/>
    </row>
    <row r="212" spans="1:11">
      <c r="A212" s="41">
        <v>45827</v>
      </c>
      <c r="B212" s="43" t="s">
        <v>225</v>
      </c>
      <c r="C212" s="87" t="s">
        <v>1507</v>
      </c>
      <c r="D212" s="45" t="s">
        <v>227</v>
      </c>
      <c r="E212" s="45" t="s">
        <v>123</v>
      </c>
      <c r="F212" s="45">
        <v>6039</v>
      </c>
      <c r="G212" s="45">
        <v>0.68</v>
      </c>
      <c r="H212" s="43">
        <f t="shared" si="6"/>
        <v>4106.52</v>
      </c>
      <c r="I212" s="43" t="s">
        <v>437</v>
      </c>
      <c r="J212" s="43"/>
      <c r="K212" s="43"/>
    </row>
    <row r="213" spans="1:11">
      <c r="A213" s="41">
        <v>45827</v>
      </c>
      <c r="B213" s="43" t="s">
        <v>225</v>
      </c>
      <c r="C213" s="87" t="s">
        <v>1507</v>
      </c>
      <c r="D213" s="45" t="s">
        <v>227</v>
      </c>
      <c r="E213" s="45" t="s">
        <v>123</v>
      </c>
      <c r="F213" s="45">
        <v>5241</v>
      </c>
      <c r="G213" s="45">
        <v>0.56</v>
      </c>
      <c r="H213" s="43">
        <f t="shared" si="6"/>
        <v>2934.96</v>
      </c>
      <c r="I213" s="43" t="s">
        <v>356</v>
      </c>
      <c r="J213" s="43"/>
      <c r="K213" s="43"/>
    </row>
    <row r="214" spans="1:11">
      <c r="A214" s="41">
        <v>45827</v>
      </c>
      <c r="B214" s="43" t="s">
        <v>225</v>
      </c>
      <c r="C214" s="87" t="s">
        <v>1507</v>
      </c>
      <c r="D214" s="45" t="s">
        <v>227</v>
      </c>
      <c r="E214" s="45" t="s">
        <v>123</v>
      </c>
      <c r="F214" s="45">
        <v>25000</v>
      </c>
      <c r="G214" s="45">
        <v>0.56</v>
      </c>
      <c r="H214" s="43">
        <f t="shared" si="6"/>
        <v>14000</v>
      </c>
      <c r="I214" s="43" t="s">
        <v>356</v>
      </c>
      <c r="J214" s="43"/>
      <c r="K214" s="43"/>
    </row>
    <row r="215" spans="1:11">
      <c r="A215" s="41">
        <v>45828</v>
      </c>
      <c r="B215" s="43" t="s">
        <v>225</v>
      </c>
      <c r="C215" s="87" t="s">
        <v>1508</v>
      </c>
      <c r="D215" s="45" t="s">
        <v>227</v>
      </c>
      <c r="E215" s="45" t="s">
        <v>123</v>
      </c>
      <c r="F215" s="45">
        <v>5158</v>
      </c>
      <c r="G215" s="45">
        <v>0.56</v>
      </c>
      <c r="H215" s="43">
        <f t="shared" si="6"/>
        <v>2888.48</v>
      </c>
      <c r="I215" s="43" t="s">
        <v>356</v>
      </c>
      <c r="J215" s="43"/>
      <c r="K215" s="43"/>
    </row>
    <row r="216" spans="1:11">
      <c r="A216" s="41">
        <v>45828</v>
      </c>
      <c r="B216" s="43" t="s">
        <v>225</v>
      </c>
      <c r="C216" s="87" t="s">
        <v>1508</v>
      </c>
      <c r="D216" s="45" t="s">
        <v>227</v>
      </c>
      <c r="E216" s="45" t="s">
        <v>123</v>
      </c>
      <c r="F216" s="45">
        <v>6039</v>
      </c>
      <c r="G216" s="45">
        <v>0.65</v>
      </c>
      <c r="H216" s="43">
        <f t="shared" si="6"/>
        <v>3925.35</v>
      </c>
      <c r="I216" s="43" t="s">
        <v>437</v>
      </c>
      <c r="J216" s="43"/>
      <c r="K216" s="43"/>
    </row>
    <row r="217" spans="1:11">
      <c r="A217" s="41">
        <v>45828</v>
      </c>
      <c r="B217" s="43" t="s">
        <v>225</v>
      </c>
      <c r="C217" s="87" t="s">
        <v>1508</v>
      </c>
      <c r="D217" s="45" t="s">
        <v>227</v>
      </c>
      <c r="E217" s="45" t="s">
        <v>127</v>
      </c>
      <c r="F217" s="45">
        <v>20070</v>
      </c>
      <c r="G217" s="45">
        <v>0.57</v>
      </c>
      <c r="H217" s="43">
        <f t="shared" si="6"/>
        <v>11439.9</v>
      </c>
      <c r="I217" s="43" t="s">
        <v>65</v>
      </c>
      <c r="J217" s="43"/>
      <c r="K217" s="43"/>
    </row>
    <row r="218" spans="1:11">
      <c r="A218" s="41">
        <v>45832</v>
      </c>
      <c r="B218" s="43" t="s">
        <v>225</v>
      </c>
      <c r="C218" s="87" t="s">
        <v>1509</v>
      </c>
      <c r="D218" s="45" t="s">
        <v>227</v>
      </c>
      <c r="E218" s="45" t="s">
        <v>123</v>
      </c>
      <c r="F218" s="45">
        <v>4090</v>
      </c>
      <c r="G218" s="45">
        <v>0.57</v>
      </c>
      <c r="H218" s="43">
        <f t="shared" si="6"/>
        <v>2331.3</v>
      </c>
      <c r="I218" s="43" t="s">
        <v>65</v>
      </c>
      <c r="J218" s="43"/>
      <c r="K218" s="43"/>
    </row>
    <row r="219" spans="1:11">
      <c r="A219" s="41">
        <v>45834</v>
      </c>
      <c r="B219" s="43" t="s">
        <v>225</v>
      </c>
      <c r="C219" s="87" t="s">
        <v>1510</v>
      </c>
      <c r="D219" s="45" t="s">
        <v>227</v>
      </c>
      <c r="E219" s="45" t="s">
        <v>127</v>
      </c>
      <c r="F219" s="45">
        <v>52</v>
      </c>
      <c r="G219" s="45">
        <v>0.57</v>
      </c>
      <c r="H219" s="43">
        <f t="shared" si="6"/>
        <v>29.64</v>
      </c>
      <c r="I219" s="43" t="s">
        <v>65</v>
      </c>
      <c r="J219" s="43"/>
      <c r="K219" s="43"/>
    </row>
    <row r="220" spans="1:11">
      <c r="A220" s="41">
        <v>45838</v>
      </c>
      <c r="B220" s="43" t="s">
        <v>225</v>
      </c>
      <c r="C220" s="87" t="s">
        <v>1511</v>
      </c>
      <c r="D220" s="45" t="s">
        <v>227</v>
      </c>
      <c r="E220" s="45" t="s">
        <v>123</v>
      </c>
      <c r="F220" s="45">
        <v>1018</v>
      </c>
      <c r="G220" s="45">
        <v>0.67</v>
      </c>
      <c r="H220" s="43">
        <f t="shared" si="6"/>
        <v>682.06</v>
      </c>
      <c r="I220" s="43" t="s">
        <v>208</v>
      </c>
      <c r="J220" s="43"/>
      <c r="K220" s="43"/>
    </row>
    <row r="221" spans="1:11">
      <c r="A221" s="44">
        <v>45817</v>
      </c>
      <c r="B221" s="45" t="s">
        <v>11</v>
      </c>
      <c r="C221" s="45" t="s">
        <v>1512</v>
      </c>
      <c r="D221" s="45" t="s">
        <v>1513</v>
      </c>
      <c r="E221" s="45" t="s">
        <v>14</v>
      </c>
      <c r="F221" s="45">
        <v>303</v>
      </c>
      <c r="G221" s="45">
        <v>1.3</v>
      </c>
      <c r="H221" s="43">
        <f t="shared" si="6"/>
        <v>393.9</v>
      </c>
      <c r="I221" s="43" t="s">
        <v>39</v>
      </c>
      <c r="J221" s="43" t="s">
        <v>16</v>
      </c>
      <c r="K221" s="43"/>
    </row>
    <row r="222" spans="1:11">
      <c r="A222" s="41">
        <v>45825</v>
      </c>
      <c r="B222" s="43" t="s">
        <v>11</v>
      </c>
      <c r="C222" s="45" t="s">
        <v>1514</v>
      </c>
      <c r="D222" s="45" t="s">
        <v>1188</v>
      </c>
      <c r="E222" s="45" t="s">
        <v>14</v>
      </c>
      <c r="F222" s="45">
        <v>15</v>
      </c>
      <c r="G222" s="45">
        <v>1</v>
      </c>
      <c r="H222" s="43">
        <f t="shared" si="6"/>
        <v>15</v>
      </c>
      <c r="I222" s="43" t="s">
        <v>805</v>
      </c>
      <c r="J222" s="43" t="s">
        <v>16</v>
      </c>
      <c r="K222" s="43"/>
    </row>
    <row r="223" spans="1:11">
      <c r="A223" s="41">
        <v>45814</v>
      </c>
      <c r="B223" s="43" t="s">
        <v>257</v>
      </c>
      <c r="C223" s="43"/>
      <c r="D223" s="45" t="s">
        <v>227</v>
      </c>
      <c r="E223" s="45" t="s">
        <v>60</v>
      </c>
      <c r="F223" s="45">
        <v>20420</v>
      </c>
      <c r="G223" s="45">
        <v>0.53</v>
      </c>
      <c r="H223" s="43">
        <f t="shared" si="6"/>
        <v>10822.6</v>
      </c>
      <c r="I223" s="43" t="s">
        <v>356</v>
      </c>
      <c r="J223" s="43"/>
      <c r="K223" s="43"/>
    </row>
    <row r="224" spans="1:11">
      <c r="A224" s="41">
        <v>45819</v>
      </c>
      <c r="B224" s="43" t="s">
        <v>257</v>
      </c>
      <c r="C224" s="43"/>
      <c r="D224" s="45" t="s">
        <v>227</v>
      </c>
      <c r="E224" s="45" t="s">
        <v>62</v>
      </c>
      <c r="F224" s="45">
        <v>805</v>
      </c>
      <c r="G224" s="45">
        <v>0.55</v>
      </c>
      <c r="H224" s="43">
        <f t="shared" si="6"/>
        <v>442.75</v>
      </c>
      <c r="I224" s="43" t="s">
        <v>65</v>
      </c>
      <c r="J224" s="43"/>
      <c r="K224" s="43"/>
    </row>
    <row r="225" spans="1:11">
      <c r="A225" s="41">
        <v>45833</v>
      </c>
      <c r="B225" s="43" t="s">
        <v>257</v>
      </c>
      <c r="C225" s="43"/>
      <c r="D225" s="45" t="s">
        <v>256</v>
      </c>
      <c r="E225" s="45" t="s">
        <v>14</v>
      </c>
      <c r="F225" s="45">
        <v>26000</v>
      </c>
      <c r="G225" s="45">
        <v>0.62</v>
      </c>
      <c r="H225" s="43">
        <f t="shared" si="6"/>
        <v>16120</v>
      </c>
      <c r="I225" s="43" t="s">
        <v>94</v>
      </c>
      <c r="J225" s="43" t="s">
        <v>46</v>
      </c>
      <c r="K225" s="43"/>
    </row>
    <row r="226" spans="1:11">
      <c r="A226" s="41">
        <v>45835</v>
      </c>
      <c r="B226" s="43" t="s">
        <v>257</v>
      </c>
      <c r="C226" s="43"/>
      <c r="D226" s="45" t="s">
        <v>256</v>
      </c>
      <c r="E226" s="45" t="s">
        <v>14</v>
      </c>
      <c r="F226" s="45">
        <v>15000</v>
      </c>
      <c r="G226" s="45">
        <v>0.62</v>
      </c>
      <c r="H226" s="43">
        <f t="shared" si="6"/>
        <v>9300</v>
      </c>
      <c r="I226" s="43" t="s">
        <v>94</v>
      </c>
      <c r="J226" s="43" t="s">
        <v>46</v>
      </c>
      <c r="K226" s="43"/>
    </row>
    <row r="227" spans="1:11">
      <c r="A227" s="41">
        <v>45811</v>
      </c>
      <c r="B227" s="43" t="s">
        <v>1367</v>
      </c>
      <c r="C227" s="43">
        <v>4661999</v>
      </c>
      <c r="D227" s="43" t="s">
        <v>38</v>
      </c>
      <c r="E227" s="43" t="s">
        <v>14</v>
      </c>
      <c r="F227" s="43">
        <v>11030</v>
      </c>
      <c r="G227" s="43">
        <v>1.325</v>
      </c>
      <c r="H227" s="43">
        <f t="shared" si="6"/>
        <v>14614.75</v>
      </c>
      <c r="I227" s="43" t="s">
        <v>432</v>
      </c>
      <c r="J227" s="43" t="s">
        <v>46</v>
      </c>
      <c r="K227" s="43"/>
    </row>
    <row r="228" spans="1:11">
      <c r="A228" s="41">
        <v>45815</v>
      </c>
      <c r="B228" s="43" t="s">
        <v>1367</v>
      </c>
      <c r="C228" s="43"/>
      <c r="D228" s="43" t="s">
        <v>493</v>
      </c>
      <c r="E228" s="43" t="s">
        <v>14</v>
      </c>
      <c r="F228" s="43">
        <v>50000</v>
      </c>
      <c r="G228" s="43">
        <v>0.85</v>
      </c>
      <c r="H228" s="43">
        <f t="shared" si="6"/>
        <v>42500</v>
      </c>
      <c r="I228" s="43" t="s">
        <v>61</v>
      </c>
      <c r="J228" s="43" t="s">
        <v>46</v>
      </c>
      <c r="K228" s="43"/>
    </row>
    <row r="229" spans="1:11">
      <c r="A229" s="41">
        <v>45815</v>
      </c>
      <c r="B229" s="43" t="s">
        <v>1367</v>
      </c>
      <c r="C229" s="43"/>
      <c r="D229" s="43" t="s">
        <v>183</v>
      </c>
      <c r="E229" s="43" t="s">
        <v>14</v>
      </c>
      <c r="F229" s="43">
        <v>20000</v>
      </c>
      <c r="G229" s="43">
        <v>1.06</v>
      </c>
      <c r="H229" s="43">
        <f t="shared" si="6"/>
        <v>21200</v>
      </c>
      <c r="I229" s="43" t="s">
        <v>1515</v>
      </c>
      <c r="J229" s="43" t="s">
        <v>46</v>
      </c>
      <c r="K229" s="43"/>
    </row>
    <row r="230" spans="1:11">
      <c r="A230" s="41">
        <v>45816</v>
      </c>
      <c r="B230" s="43" t="s">
        <v>1367</v>
      </c>
      <c r="C230" s="43"/>
      <c r="D230" s="43" t="s">
        <v>493</v>
      </c>
      <c r="E230" s="43" t="s">
        <v>14</v>
      </c>
      <c r="F230" s="43">
        <v>50000</v>
      </c>
      <c r="G230" s="43">
        <v>0.85</v>
      </c>
      <c r="H230" s="43">
        <f t="shared" si="6"/>
        <v>42500</v>
      </c>
      <c r="I230" s="43" t="s">
        <v>503</v>
      </c>
      <c r="J230" s="43" t="s">
        <v>46</v>
      </c>
      <c r="K230" s="43"/>
    </row>
    <row r="231" spans="1:11">
      <c r="A231" s="41">
        <v>45818</v>
      </c>
      <c r="B231" s="43" t="s">
        <v>1367</v>
      </c>
      <c r="C231" s="43"/>
      <c r="D231" s="43" t="s">
        <v>493</v>
      </c>
      <c r="E231" s="43" t="s">
        <v>14</v>
      </c>
      <c r="F231" s="43">
        <v>200</v>
      </c>
      <c r="G231" s="43">
        <v>0.85</v>
      </c>
      <c r="H231" s="43">
        <f t="shared" si="6"/>
        <v>170</v>
      </c>
      <c r="I231" s="43" t="s">
        <v>271</v>
      </c>
      <c r="J231" s="43" t="s">
        <v>46</v>
      </c>
      <c r="K231" s="43"/>
    </row>
    <row r="232" spans="1:11">
      <c r="A232" s="41">
        <v>45835</v>
      </c>
      <c r="B232" s="43" t="s">
        <v>1367</v>
      </c>
      <c r="C232" s="43"/>
      <c r="D232" s="43" t="s">
        <v>493</v>
      </c>
      <c r="E232" s="43" t="s">
        <v>14</v>
      </c>
      <c r="F232" s="43">
        <v>50000</v>
      </c>
      <c r="G232" s="43">
        <v>0.85</v>
      </c>
      <c r="H232" s="43">
        <f t="shared" si="6"/>
        <v>42500</v>
      </c>
      <c r="I232" s="43" t="s">
        <v>271</v>
      </c>
      <c r="J232" s="43" t="s">
        <v>46</v>
      </c>
      <c r="K232" s="43"/>
    </row>
    <row r="233" spans="1:11">
      <c r="A233" s="41">
        <v>45836</v>
      </c>
      <c r="B233" s="43" t="s">
        <v>1367</v>
      </c>
      <c r="C233" s="43"/>
      <c r="D233" s="43" t="s">
        <v>493</v>
      </c>
      <c r="E233" s="43" t="s">
        <v>14</v>
      </c>
      <c r="F233" s="43">
        <v>50000</v>
      </c>
      <c r="G233" s="43">
        <v>0.85</v>
      </c>
      <c r="H233" s="43">
        <f t="shared" si="6"/>
        <v>42500</v>
      </c>
      <c r="I233" s="43" t="s">
        <v>271</v>
      </c>
      <c r="J233" s="43" t="s">
        <v>46</v>
      </c>
      <c r="K233" s="43"/>
    </row>
    <row r="234" spans="1:11">
      <c r="A234" s="41">
        <v>45836</v>
      </c>
      <c r="B234" s="43" t="s">
        <v>1367</v>
      </c>
      <c r="C234" s="43"/>
      <c r="D234" s="43" t="s">
        <v>18</v>
      </c>
      <c r="E234" s="43" t="s">
        <v>14</v>
      </c>
      <c r="F234" s="43">
        <v>10800</v>
      </c>
      <c r="G234" s="43">
        <v>0.75</v>
      </c>
      <c r="H234" s="43">
        <f t="shared" si="6"/>
        <v>8100</v>
      </c>
      <c r="I234" s="43" t="s">
        <v>61</v>
      </c>
      <c r="J234" s="43" t="s">
        <v>46</v>
      </c>
      <c r="K234" s="43"/>
    </row>
    <row r="235" spans="1:11">
      <c r="A235" s="41">
        <v>45811</v>
      </c>
      <c r="B235" s="43" t="s">
        <v>889</v>
      </c>
      <c r="C235" s="43" t="s">
        <v>1516</v>
      </c>
      <c r="D235" s="43" t="s">
        <v>201</v>
      </c>
      <c r="E235" s="43" t="s">
        <v>14</v>
      </c>
      <c r="F235" s="43">
        <v>20214</v>
      </c>
      <c r="G235" s="43">
        <v>0.85</v>
      </c>
      <c r="H235" s="43">
        <f t="shared" si="6"/>
        <v>17181.9</v>
      </c>
      <c r="I235" s="43" t="s">
        <v>61</v>
      </c>
      <c r="J235" s="43" t="s">
        <v>46</v>
      </c>
      <c r="K235" s="43"/>
    </row>
    <row r="236" spans="1:11">
      <c r="A236" s="41">
        <v>45811</v>
      </c>
      <c r="B236" s="43" t="s">
        <v>889</v>
      </c>
      <c r="C236" s="43" t="s">
        <v>1516</v>
      </c>
      <c r="D236" s="43" t="s">
        <v>735</v>
      </c>
      <c r="E236" s="43" t="s">
        <v>14</v>
      </c>
      <c r="F236" s="43">
        <v>700</v>
      </c>
      <c r="G236" s="43">
        <v>0.65</v>
      </c>
      <c r="H236" s="43">
        <f t="shared" si="6"/>
        <v>455</v>
      </c>
      <c r="I236" s="43" t="s">
        <v>19</v>
      </c>
      <c r="J236" s="43"/>
      <c r="K236" s="43"/>
    </row>
    <row r="237" spans="1:11">
      <c r="A237" s="41">
        <v>45813</v>
      </c>
      <c r="B237" s="43" t="s">
        <v>889</v>
      </c>
      <c r="C237" s="43" t="s">
        <v>1517</v>
      </c>
      <c r="D237" s="43" t="s">
        <v>277</v>
      </c>
      <c r="E237" s="43" t="s">
        <v>14</v>
      </c>
      <c r="F237" s="43">
        <v>32000</v>
      </c>
      <c r="G237" s="43">
        <v>0.9</v>
      </c>
      <c r="H237" s="43">
        <f t="shared" si="6"/>
        <v>28800</v>
      </c>
      <c r="I237" s="43" t="s">
        <v>61</v>
      </c>
      <c r="J237" s="43" t="s">
        <v>46</v>
      </c>
      <c r="K237" s="43"/>
    </row>
    <row r="238" spans="1:11">
      <c r="A238" s="41">
        <v>45815</v>
      </c>
      <c r="B238" s="43" t="s">
        <v>889</v>
      </c>
      <c r="C238" s="43" t="s">
        <v>1518</v>
      </c>
      <c r="D238" s="43" t="s">
        <v>277</v>
      </c>
      <c r="E238" s="43" t="s">
        <v>14</v>
      </c>
      <c r="F238" s="43">
        <v>34500</v>
      </c>
      <c r="G238" s="43">
        <v>0.9</v>
      </c>
      <c r="H238" s="43">
        <f t="shared" si="6"/>
        <v>31050</v>
      </c>
      <c r="I238" s="43" t="s">
        <v>271</v>
      </c>
      <c r="J238" s="43" t="s">
        <v>46</v>
      </c>
      <c r="K238" s="43"/>
    </row>
    <row r="239" spans="1:11">
      <c r="A239" s="41">
        <v>45815</v>
      </c>
      <c r="B239" s="43" t="s">
        <v>889</v>
      </c>
      <c r="C239" s="43" t="s">
        <v>1518</v>
      </c>
      <c r="D239" s="43" t="s">
        <v>47</v>
      </c>
      <c r="E239" s="43" t="s">
        <v>14</v>
      </c>
      <c r="F239" s="43">
        <v>10083</v>
      </c>
      <c r="G239" s="43">
        <v>0.85</v>
      </c>
      <c r="H239" s="43">
        <f t="shared" si="6"/>
        <v>8570.55</v>
      </c>
      <c r="I239" s="43" t="s">
        <v>117</v>
      </c>
      <c r="J239" s="43" t="s">
        <v>46</v>
      </c>
      <c r="K239" s="43"/>
    </row>
    <row r="240" spans="1:11">
      <c r="A240" s="41">
        <v>45829</v>
      </c>
      <c r="B240" s="43" t="s">
        <v>889</v>
      </c>
      <c r="C240" s="43" t="s">
        <v>1519</v>
      </c>
      <c r="D240" s="43" t="s">
        <v>735</v>
      </c>
      <c r="E240" s="43" t="s">
        <v>99</v>
      </c>
      <c r="F240" s="43">
        <v>35</v>
      </c>
      <c r="G240" s="43">
        <v>0.95</v>
      </c>
      <c r="H240" s="43">
        <f t="shared" si="6"/>
        <v>33.25</v>
      </c>
      <c r="I240" s="43" t="s">
        <v>28</v>
      </c>
      <c r="J240" s="43"/>
      <c r="K240" s="43"/>
    </row>
    <row r="241" spans="1:11">
      <c r="A241" s="41">
        <v>45820</v>
      </c>
      <c r="B241" s="43" t="s">
        <v>889</v>
      </c>
      <c r="C241" s="43" t="s">
        <v>1520</v>
      </c>
      <c r="D241" s="43" t="s">
        <v>277</v>
      </c>
      <c r="E241" s="43" t="s">
        <v>14</v>
      </c>
      <c r="F241" s="43">
        <v>15000</v>
      </c>
      <c r="G241" s="43">
        <v>0.9</v>
      </c>
      <c r="H241" s="43">
        <f t="shared" si="6"/>
        <v>13500</v>
      </c>
      <c r="I241" s="43" t="s">
        <v>61</v>
      </c>
      <c r="J241" s="43" t="s">
        <v>46</v>
      </c>
      <c r="K241" s="43"/>
    </row>
    <row r="242" spans="1:11">
      <c r="A242" s="41">
        <v>45825</v>
      </c>
      <c r="B242" s="43" t="s">
        <v>889</v>
      </c>
      <c r="C242" s="43" t="s">
        <v>1521</v>
      </c>
      <c r="D242" s="43" t="s">
        <v>201</v>
      </c>
      <c r="E242" s="43" t="s">
        <v>14</v>
      </c>
      <c r="F242" s="43">
        <v>2023</v>
      </c>
      <c r="G242" s="43">
        <v>0.85</v>
      </c>
      <c r="H242" s="43">
        <f t="shared" si="6"/>
        <v>1719.55</v>
      </c>
      <c r="I242" s="43" t="s">
        <v>133</v>
      </c>
      <c r="J242" s="43" t="s">
        <v>46</v>
      </c>
      <c r="K242" s="43"/>
    </row>
    <row r="243" spans="1:11">
      <c r="A243" s="41">
        <v>45835</v>
      </c>
      <c r="B243" s="43" t="s">
        <v>889</v>
      </c>
      <c r="C243" s="43" t="s">
        <v>1522</v>
      </c>
      <c r="D243" s="43" t="s">
        <v>277</v>
      </c>
      <c r="E243" s="43" t="s">
        <v>14</v>
      </c>
      <c r="F243" s="43">
        <v>4267</v>
      </c>
      <c r="G243" s="43">
        <v>0.9</v>
      </c>
      <c r="H243" s="43">
        <f t="shared" si="6"/>
        <v>3840.3</v>
      </c>
      <c r="I243" s="43" t="s">
        <v>271</v>
      </c>
      <c r="J243" s="43"/>
      <c r="K243" s="43"/>
    </row>
    <row r="244" spans="1:11">
      <c r="A244" s="41">
        <v>45836</v>
      </c>
      <c r="B244" s="43" t="s">
        <v>889</v>
      </c>
      <c r="C244" s="43" t="s">
        <v>1523</v>
      </c>
      <c r="D244" s="43" t="s">
        <v>1524</v>
      </c>
      <c r="E244" s="43" t="s">
        <v>14</v>
      </c>
      <c r="F244" s="43">
        <v>1200</v>
      </c>
      <c r="G244" s="43">
        <v>0.6</v>
      </c>
      <c r="H244" s="43">
        <f t="shared" si="6"/>
        <v>720</v>
      </c>
      <c r="I244" s="43" t="s">
        <v>982</v>
      </c>
      <c r="J244" s="43"/>
      <c r="K244" s="43"/>
    </row>
    <row r="245" spans="1:11">
      <c r="A245" s="41">
        <v>45815</v>
      </c>
      <c r="B245" s="43" t="s">
        <v>1525</v>
      </c>
      <c r="C245" s="43"/>
      <c r="D245" s="43" t="s">
        <v>1526</v>
      </c>
      <c r="E245" s="43" t="s">
        <v>14</v>
      </c>
      <c r="F245" s="43">
        <v>8000</v>
      </c>
      <c r="G245" s="43">
        <v>0.46</v>
      </c>
      <c r="H245" s="43">
        <f t="shared" si="6"/>
        <v>3680</v>
      </c>
      <c r="I245" s="43" t="s">
        <v>330</v>
      </c>
      <c r="J245" s="43" t="s">
        <v>46</v>
      </c>
      <c r="K245" s="43"/>
    </row>
    <row r="246" spans="1:11">
      <c r="A246" s="41">
        <v>45828</v>
      </c>
      <c r="B246" s="43" t="s">
        <v>1525</v>
      </c>
      <c r="C246" s="43"/>
      <c r="D246" s="43" t="s">
        <v>259</v>
      </c>
      <c r="E246" s="43" t="s">
        <v>14</v>
      </c>
      <c r="F246" s="43">
        <v>50000</v>
      </c>
      <c r="G246" s="43">
        <v>0.55</v>
      </c>
      <c r="H246" s="43">
        <f t="shared" si="6"/>
        <v>27500</v>
      </c>
      <c r="I246" s="43" t="s">
        <v>65</v>
      </c>
      <c r="J246" s="43" t="s">
        <v>46</v>
      </c>
      <c r="K246" s="43"/>
    </row>
    <row r="247" spans="1:11">
      <c r="A247" s="41">
        <v>45822</v>
      </c>
      <c r="B247" s="43" t="s">
        <v>82</v>
      </c>
      <c r="C247" s="43"/>
      <c r="D247" s="43" t="s">
        <v>1527</v>
      </c>
      <c r="E247" s="43" t="s">
        <v>14</v>
      </c>
      <c r="F247" s="45">
        <v>2150</v>
      </c>
      <c r="G247" s="45">
        <v>1.2</v>
      </c>
      <c r="H247" s="43">
        <f t="shared" si="6"/>
        <v>2580</v>
      </c>
      <c r="I247" s="43" t="s">
        <v>45</v>
      </c>
      <c r="J247" s="43"/>
      <c r="K247" s="43"/>
    </row>
    <row r="248" spans="1:11">
      <c r="A248" s="41">
        <v>45822</v>
      </c>
      <c r="B248" s="43" t="s">
        <v>82</v>
      </c>
      <c r="C248" s="43"/>
      <c r="D248" s="43" t="s">
        <v>1528</v>
      </c>
      <c r="E248" s="43" t="s">
        <v>361</v>
      </c>
      <c r="F248" s="45">
        <v>589</v>
      </c>
      <c r="G248" s="45">
        <v>1.42</v>
      </c>
      <c r="H248" s="43">
        <f t="shared" si="6"/>
        <v>836.38</v>
      </c>
      <c r="I248" s="43" t="s">
        <v>1465</v>
      </c>
      <c r="J248" s="43" t="s">
        <v>369</v>
      </c>
      <c r="K248" s="43"/>
    </row>
    <row r="249" spans="1:11">
      <c r="A249" s="41">
        <v>45828</v>
      </c>
      <c r="B249" s="43" t="s">
        <v>82</v>
      </c>
      <c r="C249" s="43"/>
      <c r="D249" s="43" t="s">
        <v>399</v>
      </c>
      <c r="E249" s="43" t="s">
        <v>14</v>
      </c>
      <c r="F249" s="45">
        <v>1200</v>
      </c>
      <c r="G249" s="45">
        <v>1.2</v>
      </c>
      <c r="H249" s="43">
        <f t="shared" si="6"/>
        <v>1440</v>
      </c>
      <c r="I249" s="43" t="s">
        <v>300</v>
      </c>
      <c r="J249" s="43"/>
      <c r="K249" s="43"/>
    </row>
    <row r="250" spans="1:11">
      <c r="A250" s="41">
        <v>45828</v>
      </c>
      <c r="B250" s="43" t="s">
        <v>82</v>
      </c>
      <c r="C250" s="43"/>
      <c r="D250" s="43" t="s">
        <v>680</v>
      </c>
      <c r="E250" s="43" t="s">
        <v>14</v>
      </c>
      <c r="F250" s="45">
        <v>120</v>
      </c>
      <c r="G250" s="45">
        <v>1.1</v>
      </c>
      <c r="H250" s="43">
        <f t="shared" si="6"/>
        <v>132</v>
      </c>
      <c r="I250" s="43" t="s">
        <v>271</v>
      </c>
      <c r="J250" s="43"/>
      <c r="K250" s="43"/>
    </row>
    <row r="251" spans="1:11">
      <c r="A251" s="41">
        <v>45838</v>
      </c>
      <c r="B251" s="43" t="s">
        <v>82</v>
      </c>
      <c r="C251" s="43"/>
      <c r="D251" s="43" t="s">
        <v>680</v>
      </c>
      <c r="E251" s="43" t="s">
        <v>14</v>
      </c>
      <c r="F251" s="45">
        <v>10000</v>
      </c>
      <c r="G251" s="45">
        <v>1.1</v>
      </c>
      <c r="H251" s="43">
        <f t="shared" si="6"/>
        <v>11000</v>
      </c>
      <c r="I251" s="43" t="s">
        <v>271</v>
      </c>
      <c r="J251" s="43" t="s">
        <v>46</v>
      </c>
      <c r="K251" s="43"/>
    </row>
    <row r="252" spans="1:11">
      <c r="A252" s="41">
        <v>45821</v>
      </c>
      <c r="B252" s="43" t="s">
        <v>184</v>
      </c>
      <c r="C252" s="43" t="s">
        <v>1529</v>
      </c>
      <c r="D252" s="43" t="s">
        <v>1530</v>
      </c>
      <c r="E252" s="43" t="s">
        <v>14</v>
      </c>
      <c r="F252" s="42">
        <v>15</v>
      </c>
      <c r="G252" s="42">
        <v>1.1</v>
      </c>
      <c r="H252" s="45">
        <f t="shared" ref="H252:H272" si="7">F252*G252</f>
        <v>16.5</v>
      </c>
      <c r="I252" s="43" t="s">
        <v>89</v>
      </c>
      <c r="J252" s="43"/>
      <c r="K252" s="43"/>
    </row>
    <row r="253" spans="1:11">
      <c r="A253" s="41">
        <v>45822</v>
      </c>
      <c r="B253" s="43" t="s">
        <v>184</v>
      </c>
      <c r="C253" s="43" t="s">
        <v>1531</v>
      </c>
      <c r="D253" s="43" t="s">
        <v>38</v>
      </c>
      <c r="E253" s="43" t="s">
        <v>14</v>
      </c>
      <c r="F253" s="42">
        <v>10000</v>
      </c>
      <c r="G253" s="42">
        <v>1.35</v>
      </c>
      <c r="H253" s="45">
        <f t="shared" si="7"/>
        <v>13500</v>
      </c>
      <c r="I253" s="43" t="s">
        <v>1532</v>
      </c>
      <c r="J253" s="43" t="s">
        <v>46</v>
      </c>
      <c r="K253" s="43"/>
    </row>
    <row r="254" spans="1:11">
      <c r="A254" s="41">
        <v>45825</v>
      </c>
      <c r="B254" s="43" t="s">
        <v>184</v>
      </c>
      <c r="C254" s="43" t="s">
        <v>1533</v>
      </c>
      <c r="D254" s="43" t="s">
        <v>30</v>
      </c>
      <c r="E254" s="43" t="s">
        <v>14</v>
      </c>
      <c r="F254" s="42">
        <v>165</v>
      </c>
      <c r="G254" s="42">
        <v>2.2</v>
      </c>
      <c r="H254" s="45">
        <f t="shared" si="7"/>
        <v>363</v>
      </c>
      <c r="I254" s="43" t="s">
        <v>1534</v>
      </c>
      <c r="J254" s="43"/>
      <c r="K254" s="43"/>
    </row>
    <row r="255" spans="1:11">
      <c r="A255" s="41">
        <v>45825</v>
      </c>
      <c r="B255" s="43" t="s">
        <v>184</v>
      </c>
      <c r="C255" s="43" t="s">
        <v>1533</v>
      </c>
      <c r="D255" s="43" t="s">
        <v>1188</v>
      </c>
      <c r="E255" s="43" t="s">
        <v>14</v>
      </c>
      <c r="F255" s="42">
        <v>15</v>
      </c>
      <c r="G255" s="42">
        <v>1.1</v>
      </c>
      <c r="H255" s="45">
        <f t="shared" si="7"/>
        <v>16.5</v>
      </c>
      <c r="I255" s="43" t="s">
        <v>805</v>
      </c>
      <c r="J255" s="43"/>
      <c r="K255" s="43"/>
    </row>
    <row r="256" spans="1:11">
      <c r="A256" s="41">
        <v>45825</v>
      </c>
      <c r="B256" s="43" t="s">
        <v>184</v>
      </c>
      <c r="C256" s="43" t="s">
        <v>1535</v>
      </c>
      <c r="D256" s="43" t="s">
        <v>1224</v>
      </c>
      <c r="E256" s="43" t="s">
        <v>14</v>
      </c>
      <c r="F256" s="42">
        <v>1020</v>
      </c>
      <c r="G256" s="42">
        <v>1.25</v>
      </c>
      <c r="H256" s="45">
        <f t="shared" si="7"/>
        <v>1275</v>
      </c>
      <c r="I256" s="43" t="s">
        <v>570</v>
      </c>
      <c r="J256" s="43" t="s">
        <v>46</v>
      </c>
      <c r="K256" s="43"/>
    </row>
    <row r="257" spans="1:11">
      <c r="A257" s="41">
        <v>45825</v>
      </c>
      <c r="B257" s="43" t="s">
        <v>184</v>
      </c>
      <c r="C257" s="43" t="s">
        <v>1535</v>
      </c>
      <c r="D257" s="43" t="s">
        <v>13</v>
      </c>
      <c r="E257" s="43" t="s">
        <v>14</v>
      </c>
      <c r="F257" s="42">
        <v>2000</v>
      </c>
      <c r="G257" s="42">
        <v>1.59</v>
      </c>
      <c r="H257" s="45">
        <f t="shared" si="7"/>
        <v>3180</v>
      </c>
      <c r="I257" s="43" t="s">
        <v>1116</v>
      </c>
      <c r="J257" s="43" t="s">
        <v>46</v>
      </c>
      <c r="K257" s="43"/>
    </row>
    <row r="258" spans="1:11">
      <c r="A258" s="41">
        <v>45826</v>
      </c>
      <c r="B258" s="43" t="s">
        <v>184</v>
      </c>
      <c r="C258" s="43" t="s">
        <v>1536</v>
      </c>
      <c r="D258" s="43" t="s">
        <v>188</v>
      </c>
      <c r="E258" s="43" t="s">
        <v>14</v>
      </c>
      <c r="F258" s="42">
        <v>5000</v>
      </c>
      <c r="G258" s="42">
        <v>1.17</v>
      </c>
      <c r="H258" s="45">
        <f t="shared" si="7"/>
        <v>5850</v>
      </c>
      <c r="I258" s="43" t="s">
        <v>189</v>
      </c>
      <c r="J258" s="43" t="s">
        <v>46</v>
      </c>
      <c r="K258" s="43"/>
    </row>
    <row r="259" spans="1:11">
      <c r="A259" s="41">
        <v>45828</v>
      </c>
      <c r="B259" s="43" t="s">
        <v>184</v>
      </c>
      <c r="C259" s="43" t="s">
        <v>1537</v>
      </c>
      <c r="D259" s="43" t="s">
        <v>21</v>
      </c>
      <c r="E259" s="43" t="s">
        <v>14</v>
      </c>
      <c r="F259" s="42">
        <v>110</v>
      </c>
      <c r="G259" s="42">
        <v>1.15</v>
      </c>
      <c r="H259" s="45">
        <f t="shared" si="7"/>
        <v>126.5</v>
      </c>
      <c r="I259" s="43" t="s">
        <v>1429</v>
      </c>
      <c r="J259" s="43"/>
      <c r="K259" s="43"/>
    </row>
    <row r="260" spans="1:11">
      <c r="A260" s="41">
        <v>45828</v>
      </c>
      <c r="B260" s="43" t="s">
        <v>184</v>
      </c>
      <c r="C260" s="43" t="s">
        <v>1538</v>
      </c>
      <c r="D260" s="43" t="s">
        <v>325</v>
      </c>
      <c r="E260" s="43" t="s">
        <v>14</v>
      </c>
      <c r="F260" s="42">
        <v>3070</v>
      </c>
      <c r="G260" s="42">
        <v>1.27</v>
      </c>
      <c r="H260" s="45">
        <f t="shared" si="7"/>
        <v>3898.9</v>
      </c>
      <c r="I260" s="43" t="s">
        <v>363</v>
      </c>
      <c r="J260" s="43" t="s">
        <v>46</v>
      </c>
      <c r="K260" s="43"/>
    </row>
    <row r="261" spans="1:11">
      <c r="A261" s="41">
        <v>45828</v>
      </c>
      <c r="B261" s="43" t="s">
        <v>184</v>
      </c>
      <c r="C261" s="43" t="s">
        <v>1538</v>
      </c>
      <c r="D261" s="43" t="s">
        <v>399</v>
      </c>
      <c r="E261" s="43" t="s">
        <v>14</v>
      </c>
      <c r="F261" s="42">
        <v>5000</v>
      </c>
      <c r="G261" s="42">
        <v>1.2</v>
      </c>
      <c r="H261" s="45">
        <f t="shared" si="7"/>
        <v>6000</v>
      </c>
      <c r="I261" s="43" t="s">
        <v>278</v>
      </c>
      <c r="J261" s="43" t="s">
        <v>46</v>
      </c>
      <c r="K261" s="43"/>
    </row>
    <row r="262" spans="1:11">
      <c r="A262" s="41">
        <v>45828</v>
      </c>
      <c r="B262" s="43" t="s">
        <v>184</v>
      </c>
      <c r="C262" s="43" t="s">
        <v>1538</v>
      </c>
      <c r="D262" s="43" t="s">
        <v>390</v>
      </c>
      <c r="E262" s="43" t="s">
        <v>14</v>
      </c>
      <c r="F262" s="42">
        <v>5000</v>
      </c>
      <c r="G262" s="42">
        <v>1.27</v>
      </c>
      <c r="H262" s="45">
        <f t="shared" si="7"/>
        <v>6350</v>
      </c>
      <c r="I262" s="43" t="s">
        <v>300</v>
      </c>
      <c r="J262" s="43" t="s">
        <v>46</v>
      </c>
      <c r="K262" s="43"/>
    </row>
    <row r="263" spans="1:11">
      <c r="A263" s="41">
        <v>45828</v>
      </c>
      <c r="B263" s="43" t="s">
        <v>184</v>
      </c>
      <c r="C263" s="43" t="s">
        <v>1538</v>
      </c>
      <c r="D263" s="43" t="s">
        <v>946</v>
      </c>
      <c r="E263" s="43" t="s">
        <v>14</v>
      </c>
      <c r="F263" s="42">
        <v>7021</v>
      </c>
      <c r="G263" s="42">
        <v>2.7</v>
      </c>
      <c r="H263" s="43">
        <f t="shared" si="7"/>
        <v>18956.7</v>
      </c>
      <c r="I263" s="43" t="s">
        <v>396</v>
      </c>
      <c r="J263" s="43" t="s">
        <v>46</v>
      </c>
      <c r="K263" s="43"/>
    </row>
    <row r="264" spans="1:11">
      <c r="A264" s="41">
        <v>45830</v>
      </c>
      <c r="B264" s="43" t="s">
        <v>184</v>
      </c>
      <c r="C264" s="43" t="s">
        <v>1539</v>
      </c>
      <c r="D264" s="43" t="s">
        <v>762</v>
      </c>
      <c r="E264" s="43" t="s">
        <v>14</v>
      </c>
      <c r="F264" s="42">
        <v>410</v>
      </c>
      <c r="G264" s="42">
        <v>1.25</v>
      </c>
      <c r="H264" s="43">
        <f t="shared" si="7"/>
        <v>512.5</v>
      </c>
      <c r="I264" s="43" t="s">
        <v>1540</v>
      </c>
      <c r="J264" s="43"/>
      <c r="K264" s="43"/>
    </row>
    <row r="265" spans="1:11">
      <c r="A265" s="41">
        <v>45830</v>
      </c>
      <c r="B265" s="43" t="s">
        <v>184</v>
      </c>
      <c r="C265" s="43" t="s">
        <v>1539</v>
      </c>
      <c r="D265" s="43" t="s">
        <v>851</v>
      </c>
      <c r="E265" s="43" t="s">
        <v>14</v>
      </c>
      <c r="F265" s="42">
        <v>1560</v>
      </c>
      <c r="G265" s="42">
        <v>1.7</v>
      </c>
      <c r="H265" s="43">
        <f t="shared" si="7"/>
        <v>2652</v>
      </c>
      <c r="I265" s="43" t="s">
        <v>406</v>
      </c>
      <c r="J265" s="43"/>
      <c r="K265" s="43"/>
    </row>
    <row r="266" spans="1:11">
      <c r="A266" s="41">
        <v>45832</v>
      </c>
      <c r="B266" s="43" t="s">
        <v>184</v>
      </c>
      <c r="C266" s="43" t="s">
        <v>1541</v>
      </c>
      <c r="D266" s="43" t="s">
        <v>696</v>
      </c>
      <c r="E266" s="43" t="s">
        <v>14</v>
      </c>
      <c r="F266" s="43">
        <v>3050</v>
      </c>
      <c r="G266" s="43">
        <v>1.25</v>
      </c>
      <c r="H266" s="43">
        <f t="shared" si="7"/>
        <v>3812.5</v>
      </c>
      <c r="I266" s="43" t="s">
        <v>999</v>
      </c>
      <c r="J266" s="43" t="s">
        <v>46</v>
      </c>
      <c r="K266" s="43"/>
    </row>
    <row r="267" spans="1:11">
      <c r="A267" s="41">
        <v>45830</v>
      </c>
      <c r="B267" s="43" t="s">
        <v>184</v>
      </c>
      <c r="C267" s="43" t="s">
        <v>1539</v>
      </c>
      <c r="D267" s="43" t="s">
        <v>389</v>
      </c>
      <c r="E267" s="43" t="s">
        <v>14</v>
      </c>
      <c r="F267" s="42">
        <v>10</v>
      </c>
      <c r="G267" s="42">
        <v>1.45</v>
      </c>
      <c r="H267" s="43">
        <f t="shared" si="7"/>
        <v>14.5</v>
      </c>
      <c r="I267" s="43" t="s">
        <v>1429</v>
      </c>
      <c r="J267" s="43"/>
      <c r="K267" s="43"/>
    </row>
    <row r="268" spans="1:11">
      <c r="A268" s="41">
        <v>45833</v>
      </c>
      <c r="B268" s="43" t="s">
        <v>184</v>
      </c>
      <c r="C268" s="43" t="s">
        <v>1542</v>
      </c>
      <c r="D268" s="43" t="s">
        <v>27</v>
      </c>
      <c r="E268" s="43" t="s">
        <v>14</v>
      </c>
      <c r="F268" s="45">
        <v>12550</v>
      </c>
      <c r="G268" s="45">
        <v>1.8</v>
      </c>
      <c r="H268" s="43">
        <f t="shared" si="7"/>
        <v>22590</v>
      </c>
      <c r="I268" s="43" t="s">
        <v>982</v>
      </c>
      <c r="J268" s="43" t="s">
        <v>46</v>
      </c>
      <c r="K268" s="43"/>
    </row>
    <row r="269" spans="1:11">
      <c r="A269" s="41">
        <v>45834</v>
      </c>
      <c r="B269" s="43" t="s">
        <v>184</v>
      </c>
      <c r="C269" s="43" t="s">
        <v>1543</v>
      </c>
      <c r="D269" s="43" t="s">
        <v>576</v>
      </c>
      <c r="E269" s="43" t="s">
        <v>14</v>
      </c>
      <c r="F269" s="45">
        <v>3050</v>
      </c>
      <c r="G269" s="45">
        <v>1.5</v>
      </c>
      <c r="H269" s="43">
        <f t="shared" si="7"/>
        <v>4575</v>
      </c>
      <c r="I269" s="43" t="s">
        <v>1544</v>
      </c>
      <c r="J269" s="43" t="s">
        <v>46</v>
      </c>
      <c r="K269" s="43"/>
    </row>
    <row r="270" spans="1:11">
      <c r="A270" s="41">
        <v>45834</v>
      </c>
      <c r="B270" s="43" t="s">
        <v>184</v>
      </c>
      <c r="C270" s="43" t="s">
        <v>1543</v>
      </c>
      <c r="D270" s="43" t="s">
        <v>1545</v>
      </c>
      <c r="E270" s="43" t="s">
        <v>14</v>
      </c>
      <c r="F270" s="45">
        <v>10150</v>
      </c>
      <c r="G270" s="45">
        <v>1.16</v>
      </c>
      <c r="H270" s="43">
        <f t="shared" si="7"/>
        <v>11774</v>
      </c>
      <c r="I270" s="43" t="s">
        <v>1546</v>
      </c>
      <c r="J270" s="43" t="s">
        <v>46</v>
      </c>
      <c r="K270" s="43"/>
    </row>
    <row r="271" spans="1:11">
      <c r="A271" s="41">
        <v>45836</v>
      </c>
      <c r="B271" s="43" t="s">
        <v>184</v>
      </c>
      <c r="C271" s="43" t="s">
        <v>1547</v>
      </c>
      <c r="D271" s="43" t="s">
        <v>823</v>
      </c>
      <c r="E271" s="43" t="s">
        <v>14</v>
      </c>
      <c r="F271" s="45">
        <v>20000</v>
      </c>
      <c r="G271" s="45">
        <v>1.48</v>
      </c>
      <c r="H271" s="43">
        <f t="shared" si="7"/>
        <v>29600</v>
      </c>
      <c r="I271" s="43" t="s">
        <v>271</v>
      </c>
      <c r="J271" s="43" t="s">
        <v>46</v>
      </c>
      <c r="K271" s="43"/>
    </row>
    <row r="272" spans="1:11">
      <c r="A272" s="41">
        <v>45838</v>
      </c>
      <c r="B272" s="43" t="s">
        <v>184</v>
      </c>
      <c r="C272" s="43" t="s">
        <v>1548</v>
      </c>
      <c r="D272" s="43" t="s">
        <v>38</v>
      </c>
      <c r="E272" s="43" t="s">
        <v>14</v>
      </c>
      <c r="F272" s="45">
        <v>1100</v>
      </c>
      <c r="G272" s="45">
        <v>1.35</v>
      </c>
      <c r="H272" s="43">
        <f t="shared" si="7"/>
        <v>1485</v>
      </c>
      <c r="I272" s="43" t="s">
        <v>78</v>
      </c>
      <c r="J272" s="43" t="s">
        <v>46</v>
      </c>
      <c r="K272" s="43"/>
    </row>
    <row r="273" spans="1:11">
      <c r="A273" s="44">
        <v>45821</v>
      </c>
      <c r="B273" s="45" t="s">
        <v>969</v>
      </c>
      <c r="C273" s="45"/>
      <c r="D273" s="45" t="s">
        <v>115</v>
      </c>
      <c r="E273" s="45" t="s">
        <v>123</v>
      </c>
      <c r="F273" s="45">
        <v>125</v>
      </c>
      <c r="G273" s="45">
        <v>0.53</v>
      </c>
      <c r="H273" s="45">
        <f t="shared" ref="H273:H289" si="8">F273*G273</f>
        <v>66.25</v>
      </c>
      <c r="I273" s="45" t="s">
        <v>805</v>
      </c>
      <c r="J273" s="43"/>
      <c r="K273" s="43"/>
    </row>
    <row r="274" spans="1:11">
      <c r="A274" s="44">
        <v>45821</v>
      </c>
      <c r="B274" s="45" t="s">
        <v>969</v>
      </c>
      <c r="C274" s="45"/>
      <c r="D274" s="45" t="s">
        <v>115</v>
      </c>
      <c r="E274" s="45" t="s">
        <v>60</v>
      </c>
      <c r="F274" s="45">
        <v>6050</v>
      </c>
      <c r="G274" s="45">
        <v>0.5</v>
      </c>
      <c r="H274" s="45">
        <f t="shared" si="8"/>
        <v>3025</v>
      </c>
      <c r="I274" s="45" t="s">
        <v>432</v>
      </c>
      <c r="J274" s="43"/>
      <c r="K274" s="43"/>
    </row>
    <row r="275" spans="1:11">
      <c r="A275" s="44"/>
      <c r="B275" s="45" t="s">
        <v>969</v>
      </c>
      <c r="C275" s="45"/>
      <c r="D275" s="45" t="s">
        <v>59</v>
      </c>
      <c r="E275" s="45" t="s">
        <v>123</v>
      </c>
      <c r="F275" s="45">
        <v>300</v>
      </c>
      <c r="G275" s="45">
        <v>0.54</v>
      </c>
      <c r="H275" s="45">
        <f t="shared" si="8"/>
        <v>162</v>
      </c>
      <c r="I275" s="45" t="s">
        <v>35</v>
      </c>
      <c r="J275" s="43"/>
      <c r="K275" s="43"/>
    </row>
    <row r="276" spans="1:11">
      <c r="A276" s="41">
        <v>45813</v>
      </c>
      <c r="B276" s="43" t="s">
        <v>906</v>
      </c>
      <c r="C276" s="43" t="s">
        <v>1549</v>
      </c>
      <c r="D276" s="43" t="s">
        <v>1550</v>
      </c>
      <c r="E276" s="43" t="s">
        <v>461</v>
      </c>
      <c r="F276" s="43">
        <v>50000</v>
      </c>
      <c r="G276" s="43">
        <v>0.18</v>
      </c>
      <c r="H276" s="43">
        <f t="shared" si="8"/>
        <v>9000</v>
      </c>
      <c r="I276" s="43" t="s">
        <v>126</v>
      </c>
      <c r="J276" s="43" t="s">
        <v>46</v>
      </c>
      <c r="K276" s="43"/>
    </row>
    <row r="277" spans="1:11">
      <c r="A277" s="41">
        <v>45814</v>
      </c>
      <c r="B277" s="43" t="s">
        <v>1551</v>
      </c>
      <c r="C277" s="43" t="s">
        <v>1552</v>
      </c>
      <c r="D277" s="43" t="s">
        <v>465</v>
      </c>
      <c r="E277" s="43" t="s">
        <v>461</v>
      </c>
      <c r="F277" s="45">
        <v>80000</v>
      </c>
      <c r="G277" s="45">
        <v>0.16</v>
      </c>
      <c r="H277" s="43">
        <f t="shared" si="8"/>
        <v>12800</v>
      </c>
      <c r="I277" s="43" t="s">
        <v>61</v>
      </c>
      <c r="J277" s="43" t="s">
        <v>46</v>
      </c>
      <c r="K277" s="43"/>
    </row>
    <row r="278" spans="1:11">
      <c r="A278" s="41">
        <v>45814</v>
      </c>
      <c r="B278" s="43" t="s">
        <v>1551</v>
      </c>
      <c r="C278" s="43" t="s">
        <v>1552</v>
      </c>
      <c r="D278" s="43" t="s">
        <v>460</v>
      </c>
      <c r="E278" s="43" t="s">
        <v>461</v>
      </c>
      <c r="F278" s="45">
        <v>80000</v>
      </c>
      <c r="G278" s="45">
        <v>0.16</v>
      </c>
      <c r="H278" s="43">
        <f t="shared" si="8"/>
        <v>12800</v>
      </c>
      <c r="I278" s="43" t="s">
        <v>126</v>
      </c>
      <c r="J278" s="43" t="s">
        <v>46</v>
      </c>
      <c r="K278" s="43"/>
    </row>
    <row r="279" spans="1:11">
      <c r="A279" s="41">
        <v>45814</v>
      </c>
      <c r="B279" s="43" t="s">
        <v>1551</v>
      </c>
      <c r="C279" s="43" t="s">
        <v>1552</v>
      </c>
      <c r="D279" s="43" t="s">
        <v>1553</v>
      </c>
      <c r="E279" s="43" t="s">
        <v>158</v>
      </c>
      <c r="F279" s="45">
        <v>20000</v>
      </c>
      <c r="G279" s="45">
        <v>0.28</v>
      </c>
      <c r="H279" s="43">
        <f t="shared" si="8"/>
        <v>5600</v>
      </c>
      <c r="I279" s="43" t="s">
        <v>432</v>
      </c>
      <c r="J279" s="43" t="s">
        <v>46</v>
      </c>
      <c r="K279" s="43"/>
    </row>
    <row r="280" spans="1:11">
      <c r="A280" s="41">
        <v>45816</v>
      </c>
      <c r="B280" s="43" t="s">
        <v>1551</v>
      </c>
      <c r="C280" s="43" t="s">
        <v>1554</v>
      </c>
      <c r="D280" s="43" t="s">
        <v>1076</v>
      </c>
      <c r="E280" s="43" t="s">
        <v>158</v>
      </c>
      <c r="F280" s="45">
        <v>20000</v>
      </c>
      <c r="G280" s="45">
        <v>0.17</v>
      </c>
      <c r="H280" s="43">
        <f t="shared" si="8"/>
        <v>3400</v>
      </c>
      <c r="I280" s="43" t="s">
        <v>61</v>
      </c>
      <c r="J280" s="43" t="s">
        <v>46</v>
      </c>
      <c r="K280" s="43"/>
    </row>
    <row r="281" spans="1:11">
      <c r="A281" s="41">
        <v>45820</v>
      </c>
      <c r="B281" s="43" t="s">
        <v>1551</v>
      </c>
      <c r="C281" s="43" t="s">
        <v>1555</v>
      </c>
      <c r="D281" s="43" t="s">
        <v>1076</v>
      </c>
      <c r="E281" s="43" t="s">
        <v>158</v>
      </c>
      <c r="F281" s="45">
        <v>20000</v>
      </c>
      <c r="G281" s="45">
        <v>0.17</v>
      </c>
      <c r="H281" s="43">
        <f t="shared" si="8"/>
        <v>3400</v>
      </c>
      <c r="I281" s="43" t="s">
        <v>61</v>
      </c>
      <c r="J281" s="43" t="s">
        <v>46</v>
      </c>
      <c r="K281" s="43"/>
    </row>
    <row r="282" s="52" customFormat="1" spans="1:11">
      <c r="A282" s="46">
        <v>45827</v>
      </c>
      <c r="B282" s="42" t="s">
        <v>1551</v>
      </c>
      <c r="C282" s="42" t="s">
        <v>1556</v>
      </c>
      <c r="D282" s="42" t="s">
        <v>1076</v>
      </c>
      <c r="E282" s="42" t="s">
        <v>158</v>
      </c>
      <c r="F282" s="45">
        <v>10000</v>
      </c>
      <c r="G282" s="45">
        <v>0.17</v>
      </c>
      <c r="H282" s="42">
        <f t="shared" si="8"/>
        <v>1700</v>
      </c>
      <c r="I282" s="42" t="s">
        <v>61</v>
      </c>
      <c r="J282" s="42" t="s">
        <v>46</v>
      </c>
      <c r="K282" s="42"/>
    </row>
    <row r="283" s="52" customFormat="1" spans="1:11">
      <c r="A283" s="46">
        <v>45827</v>
      </c>
      <c r="B283" s="42" t="s">
        <v>1551</v>
      </c>
      <c r="C283" s="42" t="s">
        <v>1556</v>
      </c>
      <c r="D283" s="42" t="s">
        <v>669</v>
      </c>
      <c r="E283" s="42" t="s">
        <v>158</v>
      </c>
      <c r="F283" s="45">
        <v>20000</v>
      </c>
      <c r="G283" s="45">
        <v>0.17</v>
      </c>
      <c r="H283" s="42">
        <f t="shared" si="8"/>
        <v>3400</v>
      </c>
      <c r="I283" s="42" t="s">
        <v>61</v>
      </c>
      <c r="J283" s="42" t="s">
        <v>46</v>
      </c>
      <c r="K283" s="42"/>
    </row>
    <row r="284" s="52" customFormat="1" spans="1:11">
      <c r="A284" s="46">
        <v>45827</v>
      </c>
      <c r="B284" s="42" t="s">
        <v>1551</v>
      </c>
      <c r="C284" s="42" t="s">
        <v>1556</v>
      </c>
      <c r="D284" s="42" t="s">
        <v>669</v>
      </c>
      <c r="E284" s="42" t="s">
        <v>158</v>
      </c>
      <c r="F284" s="45">
        <v>10000</v>
      </c>
      <c r="G284" s="45">
        <v>0.17</v>
      </c>
      <c r="H284" s="42">
        <f t="shared" si="8"/>
        <v>1700</v>
      </c>
      <c r="I284" s="42" t="s">
        <v>61</v>
      </c>
      <c r="J284" s="42" t="s">
        <v>46</v>
      </c>
      <c r="K284" s="42"/>
    </row>
    <row r="285" spans="1:11">
      <c r="A285" s="41">
        <v>45833</v>
      </c>
      <c r="B285" s="43" t="s">
        <v>1551</v>
      </c>
      <c r="C285" s="43" t="s">
        <v>1557</v>
      </c>
      <c r="D285" s="43" t="s">
        <v>1099</v>
      </c>
      <c r="E285" s="43" t="s">
        <v>158</v>
      </c>
      <c r="F285" s="45">
        <v>200</v>
      </c>
      <c r="G285" s="45">
        <v>0.42</v>
      </c>
      <c r="H285" s="43">
        <f t="shared" si="8"/>
        <v>84</v>
      </c>
      <c r="I285" s="43" t="s">
        <v>94</v>
      </c>
      <c r="J285" s="43"/>
      <c r="K285" s="43"/>
    </row>
    <row r="286" spans="1:11">
      <c r="A286" s="41">
        <v>45833</v>
      </c>
      <c r="B286" s="43" t="s">
        <v>1551</v>
      </c>
      <c r="C286" s="43" t="s">
        <v>1558</v>
      </c>
      <c r="D286" s="43" t="s">
        <v>1559</v>
      </c>
      <c r="E286" s="43" t="s">
        <v>158</v>
      </c>
      <c r="F286" s="45">
        <v>50000</v>
      </c>
      <c r="G286" s="45">
        <v>0.17</v>
      </c>
      <c r="H286" s="43">
        <f t="shared" si="8"/>
        <v>8500</v>
      </c>
      <c r="I286" s="43" t="s">
        <v>61</v>
      </c>
      <c r="J286" s="43" t="s">
        <v>46</v>
      </c>
      <c r="K286" s="43"/>
    </row>
    <row r="287" spans="1:11">
      <c r="A287" s="41">
        <v>45835</v>
      </c>
      <c r="B287" s="43" t="s">
        <v>1551</v>
      </c>
      <c r="C287" s="43" t="s">
        <v>1560</v>
      </c>
      <c r="D287" s="43" t="s">
        <v>669</v>
      </c>
      <c r="E287" s="43" t="s">
        <v>158</v>
      </c>
      <c r="F287" s="45">
        <v>50000</v>
      </c>
      <c r="G287" s="45">
        <v>0.17</v>
      </c>
      <c r="H287" s="43">
        <f t="shared" si="8"/>
        <v>8500</v>
      </c>
      <c r="I287" s="43" t="s">
        <v>61</v>
      </c>
      <c r="J287" s="43" t="s">
        <v>46</v>
      </c>
      <c r="K287" s="43"/>
    </row>
    <row r="288" spans="1:11">
      <c r="A288" s="41">
        <v>45812</v>
      </c>
      <c r="B288" s="43" t="s">
        <v>138</v>
      </c>
      <c r="C288" s="43">
        <v>2025065</v>
      </c>
      <c r="D288" s="43" t="s">
        <v>59</v>
      </c>
      <c r="E288" s="43" t="s">
        <v>1561</v>
      </c>
      <c r="F288" s="43">
        <v>15000</v>
      </c>
      <c r="G288" s="43">
        <v>0.01</v>
      </c>
      <c r="H288" s="43">
        <f t="shared" si="8"/>
        <v>150</v>
      </c>
      <c r="I288" s="43" t="s">
        <v>982</v>
      </c>
      <c r="J288" s="43"/>
      <c r="K288" s="43"/>
    </row>
    <row r="289" spans="1:11">
      <c r="A289" s="41">
        <v>45812</v>
      </c>
      <c r="B289" s="43" t="s">
        <v>138</v>
      </c>
      <c r="C289" s="43">
        <v>2025065</v>
      </c>
      <c r="D289" s="43" t="s">
        <v>88</v>
      </c>
      <c r="E289" s="43" t="s">
        <v>1562</v>
      </c>
      <c r="F289" s="43">
        <v>15120</v>
      </c>
      <c r="G289" s="43">
        <v>0.025</v>
      </c>
      <c r="H289" s="43">
        <f t="shared" si="8"/>
        <v>378</v>
      </c>
      <c r="I289" s="43" t="s">
        <v>63</v>
      </c>
      <c r="J289" s="43"/>
      <c r="K289" s="43"/>
    </row>
    <row r="290" spans="1:11">
      <c r="A290" s="41">
        <v>45820</v>
      </c>
      <c r="B290" s="43" t="s">
        <v>138</v>
      </c>
      <c r="C290" s="43">
        <v>2025068</v>
      </c>
      <c r="D290" s="43" t="s">
        <v>493</v>
      </c>
      <c r="E290" s="43" t="s">
        <v>1563</v>
      </c>
      <c r="F290" s="43">
        <v>3500</v>
      </c>
      <c r="G290" s="43"/>
      <c r="H290" s="43">
        <v>150</v>
      </c>
      <c r="I290" s="43" t="s">
        <v>1564</v>
      </c>
      <c r="J290" s="43"/>
      <c r="K290" s="43"/>
    </row>
    <row r="291" s="36" customFormat="1" spans="1:11">
      <c r="A291" s="41">
        <v>45821</v>
      </c>
      <c r="B291" s="43" t="s">
        <v>138</v>
      </c>
      <c r="C291" s="43">
        <v>2025069</v>
      </c>
      <c r="D291" s="43" t="s">
        <v>399</v>
      </c>
      <c r="E291" s="43" t="s">
        <v>1565</v>
      </c>
      <c r="F291" s="43">
        <v>10000</v>
      </c>
      <c r="G291" s="43">
        <v>0.015</v>
      </c>
      <c r="H291" s="43">
        <f>F291*G291</f>
        <v>150</v>
      </c>
      <c r="I291" s="43" t="s">
        <v>587</v>
      </c>
      <c r="J291" s="43"/>
      <c r="K291" s="43"/>
    </row>
    <row r="292" s="36" customFormat="1" spans="1:11">
      <c r="A292" s="41">
        <v>45825</v>
      </c>
      <c r="B292" s="43" t="s">
        <v>138</v>
      </c>
      <c r="C292" s="43">
        <v>2025071</v>
      </c>
      <c r="D292" s="43" t="s">
        <v>1524</v>
      </c>
      <c r="E292" s="43" t="s">
        <v>1566</v>
      </c>
      <c r="F292" s="43">
        <v>11000</v>
      </c>
      <c r="G292" s="43"/>
      <c r="H292" s="43">
        <v>150</v>
      </c>
      <c r="I292" s="43" t="s">
        <v>982</v>
      </c>
      <c r="J292" s="43"/>
      <c r="K292" s="43"/>
    </row>
    <row r="293" s="36" customFormat="1" spans="1:11">
      <c r="A293" s="41">
        <v>45825</v>
      </c>
      <c r="B293" s="43" t="s">
        <v>138</v>
      </c>
      <c r="C293" s="43">
        <v>2025071</v>
      </c>
      <c r="D293" s="43" t="s">
        <v>1527</v>
      </c>
      <c r="E293" s="43" t="s">
        <v>1567</v>
      </c>
      <c r="F293" s="43">
        <v>15000</v>
      </c>
      <c r="G293" s="43">
        <v>0.01</v>
      </c>
      <c r="H293" s="43">
        <v>151</v>
      </c>
      <c r="I293" s="43" t="s">
        <v>45</v>
      </c>
      <c r="J293" s="43"/>
      <c r="K293" s="43"/>
    </row>
    <row r="294" s="36" customFormat="1" spans="1:11">
      <c r="A294" s="41">
        <v>45834</v>
      </c>
      <c r="B294" s="43" t="s">
        <v>138</v>
      </c>
      <c r="C294" s="43">
        <v>2025072</v>
      </c>
      <c r="D294" s="43" t="s">
        <v>1568</v>
      </c>
      <c r="E294" s="43" t="s">
        <v>1567</v>
      </c>
      <c r="F294" s="43">
        <v>10500</v>
      </c>
      <c r="G294" s="43"/>
      <c r="H294" s="43">
        <v>150</v>
      </c>
      <c r="I294" s="43" t="s">
        <v>37</v>
      </c>
      <c r="J294" s="43"/>
      <c r="K294" s="43"/>
    </row>
    <row r="295" s="36" customFormat="1" spans="1:11">
      <c r="A295" s="41">
        <v>45834</v>
      </c>
      <c r="B295" s="43" t="s">
        <v>138</v>
      </c>
      <c r="C295" s="43">
        <v>2025072</v>
      </c>
      <c r="D295" s="36" t="s">
        <v>1158</v>
      </c>
      <c r="E295" s="43" t="s">
        <v>1569</v>
      </c>
      <c r="F295" s="43">
        <v>10000</v>
      </c>
      <c r="G295" s="43">
        <v>0.03</v>
      </c>
      <c r="H295" s="43">
        <f>F295*G295</f>
        <v>300</v>
      </c>
      <c r="I295" s="43" t="s">
        <v>45</v>
      </c>
      <c r="J295" s="43"/>
      <c r="K295" s="43"/>
    </row>
    <row r="296" s="36" customFormat="1" spans="1:11">
      <c r="A296" s="41">
        <v>45834</v>
      </c>
      <c r="B296" s="43" t="s">
        <v>138</v>
      </c>
      <c r="C296" s="43">
        <v>2025072</v>
      </c>
      <c r="D296" s="43" t="s">
        <v>560</v>
      </c>
      <c r="E296" s="43" t="s">
        <v>556</v>
      </c>
      <c r="F296" s="43">
        <v>12000</v>
      </c>
      <c r="G296" s="43"/>
      <c r="H296" s="43">
        <v>150</v>
      </c>
      <c r="I296" s="43" t="s">
        <v>45</v>
      </c>
      <c r="J296" s="43"/>
      <c r="K296" s="43"/>
    </row>
    <row r="297" s="36" customFormat="1" spans="1:11">
      <c r="A297" s="41">
        <v>45834</v>
      </c>
      <c r="B297" s="43" t="s">
        <v>138</v>
      </c>
      <c r="C297" s="43">
        <v>2025072</v>
      </c>
      <c r="D297" s="43" t="s">
        <v>1570</v>
      </c>
      <c r="E297" s="43" t="s">
        <v>1571</v>
      </c>
      <c r="F297" s="43">
        <v>410</v>
      </c>
      <c r="G297" s="43"/>
      <c r="H297" s="43">
        <v>150</v>
      </c>
      <c r="I297" s="43" t="s">
        <v>786</v>
      </c>
      <c r="J297" s="43"/>
      <c r="K297" s="43"/>
    </row>
    <row r="298" spans="1:11">
      <c r="A298" s="41">
        <v>45819</v>
      </c>
      <c r="B298" s="43" t="s">
        <v>889</v>
      </c>
      <c r="C298" s="43" t="s">
        <v>1572</v>
      </c>
      <c r="D298" s="43" t="s">
        <v>1524</v>
      </c>
      <c r="E298" s="43" t="s">
        <v>14</v>
      </c>
      <c r="F298" s="43">
        <v>55</v>
      </c>
      <c r="G298" s="43">
        <v>0.6</v>
      </c>
      <c r="H298" s="43">
        <f>F298*G298</f>
        <v>33</v>
      </c>
      <c r="I298" s="43" t="s">
        <v>982</v>
      </c>
      <c r="J298" s="43"/>
      <c r="K298" s="43"/>
    </row>
    <row r="299" spans="1:11">
      <c r="A299" s="41">
        <v>45827</v>
      </c>
      <c r="B299" s="43" t="s">
        <v>889</v>
      </c>
      <c r="C299" s="43" t="s">
        <v>1573</v>
      </c>
      <c r="D299" s="43" t="s">
        <v>713</v>
      </c>
      <c r="E299" s="43" t="s">
        <v>14</v>
      </c>
      <c r="F299" s="43">
        <v>10</v>
      </c>
      <c r="G299" s="43">
        <v>0</v>
      </c>
      <c r="H299" s="43">
        <f>F299*G299</f>
        <v>0</v>
      </c>
      <c r="I299" s="43" t="s">
        <v>32</v>
      </c>
      <c r="J299" s="43"/>
      <c r="K299" s="43"/>
    </row>
    <row r="300" spans="1:11">
      <c r="A300" s="41">
        <v>45818</v>
      </c>
      <c r="B300" s="43" t="s">
        <v>448</v>
      </c>
      <c r="C300" s="43">
        <v>2025060022</v>
      </c>
      <c r="D300" s="43" t="s">
        <v>195</v>
      </c>
      <c r="E300" s="43" t="s">
        <v>60</v>
      </c>
      <c r="F300" s="43">
        <v>900</v>
      </c>
      <c r="G300" s="43">
        <v>0.8</v>
      </c>
      <c r="H300" s="43">
        <f>F300*G300</f>
        <v>720</v>
      </c>
      <c r="I300" s="43" t="s">
        <v>864</v>
      </c>
      <c r="J300" s="43"/>
      <c r="K300" s="43"/>
    </row>
    <row r="301" spans="1:11">
      <c r="A301" s="41">
        <v>45835</v>
      </c>
      <c r="B301" s="43" t="s">
        <v>448</v>
      </c>
      <c r="C301" s="43">
        <v>2025060070</v>
      </c>
      <c r="D301" s="43" t="s">
        <v>59</v>
      </c>
      <c r="E301" s="43" t="s">
        <v>60</v>
      </c>
      <c r="F301" s="43">
        <v>15</v>
      </c>
      <c r="G301" s="43">
        <v>0.6</v>
      </c>
      <c r="H301" s="43">
        <f>F301*G301</f>
        <v>9</v>
      </c>
      <c r="I301" s="43" t="s">
        <v>77</v>
      </c>
      <c r="J301" s="43"/>
      <c r="K301" s="43"/>
    </row>
    <row r="302" spans="1:11">
      <c r="A302" s="41">
        <v>45821</v>
      </c>
      <c r="B302" s="43" t="s">
        <v>879</v>
      </c>
      <c r="C302" s="43" t="s">
        <v>1574</v>
      </c>
      <c r="D302" s="43" t="s">
        <v>881</v>
      </c>
      <c r="E302" s="43" t="s">
        <v>14</v>
      </c>
      <c r="F302" s="43">
        <v>60</v>
      </c>
      <c r="G302" s="43">
        <v>2.2</v>
      </c>
      <c r="H302" s="43">
        <f t="shared" ref="H302:H325" si="9">F302*G302</f>
        <v>132</v>
      </c>
      <c r="I302" s="43" t="s">
        <v>437</v>
      </c>
      <c r="J302" s="43"/>
      <c r="K302" s="43"/>
    </row>
    <row r="303" spans="1:11">
      <c r="A303" s="41">
        <v>45823</v>
      </c>
      <c r="B303" s="43" t="s">
        <v>879</v>
      </c>
      <c r="C303" s="43" t="s">
        <v>1575</v>
      </c>
      <c r="D303" s="43" t="s">
        <v>881</v>
      </c>
      <c r="E303" s="43" t="s">
        <v>14</v>
      </c>
      <c r="F303" s="43">
        <v>3010</v>
      </c>
      <c r="G303" s="43">
        <v>2.2</v>
      </c>
      <c r="H303" s="43">
        <f t="shared" si="9"/>
        <v>6622</v>
      </c>
      <c r="I303" s="43" t="s">
        <v>437</v>
      </c>
      <c r="J303" s="43" t="s">
        <v>46</v>
      </c>
      <c r="K303" s="43"/>
    </row>
    <row r="304" spans="1:11">
      <c r="A304" s="41">
        <v>45818</v>
      </c>
      <c r="B304" s="43" t="s">
        <v>97</v>
      </c>
      <c r="C304" s="43"/>
      <c r="D304" s="43" t="s">
        <v>211</v>
      </c>
      <c r="E304" s="43" t="s">
        <v>1576</v>
      </c>
      <c r="F304" s="43">
        <v>300</v>
      </c>
      <c r="G304" s="43">
        <v>0.9</v>
      </c>
      <c r="H304" s="43">
        <f t="shared" si="9"/>
        <v>270</v>
      </c>
      <c r="I304" s="43" t="s">
        <v>213</v>
      </c>
      <c r="J304" s="43" t="s">
        <v>455</v>
      </c>
      <c r="K304" s="43">
        <v>1.05</v>
      </c>
    </row>
    <row r="305" spans="1:11">
      <c r="A305" s="41">
        <v>45821</v>
      </c>
      <c r="B305" s="43" t="s">
        <v>97</v>
      </c>
      <c r="C305" s="43"/>
      <c r="D305" s="43" t="s">
        <v>98</v>
      </c>
      <c r="E305" s="43" t="s">
        <v>361</v>
      </c>
      <c r="F305" s="43">
        <v>7000</v>
      </c>
      <c r="G305" s="43">
        <v>0.83</v>
      </c>
      <c r="H305" s="43">
        <f t="shared" si="9"/>
        <v>5810</v>
      </c>
      <c r="I305" s="43" t="s">
        <v>100</v>
      </c>
      <c r="J305" s="43" t="s">
        <v>369</v>
      </c>
      <c r="K305" s="43"/>
    </row>
    <row r="306" spans="1:11">
      <c r="A306" s="41">
        <v>45825</v>
      </c>
      <c r="B306" s="43" t="s">
        <v>97</v>
      </c>
      <c r="C306" s="43"/>
      <c r="D306" s="43" t="s">
        <v>98</v>
      </c>
      <c r="E306" s="43" t="s">
        <v>99</v>
      </c>
      <c r="F306" s="43">
        <v>3070</v>
      </c>
      <c r="G306" s="43">
        <v>0.28</v>
      </c>
      <c r="H306" s="43">
        <f t="shared" si="9"/>
        <v>859.6</v>
      </c>
      <c r="I306" s="43" t="s">
        <v>100</v>
      </c>
      <c r="J306" s="43" t="s">
        <v>1577</v>
      </c>
      <c r="K306" s="43"/>
    </row>
    <row r="307" spans="1:11">
      <c r="A307" s="41">
        <v>45835</v>
      </c>
      <c r="B307" s="43" t="s">
        <v>97</v>
      </c>
      <c r="C307" s="43"/>
      <c r="D307" s="43" t="s">
        <v>224</v>
      </c>
      <c r="E307" s="43" t="s">
        <v>1578</v>
      </c>
      <c r="F307" s="43">
        <v>2005</v>
      </c>
      <c r="G307" s="43">
        <v>0.95</v>
      </c>
      <c r="H307" s="43">
        <f t="shared" si="9"/>
        <v>1904.75</v>
      </c>
      <c r="I307" s="43" t="s">
        <v>208</v>
      </c>
      <c r="J307" s="43"/>
      <c r="K307" s="43"/>
    </row>
    <row r="308" spans="1:11">
      <c r="A308" s="41">
        <v>45824</v>
      </c>
      <c r="B308" s="43" t="s">
        <v>821</v>
      </c>
      <c r="C308" s="87" t="s">
        <v>1579</v>
      </c>
      <c r="D308" s="43" t="s">
        <v>314</v>
      </c>
      <c r="E308" s="43" t="s">
        <v>1580</v>
      </c>
      <c r="F308" s="43">
        <v>1040</v>
      </c>
      <c r="G308" s="43">
        <v>0.38</v>
      </c>
      <c r="H308" s="43">
        <f t="shared" si="9"/>
        <v>395.2</v>
      </c>
      <c r="I308" s="43" t="s">
        <v>271</v>
      </c>
      <c r="J308" s="43" t="s">
        <v>1424</v>
      </c>
      <c r="K308" s="43"/>
    </row>
    <row r="309" spans="1:11">
      <c r="A309" s="41">
        <v>45824</v>
      </c>
      <c r="B309" s="43" t="s">
        <v>821</v>
      </c>
      <c r="C309" s="87" t="s">
        <v>1579</v>
      </c>
      <c r="D309" s="43" t="s">
        <v>1581</v>
      </c>
      <c r="E309" s="43"/>
      <c r="F309" s="43">
        <v>1</v>
      </c>
      <c r="G309" s="43">
        <v>70</v>
      </c>
      <c r="H309" s="43">
        <f t="shared" si="9"/>
        <v>70</v>
      </c>
      <c r="I309" s="43" t="s">
        <v>271</v>
      </c>
      <c r="J309" s="43" t="s">
        <v>1424</v>
      </c>
      <c r="K309" s="43"/>
    </row>
    <row r="310" spans="1:11">
      <c r="A310" s="41">
        <v>45827</v>
      </c>
      <c r="B310" s="43" t="s">
        <v>1582</v>
      </c>
      <c r="C310" s="43">
        <v>302456</v>
      </c>
      <c r="D310" s="43" t="s">
        <v>1583</v>
      </c>
      <c r="E310" s="41"/>
      <c r="F310" s="43">
        <v>10000</v>
      </c>
      <c r="G310" s="43">
        <v>0.003</v>
      </c>
      <c r="H310" s="43">
        <f t="shared" si="9"/>
        <v>30</v>
      </c>
      <c r="I310" s="43" t="s">
        <v>1584</v>
      </c>
      <c r="J310" s="43" t="s">
        <v>1424</v>
      </c>
      <c r="K310" s="43"/>
    </row>
    <row r="311" spans="1:11">
      <c r="A311" s="41">
        <v>45827</v>
      </c>
      <c r="B311" s="43" t="s">
        <v>1582</v>
      </c>
      <c r="C311" s="43">
        <v>302456</v>
      </c>
      <c r="D311" s="43" t="s">
        <v>1581</v>
      </c>
      <c r="E311" s="43"/>
      <c r="F311" s="43">
        <v>1</v>
      </c>
      <c r="G311" s="43">
        <v>26</v>
      </c>
      <c r="H311" s="43">
        <f t="shared" si="9"/>
        <v>26</v>
      </c>
      <c r="I311" s="43" t="s">
        <v>1584</v>
      </c>
      <c r="J311" s="43" t="s">
        <v>1424</v>
      </c>
      <c r="K311" s="43"/>
    </row>
    <row r="312" spans="1:11">
      <c r="A312" s="41">
        <v>45824</v>
      </c>
      <c r="B312" s="43" t="s">
        <v>1585</v>
      </c>
      <c r="C312" s="87" t="s">
        <v>1586</v>
      </c>
      <c r="D312" s="43" t="s">
        <v>735</v>
      </c>
      <c r="E312" s="43" t="s">
        <v>1587</v>
      </c>
      <c r="F312" s="43">
        <v>10000</v>
      </c>
      <c r="G312" s="43">
        <v>0.01</v>
      </c>
      <c r="H312" s="43">
        <f t="shared" si="9"/>
        <v>100</v>
      </c>
      <c r="I312" s="43" t="s">
        <v>415</v>
      </c>
      <c r="J312" s="43"/>
      <c r="K312" s="43"/>
    </row>
    <row r="313" spans="1:11">
      <c r="A313" s="41">
        <v>45822</v>
      </c>
      <c r="B313" s="43" t="s">
        <v>269</v>
      </c>
      <c r="C313" s="43"/>
      <c r="D313" s="43" t="s">
        <v>946</v>
      </c>
      <c r="E313" s="43" t="s">
        <v>14</v>
      </c>
      <c r="F313" s="43">
        <v>18669</v>
      </c>
      <c r="G313" s="43">
        <v>2.7</v>
      </c>
      <c r="H313" s="43">
        <f t="shared" si="9"/>
        <v>50406.3</v>
      </c>
      <c r="I313" s="43" t="s">
        <v>396</v>
      </c>
      <c r="J313" s="43" t="s">
        <v>46</v>
      </c>
      <c r="K313" s="43"/>
    </row>
    <row r="314" spans="1:11">
      <c r="A314" s="41">
        <v>45829</v>
      </c>
      <c r="B314" s="43" t="s">
        <v>269</v>
      </c>
      <c r="C314" s="43"/>
      <c r="D314" s="43" t="s">
        <v>139</v>
      </c>
      <c r="E314" s="43" t="s">
        <v>14</v>
      </c>
      <c r="F314" s="43">
        <v>32974</v>
      </c>
      <c r="G314" s="43">
        <v>1.2</v>
      </c>
      <c r="H314" s="43">
        <f t="shared" si="9"/>
        <v>39568.8</v>
      </c>
      <c r="I314" s="43" t="s">
        <v>45</v>
      </c>
      <c r="J314" s="43" t="s">
        <v>46</v>
      </c>
      <c r="K314" s="43"/>
    </row>
    <row r="315" spans="1:11">
      <c r="A315" s="41">
        <v>45833</v>
      </c>
      <c r="B315" s="43" t="s">
        <v>269</v>
      </c>
      <c r="C315" s="43"/>
      <c r="D315" s="43" t="s">
        <v>270</v>
      </c>
      <c r="E315" s="43" t="s">
        <v>14</v>
      </c>
      <c r="F315" s="43">
        <v>26112</v>
      </c>
      <c r="G315" s="43">
        <v>1.2</v>
      </c>
      <c r="H315" s="43">
        <f t="shared" si="9"/>
        <v>31334.4</v>
      </c>
      <c r="I315" s="43" t="s">
        <v>271</v>
      </c>
      <c r="J315" s="43" t="s">
        <v>46</v>
      </c>
      <c r="K315" s="43"/>
    </row>
    <row r="316" spans="1:11">
      <c r="A316" s="41">
        <v>45827</v>
      </c>
      <c r="B316" s="43" t="s">
        <v>1588</v>
      </c>
      <c r="C316" s="43" t="s">
        <v>1589</v>
      </c>
      <c r="D316" s="43" t="s">
        <v>875</v>
      </c>
      <c r="E316" s="43" t="s">
        <v>1294</v>
      </c>
      <c r="F316" s="43">
        <v>2380</v>
      </c>
      <c r="G316" s="43">
        <v>2.15</v>
      </c>
      <c r="H316" s="43">
        <f t="shared" si="9"/>
        <v>5117</v>
      </c>
      <c r="I316" s="43" t="s">
        <v>587</v>
      </c>
      <c r="J316" s="43"/>
      <c r="K316" s="43"/>
    </row>
    <row r="317" spans="1:11">
      <c r="A317" s="41">
        <v>45832</v>
      </c>
      <c r="B317" s="43" t="s">
        <v>1588</v>
      </c>
      <c r="C317" s="43" t="s">
        <v>1590</v>
      </c>
      <c r="D317" s="43" t="s">
        <v>871</v>
      </c>
      <c r="E317" s="43" t="s">
        <v>14</v>
      </c>
      <c r="F317" s="43">
        <v>4000</v>
      </c>
      <c r="G317" s="43">
        <v>3.5</v>
      </c>
      <c r="H317" s="43">
        <f t="shared" si="9"/>
        <v>14000</v>
      </c>
      <c r="I317" s="43" t="s">
        <v>872</v>
      </c>
      <c r="J317" s="43"/>
      <c r="K317" s="43"/>
    </row>
    <row r="318" spans="1:11">
      <c r="A318" s="41">
        <v>45836</v>
      </c>
      <c r="B318" s="43" t="s">
        <v>1588</v>
      </c>
      <c r="C318" s="43" t="s">
        <v>1590</v>
      </c>
      <c r="D318" s="43" t="s">
        <v>871</v>
      </c>
      <c r="E318" s="43" t="s">
        <v>14</v>
      </c>
      <c r="F318" s="43">
        <v>5</v>
      </c>
      <c r="G318" s="43">
        <v>3.5</v>
      </c>
      <c r="H318" s="43">
        <f t="shared" si="9"/>
        <v>17.5</v>
      </c>
      <c r="I318" s="43" t="s">
        <v>872</v>
      </c>
      <c r="J318" s="43"/>
      <c r="K318" s="43"/>
    </row>
    <row r="319" spans="1:11">
      <c r="A319" s="41">
        <v>45836</v>
      </c>
      <c r="B319" s="43" t="s">
        <v>1588</v>
      </c>
      <c r="C319" s="43" t="s">
        <v>1590</v>
      </c>
      <c r="D319" s="43" t="s">
        <v>871</v>
      </c>
      <c r="E319" s="43" t="s">
        <v>14</v>
      </c>
      <c r="F319" s="43">
        <v>15</v>
      </c>
      <c r="G319" s="43">
        <v>3.5</v>
      </c>
      <c r="H319" s="43">
        <f t="shared" si="9"/>
        <v>52.5</v>
      </c>
      <c r="I319" s="43" t="s">
        <v>872</v>
      </c>
      <c r="J319" s="43"/>
      <c r="K319" s="43"/>
    </row>
    <row r="320" spans="1:11">
      <c r="A320" s="41">
        <v>45824</v>
      </c>
      <c r="B320" s="43" t="s">
        <v>1591</v>
      </c>
      <c r="C320" s="43" t="s">
        <v>1592</v>
      </c>
      <c r="D320" s="43" t="s">
        <v>102</v>
      </c>
      <c r="E320" s="43" t="s">
        <v>1593</v>
      </c>
      <c r="F320" s="43">
        <v>4194</v>
      </c>
      <c r="G320" s="43">
        <v>0.1</v>
      </c>
      <c r="H320" s="43">
        <f t="shared" si="9"/>
        <v>419.4</v>
      </c>
      <c r="I320" s="43" t="s">
        <v>103</v>
      </c>
      <c r="J320" s="43"/>
      <c r="K320" s="43"/>
    </row>
    <row r="321" spans="1:11">
      <c r="A321" s="44">
        <v>45826</v>
      </c>
      <c r="B321" s="45" t="s">
        <v>237</v>
      </c>
      <c r="C321" s="45" t="s">
        <v>1594</v>
      </c>
      <c r="D321" s="45" t="s">
        <v>413</v>
      </c>
      <c r="E321" s="45" t="s">
        <v>207</v>
      </c>
      <c r="F321" s="45">
        <v>102</v>
      </c>
      <c r="G321" s="45">
        <v>0.58</v>
      </c>
      <c r="H321" s="45">
        <f t="shared" si="9"/>
        <v>59.16</v>
      </c>
      <c r="I321" s="43" t="s">
        <v>396</v>
      </c>
      <c r="J321" s="43"/>
      <c r="K321" s="43"/>
    </row>
    <row r="322" spans="1:11">
      <c r="A322" s="44">
        <v>45828</v>
      </c>
      <c r="B322" s="45" t="s">
        <v>1595</v>
      </c>
      <c r="C322" s="45" t="s">
        <v>1596</v>
      </c>
      <c r="D322" s="45" t="s">
        <v>1428</v>
      </c>
      <c r="E322" s="45" t="s">
        <v>14</v>
      </c>
      <c r="F322" s="45">
        <v>41</v>
      </c>
      <c r="G322" s="43">
        <v>1.5</v>
      </c>
      <c r="H322" s="43">
        <f t="shared" si="9"/>
        <v>61.5</v>
      </c>
      <c r="I322" s="43" t="s">
        <v>1597</v>
      </c>
      <c r="J322" s="43"/>
      <c r="K322" s="43"/>
    </row>
    <row r="323" spans="1:11">
      <c r="A323" s="44">
        <v>45828</v>
      </c>
      <c r="B323" s="45" t="s">
        <v>1595</v>
      </c>
      <c r="C323" s="45" t="s">
        <v>1596</v>
      </c>
      <c r="D323" s="45" t="s">
        <v>21</v>
      </c>
      <c r="E323" s="45" t="s">
        <v>14</v>
      </c>
      <c r="F323" s="45">
        <v>41</v>
      </c>
      <c r="G323" s="43">
        <v>1.1</v>
      </c>
      <c r="H323" s="43">
        <f t="shared" si="9"/>
        <v>45.1</v>
      </c>
      <c r="I323" s="43" t="s">
        <v>1597</v>
      </c>
      <c r="J323" s="43"/>
      <c r="K323" s="43"/>
    </row>
    <row r="324" spans="1:11">
      <c r="A324" s="44">
        <v>45831</v>
      </c>
      <c r="B324" s="45" t="s">
        <v>1595</v>
      </c>
      <c r="C324" s="45" t="s">
        <v>1598</v>
      </c>
      <c r="D324" s="45" t="s">
        <v>21</v>
      </c>
      <c r="E324" s="45" t="s">
        <v>14</v>
      </c>
      <c r="F324" s="45">
        <v>31500</v>
      </c>
      <c r="G324" s="43">
        <v>1.1</v>
      </c>
      <c r="H324" s="43">
        <f t="shared" si="9"/>
        <v>34650</v>
      </c>
      <c r="I324" s="43" t="s">
        <v>1429</v>
      </c>
      <c r="J324" s="43"/>
      <c r="K324" s="43"/>
    </row>
    <row r="325" spans="1:11">
      <c r="A325" s="44">
        <v>45831</v>
      </c>
      <c r="B325" s="45" t="s">
        <v>1595</v>
      </c>
      <c r="C325" s="45" t="s">
        <v>1598</v>
      </c>
      <c r="D325" s="45" t="s">
        <v>282</v>
      </c>
      <c r="E325" s="45" t="s">
        <v>14</v>
      </c>
      <c r="F325" s="45">
        <v>100</v>
      </c>
      <c r="G325" s="43">
        <v>0.92</v>
      </c>
      <c r="H325" s="43">
        <f t="shared" si="9"/>
        <v>92</v>
      </c>
      <c r="I325" s="43" t="s">
        <v>283</v>
      </c>
      <c r="J325" s="43"/>
      <c r="K325" s="43"/>
    </row>
    <row r="326" spans="1:11">
      <c r="A326" s="41">
        <v>45831</v>
      </c>
      <c r="B326" s="43" t="s">
        <v>215</v>
      </c>
      <c r="C326" s="43" t="s">
        <v>1599</v>
      </c>
      <c r="D326" s="43" t="s">
        <v>217</v>
      </c>
      <c r="E326" s="43" t="s">
        <v>218</v>
      </c>
      <c r="F326" s="43">
        <v>200</v>
      </c>
      <c r="G326" s="43">
        <v>3.5</v>
      </c>
      <c r="H326" s="43">
        <f t="shared" ref="H326:H345" si="10">F326*G326</f>
        <v>700</v>
      </c>
      <c r="I326" s="43" t="s">
        <v>61</v>
      </c>
      <c r="J326" s="43"/>
      <c r="K326" s="43"/>
    </row>
    <row r="327" spans="1:11">
      <c r="A327" s="41">
        <v>45831</v>
      </c>
      <c r="B327" s="43" t="s">
        <v>215</v>
      </c>
      <c r="C327" s="43" t="s">
        <v>1599</v>
      </c>
      <c r="D327" s="43" t="s">
        <v>217</v>
      </c>
      <c r="E327" s="43" t="s">
        <v>816</v>
      </c>
      <c r="F327" s="43">
        <v>100</v>
      </c>
      <c r="G327" s="43">
        <v>3.6</v>
      </c>
      <c r="H327" s="43">
        <f t="shared" si="10"/>
        <v>360</v>
      </c>
      <c r="I327" s="43" t="s">
        <v>61</v>
      </c>
      <c r="J327" s="43"/>
      <c r="K327" s="43"/>
    </row>
    <row r="328" spans="1:11">
      <c r="A328" s="41">
        <v>45834</v>
      </c>
      <c r="B328" s="43" t="s">
        <v>866</v>
      </c>
      <c r="C328" s="43"/>
      <c r="D328" s="43" t="s">
        <v>1600</v>
      </c>
      <c r="E328" s="43" t="s">
        <v>1601</v>
      </c>
      <c r="F328" s="43">
        <v>10000</v>
      </c>
      <c r="G328" s="43">
        <v>1</v>
      </c>
      <c r="H328" s="43">
        <f t="shared" si="10"/>
        <v>10000</v>
      </c>
      <c r="I328" s="43" t="s">
        <v>1602</v>
      </c>
      <c r="J328" s="43" t="s">
        <v>1603</v>
      </c>
      <c r="K328" s="43"/>
    </row>
    <row r="329" spans="1:11">
      <c r="A329" s="41">
        <v>45819</v>
      </c>
      <c r="B329" s="43" t="s">
        <v>257</v>
      </c>
      <c r="C329" s="43" t="s">
        <v>1604</v>
      </c>
      <c r="D329" s="45" t="s">
        <v>256</v>
      </c>
      <c r="E329" s="45" t="s">
        <v>14</v>
      </c>
      <c r="F329" s="45">
        <v>12000</v>
      </c>
      <c r="G329" s="45">
        <v>0.62</v>
      </c>
      <c r="H329" s="43">
        <f t="shared" si="10"/>
        <v>7440</v>
      </c>
      <c r="I329" s="43" t="s">
        <v>94</v>
      </c>
      <c r="J329" s="43" t="s">
        <v>46</v>
      </c>
      <c r="K329" s="43"/>
    </row>
    <row r="330" spans="1:11">
      <c r="A330" s="41">
        <v>45831</v>
      </c>
      <c r="B330" s="43" t="s">
        <v>257</v>
      </c>
      <c r="C330" s="43" t="s">
        <v>1605</v>
      </c>
      <c r="D330" s="43" t="s">
        <v>256</v>
      </c>
      <c r="E330" s="43" t="s">
        <v>14</v>
      </c>
      <c r="F330" s="43">
        <v>25454</v>
      </c>
      <c r="G330" s="43">
        <v>0.62</v>
      </c>
      <c r="H330" s="43">
        <f t="shared" si="10"/>
        <v>15781.48</v>
      </c>
      <c r="I330" s="43" t="s">
        <v>94</v>
      </c>
      <c r="J330" s="43" t="s">
        <v>46</v>
      </c>
      <c r="K330" s="43"/>
    </row>
    <row r="331" spans="1:11">
      <c r="A331" s="41">
        <v>45825</v>
      </c>
      <c r="B331" s="43" t="s">
        <v>269</v>
      </c>
      <c r="C331" s="43"/>
      <c r="D331" s="43" t="s">
        <v>38</v>
      </c>
      <c r="E331" s="43" t="s">
        <v>14</v>
      </c>
      <c r="F331" s="43">
        <v>21784</v>
      </c>
      <c r="G331" s="43">
        <v>1.3</v>
      </c>
      <c r="H331" s="43">
        <f t="shared" si="10"/>
        <v>28319.2</v>
      </c>
      <c r="I331" s="43" t="s">
        <v>830</v>
      </c>
      <c r="J331" s="43"/>
      <c r="K331" s="43"/>
    </row>
    <row r="332" spans="1:11">
      <c r="A332" s="41">
        <v>45836</v>
      </c>
      <c r="B332" s="43" t="s">
        <v>1365</v>
      </c>
      <c r="C332" s="43"/>
      <c r="D332" s="43" t="s">
        <v>98</v>
      </c>
      <c r="E332" s="43" t="s">
        <v>14</v>
      </c>
      <c r="F332" s="43">
        <v>3100</v>
      </c>
      <c r="G332" s="43">
        <v>0.48</v>
      </c>
      <c r="H332" s="43">
        <f t="shared" si="10"/>
        <v>1488</v>
      </c>
      <c r="I332" s="43" t="s">
        <v>100</v>
      </c>
      <c r="J332" s="43"/>
      <c r="K332" s="43"/>
    </row>
    <row r="333" spans="1:11">
      <c r="A333" s="44">
        <v>45838</v>
      </c>
      <c r="B333" s="45" t="s">
        <v>237</v>
      </c>
      <c r="C333" s="45" t="s">
        <v>1606</v>
      </c>
      <c r="D333" s="45" t="s">
        <v>413</v>
      </c>
      <c r="E333" s="45" t="s">
        <v>116</v>
      </c>
      <c r="F333" s="45">
        <v>101400</v>
      </c>
      <c r="G333" s="45">
        <v>0.58</v>
      </c>
      <c r="H333" s="45">
        <f t="shared" si="10"/>
        <v>58812</v>
      </c>
      <c r="I333" s="43" t="s">
        <v>396</v>
      </c>
      <c r="J333" s="43"/>
      <c r="K333" s="43"/>
    </row>
    <row r="334" spans="1:11">
      <c r="A334" s="44">
        <v>45834</v>
      </c>
      <c r="B334" s="45" t="s">
        <v>531</v>
      </c>
      <c r="C334" s="86" t="s">
        <v>1607</v>
      </c>
      <c r="D334" s="45" t="s">
        <v>1570</v>
      </c>
      <c r="E334" s="45" t="s">
        <v>14</v>
      </c>
      <c r="F334" s="45">
        <v>5000</v>
      </c>
      <c r="G334" s="45">
        <v>1.5</v>
      </c>
      <c r="H334" s="45">
        <f t="shared" si="10"/>
        <v>7500</v>
      </c>
      <c r="I334" s="43" t="s">
        <v>786</v>
      </c>
      <c r="J334" s="43"/>
      <c r="K334" s="43"/>
    </row>
    <row r="335" spans="1:11">
      <c r="A335" s="41">
        <v>45822</v>
      </c>
      <c r="B335" s="43" t="s">
        <v>1608</v>
      </c>
      <c r="C335" s="43"/>
      <c r="D335" s="43" t="s">
        <v>1609</v>
      </c>
      <c r="E335" s="43" t="s">
        <v>361</v>
      </c>
      <c r="F335" s="43">
        <v>2000</v>
      </c>
      <c r="G335" s="43">
        <v>0.57</v>
      </c>
      <c r="H335" s="45">
        <f t="shared" si="10"/>
        <v>1140</v>
      </c>
      <c r="I335" s="43" t="s">
        <v>330</v>
      </c>
      <c r="J335" s="43" t="s">
        <v>1610</v>
      </c>
      <c r="K335" s="43"/>
    </row>
    <row r="336" spans="1:11">
      <c r="A336" s="41">
        <v>45834</v>
      </c>
      <c r="B336" s="43" t="s">
        <v>521</v>
      </c>
      <c r="C336" s="43" t="s">
        <v>1611</v>
      </c>
      <c r="D336" s="43" t="s">
        <v>183</v>
      </c>
      <c r="E336" s="43" t="s">
        <v>14</v>
      </c>
      <c r="F336" s="43">
        <v>10000</v>
      </c>
      <c r="G336" s="43">
        <v>1.05</v>
      </c>
      <c r="H336" s="43">
        <f t="shared" si="10"/>
        <v>10500</v>
      </c>
      <c r="I336" s="43" t="s">
        <v>61</v>
      </c>
      <c r="J336" s="43" t="s">
        <v>46</v>
      </c>
      <c r="K336" s="43"/>
    </row>
    <row r="337" spans="1:11">
      <c r="A337" s="41">
        <v>45833</v>
      </c>
      <c r="B337" s="43" t="s">
        <v>906</v>
      </c>
      <c r="C337" s="43" t="s">
        <v>1612</v>
      </c>
      <c r="D337" s="43" t="s">
        <v>669</v>
      </c>
      <c r="E337" s="43" t="s">
        <v>158</v>
      </c>
      <c r="F337" s="45">
        <v>80000</v>
      </c>
      <c r="G337" s="45">
        <v>0.17</v>
      </c>
      <c r="H337" s="43">
        <f t="shared" si="10"/>
        <v>13600</v>
      </c>
      <c r="I337" s="43" t="s">
        <v>271</v>
      </c>
      <c r="J337" s="43" t="s">
        <v>46</v>
      </c>
      <c r="K337" s="43"/>
    </row>
    <row r="338" spans="1:11">
      <c r="A338" s="41">
        <v>45834</v>
      </c>
      <c r="B338" s="43" t="s">
        <v>906</v>
      </c>
      <c r="C338" s="43" t="s">
        <v>1613</v>
      </c>
      <c r="D338" s="43" t="s">
        <v>669</v>
      </c>
      <c r="E338" s="43" t="s">
        <v>158</v>
      </c>
      <c r="F338" s="45">
        <v>120000</v>
      </c>
      <c r="G338" s="45">
        <v>0.17</v>
      </c>
      <c r="H338" s="43">
        <f t="shared" si="10"/>
        <v>20400</v>
      </c>
      <c r="I338" s="43" t="s">
        <v>271</v>
      </c>
      <c r="J338" s="43" t="s">
        <v>46</v>
      </c>
      <c r="K338" s="43"/>
    </row>
    <row r="339" spans="1:11">
      <c r="A339" s="41">
        <v>45835</v>
      </c>
      <c r="B339" s="43" t="s">
        <v>906</v>
      </c>
      <c r="C339" s="43" t="s">
        <v>1614</v>
      </c>
      <c r="D339" s="43" t="s">
        <v>1615</v>
      </c>
      <c r="E339" s="43" t="s">
        <v>158</v>
      </c>
      <c r="F339" s="45">
        <v>60000</v>
      </c>
      <c r="G339" s="45">
        <v>0.17</v>
      </c>
      <c r="H339" s="43">
        <f t="shared" si="10"/>
        <v>10200</v>
      </c>
      <c r="I339" s="43" t="s">
        <v>1616</v>
      </c>
      <c r="J339" s="43" t="s">
        <v>46</v>
      </c>
      <c r="K339" s="43"/>
    </row>
    <row r="340" spans="1:11">
      <c r="A340" s="41">
        <v>45835</v>
      </c>
      <c r="B340" s="43" t="s">
        <v>906</v>
      </c>
      <c r="C340" s="43" t="s">
        <v>1614</v>
      </c>
      <c r="D340" s="43" t="s">
        <v>1617</v>
      </c>
      <c r="E340" s="43" t="s">
        <v>158</v>
      </c>
      <c r="F340" s="45">
        <v>3100</v>
      </c>
      <c r="G340" s="45">
        <v>0.28</v>
      </c>
      <c r="H340" s="43">
        <f t="shared" si="10"/>
        <v>868</v>
      </c>
      <c r="I340" s="43" t="s">
        <v>1544</v>
      </c>
      <c r="J340" s="43" t="s">
        <v>46</v>
      </c>
      <c r="K340" s="43"/>
    </row>
    <row r="341" spans="1:11">
      <c r="A341" s="41">
        <v>45835</v>
      </c>
      <c r="B341" s="43" t="s">
        <v>906</v>
      </c>
      <c r="C341" s="43" t="s">
        <v>1618</v>
      </c>
      <c r="D341" s="43" t="s">
        <v>1619</v>
      </c>
      <c r="E341" s="43" t="s">
        <v>158</v>
      </c>
      <c r="F341" s="45">
        <v>90000</v>
      </c>
      <c r="G341" s="45">
        <v>0.17</v>
      </c>
      <c r="H341" s="43">
        <f t="shared" si="10"/>
        <v>15300</v>
      </c>
      <c r="I341" s="43" t="s">
        <v>1429</v>
      </c>
      <c r="J341" s="43" t="s">
        <v>46</v>
      </c>
      <c r="K341" s="43"/>
    </row>
    <row r="342" spans="1:11">
      <c r="A342" s="41">
        <v>45836</v>
      </c>
      <c r="B342" s="43" t="s">
        <v>906</v>
      </c>
      <c r="C342" s="43" t="s">
        <v>1620</v>
      </c>
      <c r="D342" s="43" t="s">
        <v>1619</v>
      </c>
      <c r="E342" s="43" t="s">
        <v>158</v>
      </c>
      <c r="F342" s="45">
        <v>10000</v>
      </c>
      <c r="G342" s="45">
        <v>0.17</v>
      </c>
      <c r="H342" s="43">
        <f t="shared" si="10"/>
        <v>1700</v>
      </c>
      <c r="I342" s="43" t="s">
        <v>271</v>
      </c>
      <c r="J342" s="43" t="s">
        <v>46</v>
      </c>
      <c r="K342" s="43"/>
    </row>
    <row r="343" spans="1:11">
      <c r="A343" s="41">
        <v>45836</v>
      </c>
      <c r="B343" s="43" t="s">
        <v>906</v>
      </c>
      <c r="C343" s="43" t="s">
        <v>1620</v>
      </c>
      <c r="D343" s="43" t="s">
        <v>1615</v>
      </c>
      <c r="E343" s="43" t="s">
        <v>158</v>
      </c>
      <c r="F343" s="45">
        <v>140000</v>
      </c>
      <c r="G343" s="45">
        <v>0.17</v>
      </c>
      <c r="H343" s="43">
        <f t="shared" si="10"/>
        <v>23800</v>
      </c>
      <c r="I343" s="43" t="s">
        <v>271</v>
      </c>
      <c r="J343" s="43" t="s">
        <v>46</v>
      </c>
      <c r="K343" s="43"/>
    </row>
    <row r="344" spans="1:11">
      <c r="A344" s="41">
        <v>45838</v>
      </c>
      <c r="B344" s="43" t="s">
        <v>174</v>
      </c>
      <c r="C344" s="43">
        <v>1549771</v>
      </c>
      <c r="D344" s="43" t="s">
        <v>130</v>
      </c>
      <c r="E344" s="43" t="s">
        <v>1621</v>
      </c>
      <c r="F344" s="43">
        <v>10045</v>
      </c>
      <c r="G344" s="43">
        <v>0.45</v>
      </c>
      <c r="H344" s="43">
        <f t="shared" si="10"/>
        <v>4520.25</v>
      </c>
      <c r="I344" s="43" t="s">
        <v>117</v>
      </c>
      <c r="J344" s="43"/>
      <c r="K344" s="43"/>
    </row>
    <row r="345" ht="40.5" spans="1:11">
      <c r="A345" s="41">
        <v>45834</v>
      </c>
      <c r="B345" s="43" t="s">
        <v>761</v>
      </c>
      <c r="C345" s="43" t="s">
        <v>1622</v>
      </c>
      <c r="D345" s="43" t="s">
        <v>946</v>
      </c>
      <c r="E345" s="43" t="s">
        <v>14</v>
      </c>
      <c r="F345" s="43">
        <v>32000</v>
      </c>
      <c r="G345" s="43">
        <v>2.8</v>
      </c>
      <c r="H345" s="43">
        <f t="shared" si="10"/>
        <v>89600</v>
      </c>
      <c r="I345" s="43" t="s">
        <v>396</v>
      </c>
      <c r="J345" s="43" t="s">
        <v>46</v>
      </c>
      <c r="K345" s="63" t="s">
        <v>1623</v>
      </c>
    </row>
    <row r="346" ht="38" customHeight="1" spans="1:11">
      <c r="A346" s="43" t="s">
        <v>279</v>
      </c>
      <c r="B346" s="43"/>
      <c r="C346" s="43"/>
      <c r="D346" s="43"/>
      <c r="E346" s="43"/>
      <c r="F346" s="43"/>
      <c r="G346" s="43"/>
      <c r="H346" s="53">
        <f>SUM(H2:H345)</f>
        <v>2257021.975</v>
      </c>
      <c r="I346" s="53"/>
      <c r="J346" s="53"/>
      <c r="K346" s="53"/>
    </row>
  </sheetData>
  <mergeCells count="1">
    <mergeCell ref="A346:G346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3.5"/>
  <cols>
    <col min="1" max="1" width="11.75" customWidth="1"/>
    <col min="2" max="2" width="16.625" customWidth="1"/>
    <col min="3" max="3" width="23.625" customWidth="1"/>
    <col min="4" max="4" width="32.375" customWidth="1"/>
    <col min="5" max="5" width="19.5" customWidth="1"/>
    <col min="6" max="8" width="11.75" customWidth="1"/>
    <col min="9" max="9" width="16" customWidth="1"/>
    <col min="10" max="10" width="17.25" customWidth="1"/>
    <col min="11" max="11" width="16.25" customWidth="1"/>
    <col min="12" max="15" width="11.75" customWidth="1"/>
  </cols>
  <sheetData>
    <row r="1" s="32" customFormat="1" ht="19" customHeight="1" spans="1:11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9" t="s">
        <v>6</v>
      </c>
      <c r="H1" s="40" t="s">
        <v>7</v>
      </c>
      <c r="I1" s="38" t="s">
        <v>8</v>
      </c>
      <c r="J1" s="38" t="s">
        <v>9</v>
      </c>
      <c r="K1" s="38" t="s">
        <v>10</v>
      </c>
    </row>
    <row r="2" spans="1:11">
      <c r="A2" s="41">
        <v>45839</v>
      </c>
      <c r="B2" s="43" t="s">
        <v>821</v>
      </c>
      <c r="C2" s="87" t="s">
        <v>1624</v>
      </c>
      <c r="D2" s="43" t="s">
        <v>405</v>
      </c>
      <c r="E2" s="43" t="s">
        <v>1625</v>
      </c>
      <c r="F2" s="43">
        <v>990</v>
      </c>
      <c r="G2" s="43">
        <v>0.32</v>
      </c>
      <c r="H2" s="43">
        <f t="shared" ref="H2:H14" si="0">F2*G2</f>
        <v>316.8</v>
      </c>
      <c r="I2" s="43" t="s">
        <v>37</v>
      </c>
      <c r="J2" s="43" t="s">
        <v>46</v>
      </c>
      <c r="K2" s="43" t="s">
        <v>1626</v>
      </c>
    </row>
    <row r="3" spans="1:11">
      <c r="A3" s="41">
        <v>45850</v>
      </c>
      <c r="B3" s="43" t="s">
        <v>821</v>
      </c>
      <c r="C3" s="87" t="s">
        <v>1627</v>
      </c>
      <c r="D3" s="43" t="s">
        <v>1628</v>
      </c>
      <c r="E3" s="43" t="s">
        <v>1629</v>
      </c>
      <c r="F3" s="43">
        <v>1</v>
      </c>
      <c r="G3" s="43">
        <v>800</v>
      </c>
      <c r="H3" s="43">
        <f t="shared" si="0"/>
        <v>800</v>
      </c>
      <c r="I3" s="43" t="s">
        <v>1429</v>
      </c>
      <c r="J3" s="43"/>
      <c r="K3" s="43" t="s">
        <v>1630</v>
      </c>
    </row>
    <row r="4" spans="1:11">
      <c r="A4" s="41">
        <v>45854</v>
      </c>
      <c r="B4" s="43" t="s">
        <v>821</v>
      </c>
      <c r="C4" s="87" t="s">
        <v>1631</v>
      </c>
      <c r="D4" s="43" t="s">
        <v>1632</v>
      </c>
      <c r="E4" s="43" t="s">
        <v>1629</v>
      </c>
      <c r="F4" s="43">
        <v>2000</v>
      </c>
      <c r="G4" s="43">
        <v>0.45</v>
      </c>
      <c r="H4" s="43">
        <f t="shared" si="0"/>
        <v>900</v>
      </c>
      <c r="I4" s="43" t="s">
        <v>1429</v>
      </c>
      <c r="J4" s="43" t="s">
        <v>46</v>
      </c>
      <c r="K4" s="43"/>
    </row>
    <row r="5" spans="1:11">
      <c r="A5" s="41">
        <v>45854</v>
      </c>
      <c r="B5" s="43" t="s">
        <v>821</v>
      </c>
      <c r="C5" s="87" t="s">
        <v>1631</v>
      </c>
      <c r="D5" s="43" t="s">
        <v>1632</v>
      </c>
      <c r="E5" s="43" t="s">
        <v>1633</v>
      </c>
      <c r="F5" s="43">
        <v>1</v>
      </c>
      <c r="G5" s="43">
        <v>150</v>
      </c>
      <c r="H5" s="43">
        <f t="shared" si="0"/>
        <v>150</v>
      </c>
      <c r="I5" s="43" t="s">
        <v>1429</v>
      </c>
      <c r="J5" s="43" t="s">
        <v>46</v>
      </c>
      <c r="K5" s="43"/>
    </row>
    <row r="6" spans="1:11">
      <c r="A6" s="41">
        <v>45854</v>
      </c>
      <c r="B6" s="43" t="s">
        <v>821</v>
      </c>
      <c r="C6" s="87" t="s">
        <v>1631</v>
      </c>
      <c r="D6" s="43" t="s">
        <v>1632</v>
      </c>
      <c r="E6" s="43" t="s">
        <v>1581</v>
      </c>
      <c r="F6" s="43">
        <v>1</v>
      </c>
      <c r="G6" s="43">
        <v>70</v>
      </c>
      <c r="H6" s="43">
        <f t="shared" si="0"/>
        <v>70</v>
      </c>
      <c r="I6" s="43" t="s">
        <v>1429</v>
      </c>
      <c r="J6" s="43" t="s">
        <v>46</v>
      </c>
      <c r="K6" s="43"/>
    </row>
    <row r="7" spans="1:11">
      <c r="A7" s="41">
        <v>45856</v>
      </c>
      <c r="B7" s="43" t="s">
        <v>821</v>
      </c>
      <c r="C7" s="87" t="s">
        <v>1634</v>
      </c>
      <c r="D7" s="43" t="s">
        <v>314</v>
      </c>
      <c r="E7" s="43" t="s">
        <v>1635</v>
      </c>
      <c r="F7" s="43">
        <v>400</v>
      </c>
      <c r="G7" s="43">
        <v>0.38</v>
      </c>
      <c r="H7" s="43">
        <f t="shared" si="0"/>
        <v>152</v>
      </c>
      <c r="I7" s="43" t="s">
        <v>271</v>
      </c>
      <c r="J7" s="43" t="s">
        <v>1636</v>
      </c>
      <c r="K7" s="43"/>
    </row>
    <row r="8" spans="1:11">
      <c r="A8" s="41">
        <v>45856</v>
      </c>
      <c r="B8" s="43" t="s">
        <v>821</v>
      </c>
      <c r="C8" s="87" t="s">
        <v>1634</v>
      </c>
      <c r="D8" s="43" t="s">
        <v>314</v>
      </c>
      <c r="E8" s="43" t="s">
        <v>1635</v>
      </c>
      <c r="F8" s="43">
        <v>600</v>
      </c>
      <c r="G8" s="43">
        <v>0.38</v>
      </c>
      <c r="H8" s="43">
        <f t="shared" si="0"/>
        <v>228</v>
      </c>
      <c r="I8" s="43" t="s">
        <v>271</v>
      </c>
      <c r="J8" s="43" t="s">
        <v>46</v>
      </c>
      <c r="K8" s="43"/>
    </row>
    <row r="9" spans="1:11">
      <c r="A9" s="44">
        <v>45861</v>
      </c>
      <c r="B9" s="45" t="s">
        <v>821</v>
      </c>
      <c r="C9" s="86" t="s">
        <v>1637</v>
      </c>
      <c r="D9" s="45" t="s">
        <v>1632</v>
      </c>
      <c r="E9" s="45" t="s">
        <v>1629</v>
      </c>
      <c r="F9" s="45">
        <v>2000</v>
      </c>
      <c r="G9" s="45">
        <v>0.45</v>
      </c>
      <c r="H9" s="45">
        <f t="shared" si="0"/>
        <v>900</v>
      </c>
      <c r="I9" s="45" t="s">
        <v>1429</v>
      </c>
      <c r="J9" s="43" t="s">
        <v>46</v>
      </c>
      <c r="K9" s="43"/>
    </row>
    <row r="10" spans="1:11">
      <c r="A10" s="41">
        <v>45854</v>
      </c>
      <c r="B10" s="43" t="s">
        <v>825</v>
      </c>
      <c r="C10" s="87" t="s">
        <v>1638</v>
      </c>
      <c r="D10" s="43" t="s">
        <v>772</v>
      </c>
      <c r="E10" s="43" t="s">
        <v>1639</v>
      </c>
      <c r="F10" s="43">
        <v>1000</v>
      </c>
      <c r="G10" s="43">
        <v>0.37</v>
      </c>
      <c r="H10" s="43">
        <f t="shared" si="0"/>
        <v>370</v>
      </c>
      <c r="I10" s="43" t="s">
        <v>271</v>
      </c>
      <c r="J10" s="43" t="s">
        <v>46</v>
      </c>
      <c r="K10" s="43" t="s">
        <v>1640</v>
      </c>
    </row>
    <row r="11" spans="1:11">
      <c r="A11" s="41">
        <v>45839</v>
      </c>
      <c r="B11" s="43" t="s">
        <v>177</v>
      </c>
      <c r="C11" s="43" t="s">
        <v>1641</v>
      </c>
      <c r="D11" s="43">
        <v>-500</v>
      </c>
      <c r="E11" s="43" t="s">
        <v>14</v>
      </c>
      <c r="F11" s="43">
        <v>1010</v>
      </c>
      <c r="G11" s="43">
        <v>1.3</v>
      </c>
      <c r="H11" s="43">
        <f t="shared" si="0"/>
        <v>1313</v>
      </c>
      <c r="I11" s="43" t="s">
        <v>570</v>
      </c>
      <c r="J11" s="43"/>
      <c r="K11" s="43"/>
    </row>
    <row r="12" spans="1:11">
      <c r="A12" s="41">
        <v>45853</v>
      </c>
      <c r="B12" s="43" t="s">
        <v>177</v>
      </c>
      <c r="C12" s="43" t="s">
        <v>1642</v>
      </c>
      <c r="D12" s="43">
        <v>-500</v>
      </c>
      <c r="E12" s="43" t="s">
        <v>14</v>
      </c>
      <c r="F12" s="43">
        <v>2030</v>
      </c>
      <c r="G12" s="43">
        <v>1.3</v>
      </c>
      <c r="H12" s="43">
        <f t="shared" si="0"/>
        <v>2639</v>
      </c>
      <c r="I12" s="43" t="s">
        <v>298</v>
      </c>
      <c r="J12" s="43"/>
      <c r="K12" s="43"/>
    </row>
    <row r="13" spans="1:11">
      <c r="A13" s="41">
        <v>45856</v>
      </c>
      <c r="B13" s="43" t="s">
        <v>177</v>
      </c>
      <c r="C13" s="43" t="s">
        <v>1643</v>
      </c>
      <c r="D13" s="43" t="s">
        <v>1428</v>
      </c>
      <c r="E13" s="43" t="s">
        <v>14</v>
      </c>
      <c r="F13" s="43">
        <v>46000</v>
      </c>
      <c r="G13" s="43">
        <v>1.42</v>
      </c>
      <c r="H13" s="43">
        <f t="shared" si="0"/>
        <v>65320</v>
      </c>
      <c r="I13" s="43" t="s">
        <v>1429</v>
      </c>
      <c r="J13" s="43" t="s">
        <v>46</v>
      </c>
      <c r="K13" s="43"/>
    </row>
    <row r="14" spans="1:11">
      <c r="A14" s="44">
        <v>45863</v>
      </c>
      <c r="B14" s="45" t="s">
        <v>177</v>
      </c>
      <c r="C14" s="45" t="s">
        <v>1644</v>
      </c>
      <c r="D14" s="45" t="s">
        <v>285</v>
      </c>
      <c r="E14" s="45" t="s">
        <v>14</v>
      </c>
      <c r="F14" s="45">
        <v>460</v>
      </c>
      <c r="G14" s="45">
        <v>1.9</v>
      </c>
      <c r="H14" s="45">
        <f t="shared" si="0"/>
        <v>874</v>
      </c>
      <c r="I14" s="43" t="s">
        <v>1467</v>
      </c>
      <c r="J14" s="43"/>
      <c r="K14" s="43"/>
    </row>
    <row r="15" spans="1:11">
      <c r="A15" s="41">
        <v>45840</v>
      </c>
      <c r="B15" s="43" t="s">
        <v>11</v>
      </c>
      <c r="C15" s="43" t="s">
        <v>1645</v>
      </c>
      <c r="D15" s="43" t="s">
        <v>285</v>
      </c>
      <c r="E15" s="43" t="s">
        <v>14</v>
      </c>
      <c r="F15" s="43">
        <v>285</v>
      </c>
      <c r="G15" s="43">
        <v>1.8</v>
      </c>
      <c r="H15" s="43">
        <f t="shared" ref="H15:H38" si="1">F15*G15</f>
        <v>513</v>
      </c>
      <c r="I15" s="43" t="s">
        <v>415</v>
      </c>
      <c r="J15" s="43" t="s">
        <v>1306</v>
      </c>
      <c r="K15" s="43"/>
    </row>
    <row r="16" spans="1:11">
      <c r="A16" s="41">
        <v>45840</v>
      </c>
      <c r="B16" s="43" t="s">
        <v>11</v>
      </c>
      <c r="C16" s="43" t="s">
        <v>1645</v>
      </c>
      <c r="D16" s="43" t="s">
        <v>398</v>
      </c>
      <c r="E16" s="43" t="s">
        <v>14</v>
      </c>
      <c r="F16" s="43">
        <v>50</v>
      </c>
      <c r="G16" s="43">
        <v>1.05</v>
      </c>
      <c r="H16" s="43">
        <f t="shared" si="1"/>
        <v>52.5</v>
      </c>
      <c r="I16" s="43" t="s">
        <v>503</v>
      </c>
      <c r="J16" s="43" t="s">
        <v>1306</v>
      </c>
      <c r="K16" s="43"/>
    </row>
    <row r="17" spans="1:11">
      <c r="A17" s="41">
        <v>45840</v>
      </c>
      <c r="B17" s="43" t="s">
        <v>11</v>
      </c>
      <c r="C17" s="43" t="s">
        <v>1645</v>
      </c>
      <c r="D17" s="43" t="s">
        <v>27</v>
      </c>
      <c r="E17" s="43" t="s">
        <v>14</v>
      </c>
      <c r="F17" s="43">
        <v>50</v>
      </c>
      <c r="G17" s="43">
        <v>1.7</v>
      </c>
      <c r="H17" s="43">
        <f t="shared" si="1"/>
        <v>85</v>
      </c>
      <c r="I17" s="43" t="s">
        <v>503</v>
      </c>
      <c r="J17" s="43" t="s">
        <v>1306</v>
      </c>
      <c r="K17" s="43"/>
    </row>
    <row r="18" spans="1:11">
      <c r="A18" s="41">
        <v>45841</v>
      </c>
      <c r="B18" s="43" t="s">
        <v>11</v>
      </c>
      <c r="C18" s="43" t="s">
        <v>1646</v>
      </c>
      <c r="D18" s="43" t="s">
        <v>285</v>
      </c>
      <c r="E18" s="43" t="s">
        <v>14</v>
      </c>
      <c r="F18" s="43">
        <v>20</v>
      </c>
      <c r="G18" s="43">
        <v>1.8</v>
      </c>
      <c r="H18" s="43">
        <f t="shared" si="1"/>
        <v>36</v>
      </c>
      <c r="I18" s="43" t="s">
        <v>415</v>
      </c>
      <c r="J18" s="43" t="s">
        <v>1306</v>
      </c>
      <c r="K18" s="43"/>
    </row>
    <row r="19" spans="1:11">
      <c r="A19" s="41">
        <v>45841</v>
      </c>
      <c r="B19" s="43" t="s">
        <v>11</v>
      </c>
      <c r="C19" s="43" t="s">
        <v>1646</v>
      </c>
      <c r="D19" s="43" t="s">
        <v>399</v>
      </c>
      <c r="E19" s="43" t="s">
        <v>14</v>
      </c>
      <c r="F19" s="43">
        <v>102</v>
      </c>
      <c r="G19" s="43">
        <v>1.1</v>
      </c>
      <c r="H19" s="43">
        <f t="shared" si="1"/>
        <v>112.2</v>
      </c>
      <c r="I19" s="43" t="s">
        <v>805</v>
      </c>
      <c r="J19" s="43" t="s">
        <v>1306</v>
      </c>
      <c r="K19" s="43"/>
    </row>
    <row r="20" spans="1:11">
      <c r="A20" s="41">
        <v>45841</v>
      </c>
      <c r="B20" s="43" t="s">
        <v>11</v>
      </c>
      <c r="C20" s="43" t="s">
        <v>1646</v>
      </c>
      <c r="D20" s="43" t="s">
        <v>285</v>
      </c>
      <c r="E20" s="43" t="s">
        <v>14</v>
      </c>
      <c r="F20" s="43">
        <v>20</v>
      </c>
      <c r="G20" s="43">
        <v>1.8</v>
      </c>
      <c r="H20" s="43">
        <f t="shared" si="1"/>
        <v>36</v>
      </c>
      <c r="I20" s="43" t="s">
        <v>415</v>
      </c>
      <c r="J20" s="43" t="s">
        <v>1306</v>
      </c>
      <c r="K20" s="43"/>
    </row>
    <row r="21" spans="1:11">
      <c r="A21" s="41">
        <v>45841</v>
      </c>
      <c r="B21" s="43" t="s">
        <v>11</v>
      </c>
      <c r="C21" s="43" t="s">
        <v>1646</v>
      </c>
      <c r="D21" s="43" t="s">
        <v>399</v>
      </c>
      <c r="E21" s="43" t="s">
        <v>14</v>
      </c>
      <c r="F21" s="43">
        <v>102</v>
      </c>
      <c r="G21" s="43">
        <v>1.1</v>
      </c>
      <c r="H21" s="43">
        <f t="shared" si="1"/>
        <v>112.2</v>
      </c>
      <c r="I21" s="43" t="s">
        <v>61</v>
      </c>
      <c r="J21" s="43" t="s">
        <v>1306</v>
      </c>
      <c r="K21" s="43"/>
    </row>
    <row r="22" spans="1:11">
      <c r="A22" s="41">
        <v>45842</v>
      </c>
      <c r="B22" s="43" t="s">
        <v>11</v>
      </c>
      <c r="C22" s="43" t="s">
        <v>1647</v>
      </c>
      <c r="D22" s="43" t="s">
        <v>1428</v>
      </c>
      <c r="E22" s="43" t="s">
        <v>14</v>
      </c>
      <c r="F22" s="43">
        <v>32650</v>
      </c>
      <c r="G22" s="43">
        <v>1.25</v>
      </c>
      <c r="H22" s="43">
        <f t="shared" si="1"/>
        <v>40812.5</v>
      </c>
      <c r="I22" s="43" t="s">
        <v>1429</v>
      </c>
      <c r="J22" s="43" t="s">
        <v>1648</v>
      </c>
      <c r="K22" s="43"/>
    </row>
    <row r="23" spans="1:11">
      <c r="A23" s="41">
        <v>45845</v>
      </c>
      <c r="B23" s="43" t="s">
        <v>11</v>
      </c>
      <c r="C23" s="43" t="s">
        <v>1649</v>
      </c>
      <c r="D23" s="43" t="s">
        <v>1650</v>
      </c>
      <c r="E23" s="43" t="s">
        <v>14</v>
      </c>
      <c r="F23" s="43">
        <v>53</v>
      </c>
      <c r="G23" s="43">
        <v>1.5</v>
      </c>
      <c r="H23" s="43">
        <f t="shared" si="1"/>
        <v>79.5</v>
      </c>
      <c r="I23" s="43" t="s">
        <v>28</v>
      </c>
      <c r="J23" s="43" t="s">
        <v>1306</v>
      </c>
      <c r="K23" s="43"/>
    </row>
    <row r="24" spans="1:11">
      <c r="A24" s="41">
        <v>45846</v>
      </c>
      <c r="B24" s="43" t="s">
        <v>11</v>
      </c>
      <c r="C24" s="43" t="s">
        <v>1651</v>
      </c>
      <c r="D24" s="43" t="s">
        <v>736</v>
      </c>
      <c r="E24" s="43" t="s">
        <v>14</v>
      </c>
      <c r="F24" s="43">
        <v>20</v>
      </c>
      <c r="G24" s="43">
        <v>0.9</v>
      </c>
      <c r="H24" s="43">
        <f t="shared" si="1"/>
        <v>18</v>
      </c>
      <c r="I24" s="43" t="s">
        <v>1652</v>
      </c>
      <c r="J24" s="43" t="s">
        <v>1306</v>
      </c>
      <c r="K24" s="43"/>
    </row>
    <row r="25" spans="1:11">
      <c r="A25" s="41">
        <v>45848</v>
      </c>
      <c r="B25" s="43" t="s">
        <v>11</v>
      </c>
      <c r="C25" s="43" t="s">
        <v>1653</v>
      </c>
      <c r="D25" s="43" t="s">
        <v>399</v>
      </c>
      <c r="E25" s="43" t="s">
        <v>14</v>
      </c>
      <c r="F25" s="43">
        <v>1015</v>
      </c>
      <c r="G25" s="43">
        <v>1.1</v>
      </c>
      <c r="H25" s="43">
        <f t="shared" si="1"/>
        <v>1116.5</v>
      </c>
      <c r="I25" s="43" t="s">
        <v>278</v>
      </c>
      <c r="J25" s="43" t="s">
        <v>1306</v>
      </c>
      <c r="K25" s="43"/>
    </row>
    <row r="26" spans="1:11">
      <c r="A26" s="41">
        <v>45849</v>
      </c>
      <c r="B26" s="43" t="s">
        <v>11</v>
      </c>
      <c r="C26" s="43" t="s">
        <v>1654</v>
      </c>
      <c r="D26" s="43" t="s">
        <v>201</v>
      </c>
      <c r="E26" s="43" t="s">
        <v>14</v>
      </c>
      <c r="F26" s="43">
        <v>30</v>
      </c>
      <c r="G26" s="43">
        <v>0.9</v>
      </c>
      <c r="H26" s="43">
        <f t="shared" si="1"/>
        <v>27</v>
      </c>
      <c r="I26" s="43" t="s">
        <v>133</v>
      </c>
      <c r="J26" s="43" t="s">
        <v>1306</v>
      </c>
      <c r="K26" s="43"/>
    </row>
    <row r="27" spans="1:11">
      <c r="A27" s="41">
        <v>45854</v>
      </c>
      <c r="B27" s="43" t="s">
        <v>11</v>
      </c>
      <c r="C27" s="43" t="s">
        <v>1655</v>
      </c>
      <c r="D27" s="43" t="s">
        <v>823</v>
      </c>
      <c r="E27" s="43" t="s">
        <v>14</v>
      </c>
      <c r="F27" s="43">
        <v>203</v>
      </c>
      <c r="G27" s="43">
        <v>1.4</v>
      </c>
      <c r="H27" s="43">
        <f t="shared" si="1"/>
        <v>284.2</v>
      </c>
      <c r="I27" s="43" t="s">
        <v>1429</v>
      </c>
      <c r="J27" s="43" t="s">
        <v>1656</v>
      </c>
      <c r="K27" s="43"/>
    </row>
    <row r="28" spans="1:11">
      <c r="A28" s="41">
        <v>45856</v>
      </c>
      <c r="B28" s="43" t="s">
        <v>11</v>
      </c>
      <c r="C28" s="43" t="s">
        <v>1657</v>
      </c>
      <c r="D28" s="43" t="s">
        <v>1188</v>
      </c>
      <c r="E28" s="43" t="s">
        <v>14</v>
      </c>
      <c r="F28" s="43">
        <v>300</v>
      </c>
      <c r="G28" s="43">
        <v>1</v>
      </c>
      <c r="H28" s="43">
        <f t="shared" si="1"/>
        <v>300</v>
      </c>
      <c r="I28" s="43" t="s">
        <v>805</v>
      </c>
      <c r="J28" s="43" t="s">
        <v>1658</v>
      </c>
      <c r="K28" s="43"/>
    </row>
    <row r="29" spans="1:11">
      <c r="A29" s="41">
        <v>45856</v>
      </c>
      <c r="B29" s="43" t="s">
        <v>11</v>
      </c>
      <c r="C29" s="43" t="s">
        <v>1659</v>
      </c>
      <c r="D29" s="43" t="s">
        <v>493</v>
      </c>
      <c r="E29" s="43" t="s">
        <v>14</v>
      </c>
      <c r="F29" s="43">
        <v>74000</v>
      </c>
      <c r="G29" s="43">
        <v>0.8</v>
      </c>
      <c r="H29" s="43">
        <f t="shared" si="1"/>
        <v>59200</v>
      </c>
      <c r="I29" s="43" t="s">
        <v>271</v>
      </c>
      <c r="J29" s="43" t="s">
        <v>1660</v>
      </c>
      <c r="K29" s="43"/>
    </row>
    <row r="30" spans="1:11">
      <c r="A30" s="41">
        <v>45856</v>
      </c>
      <c r="B30" s="43" t="s">
        <v>11</v>
      </c>
      <c r="C30" s="43" t="s">
        <v>1659</v>
      </c>
      <c r="D30" s="43" t="s">
        <v>1513</v>
      </c>
      <c r="E30" s="43" t="s">
        <v>14</v>
      </c>
      <c r="F30" s="43">
        <v>5015</v>
      </c>
      <c r="G30" s="43">
        <v>1.3</v>
      </c>
      <c r="H30" s="43">
        <f t="shared" si="1"/>
        <v>6519.5</v>
      </c>
      <c r="I30" s="43" t="s">
        <v>39</v>
      </c>
      <c r="J30" s="43" t="s">
        <v>1660</v>
      </c>
      <c r="K30" s="43"/>
    </row>
    <row r="31" spans="1:11">
      <c r="A31" s="41">
        <v>45861</v>
      </c>
      <c r="B31" s="43" t="s">
        <v>11</v>
      </c>
      <c r="C31" s="43" t="s">
        <v>1661</v>
      </c>
      <c r="D31" s="43" t="s">
        <v>27</v>
      </c>
      <c r="E31" s="43" t="s">
        <v>14</v>
      </c>
      <c r="F31" s="43">
        <v>820</v>
      </c>
      <c r="G31" s="43">
        <v>1.7</v>
      </c>
      <c r="H31" s="43">
        <f t="shared" si="1"/>
        <v>1394</v>
      </c>
      <c r="I31" s="43" t="s">
        <v>982</v>
      </c>
      <c r="J31" s="43" t="s">
        <v>1662</v>
      </c>
      <c r="K31" s="43"/>
    </row>
    <row r="32" spans="1:11">
      <c r="A32" s="41">
        <v>45861</v>
      </c>
      <c r="B32" s="43" t="s">
        <v>11</v>
      </c>
      <c r="C32" s="43" t="s">
        <v>1661</v>
      </c>
      <c r="D32" s="43" t="s">
        <v>399</v>
      </c>
      <c r="E32" s="43" t="s">
        <v>14</v>
      </c>
      <c r="F32" s="43">
        <v>1050</v>
      </c>
      <c r="G32" s="43">
        <v>1.1</v>
      </c>
      <c r="H32" s="43">
        <f t="shared" si="1"/>
        <v>1155</v>
      </c>
      <c r="I32" s="43" t="s">
        <v>278</v>
      </c>
      <c r="J32" s="43" t="s">
        <v>1662</v>
      </c>
      <c r="K32" s="43"/>
    </row>
    <row r="33" spans="1:11">
      <c r="A33" s="41">
        <v>45861</v>
      </c>
      <c r="B33" s="43" t="s">
        <v>11</v>
      </c>
      <c r="C33" s="43" t="s">
        <v>1661</v>
      </c>
      <c r="D33" s="43" t="s">
        <v>21</v>
      </c>
      <c r="E33" s="43" t="s">
        <v>14</v>
      </c>
      <c r="F33" s="43">
        <v>800</v>
      </c>
      <c r="G33" s="43">
        <v>0.95</v>
      </c>
      <c r="H33" s="43">
        <f t="shared" si="1"/>
        <v>760</v>
      </c>
      <c r="I33" s="43" t="s">
        <v>278</v>
      </c>
      <c r="J33" s="43" t="s">
        <v>1662</v>
      </c>
      <c r="K33" s="43"/>
    </row>
    <row r="34" spans="1:11">
      <c r="A34" s="41">
        <v>45861</v>
      </c>
      <c r="B34" s="43" t="s">
        <v>11</v>
      </c>
      <c r="C34" s="43" t="s">
        <v>1661</v>
      </c>
      <c r="D34" s="43" t="s">
        <v>1428</v>
      </c>
      <c r="E34" s="43" t="s">
        <v>14</v>
      </c>
      <c r="F34" s="43">
        <v>1000</v>
      </c>
      <c r="G34" s="43">
        <v>1.25</v>
      </c>
      <c r="H34" s="43">
        <f t="shared" si="1"/>
        <v>1250</v>
      </c>
      <c r="I34" s="43" t="s">
        <v>1429</v>
      </c>
      <c r="J34" s="43"/>
      <c r="K34" s="43"/>
    </row>
    <row r="35" spans="1:11">
      <c r="A35" s="41">
        <v>45864</v>
      </c>
      <c r="B35" s="43" t="s">
        <v>11</v>
      </c>
      <c r="C35" s="43" t="s">
        <v>1663</v>
      </c>
      <c r="D35" s="43" t="s">
        <v>27</v>
      </c>
      <c r="E35" s="43" t="s">
        <v>14</v>
      </c>
      <c r="F35" s="43">
        <v>135</v>
      </c>
      <c r="G35" s="43">
        <v>1.7</v>
      </c>
      <c r="H35" s="43">
        <f t="shared" si="1"/>
        <v>229.5</v>
      </c>
      <c r="I35" s="43" t="s">
        <v>982</v>
      </c>
      <c r="J35" s="43" t="s">
        <v>1664</v>
      </c>
      <c r="K35" s="43"/>
    </row>
    <row r="36" spans="1:11">
      <c r="A36" s="41">
        <v>45866</v>
      </c>
      <c r="B36" s="43" t="s">
        <v>11</v>
      </c>
      <c r="C36" s="43" t="s">
        <v>1665</v>
      </c>
      <c r="D36" s="43" t="s">
        <v>380</v>
      </c>
      <c r="E36" s="43" t="s">
        <v>14</v>
      </c>
      <c r="F36" s="43">
        <v>20</v>
      </c>
      <c r="G36" s="43">
        <v>1</v>
      </c>
      <c r="H36" s="43">
        <f t="shared" si="1"/>
        <v>20</v>
      </c>
      <c r="I36" s="43" t="s">
        <v>133</v>
      </c>
      <c r="J36" s="43" t="s">
        <v>1306</v>
      </c>
      <c r="K36" s="43"/>
    </row>
    <row r="37" spans="1:11">
      <c r="A37" s="41">
        <v>45866</v>
      </c>
      <c r="B37" s="43" t="s">
        <v>11</v>
      </c>
      <c r="C37" s="43" t="s">
        <v>1666</v>
      </c>
      <c r="D37" s="43" t="s">
        <v>27</v>
      </c>
      <c r="E37" s="43" t="s">
        <v>14</v>
      </c>
      <c r="F37" s="43">
        <v>100</v>
      </c>
      <c r="G37" s="43">
        <v>1.7</v>
      </c>
      <c r="H37" s="43">
        <f t="shared" si="1"/>
        <v>170</v>
      </c>
      <c r="I37" s="43" t="s">
        <v>982</v>
      </c>
      <c r="J37" s="43" t="s">
        <v>1306</v>
      </c>
      <c r="K37" s="43"/>
    </row>
    <row r="38" spans="1:11">
      <c r="A38" s="41">
        <v>45866</v>
      </c>
      <c r="B38" s="43" t="s">
        <v>11</v>
      </c>
      <c r="C38" s="43" t="s">
        <v>1667</v>
      </c>
      <c r="D38" s="43" t="s">
        <v>1224</v>
      </c>
      <c r="E38" s="43" t="s">
        <v>14</v>
      </c>
      <c r="F38" s="43">
        <v>1010</v>
      </c>
      <c r="G38" s="43">
        <v>1.1</v>
      </c>
      <c r="H38" s="43">
        <f t="shared" si="1"/>
        <v>1111</v>
      </c>
      <c r="I38" s="43" t="s">
        <v>570</v>
      </c>
      <c r="J38" s="43"/>
      <c r="K38" s="43"/>
    </row>
    <row r="39" spans="1:11">
      <c r="A39" s="41">
        <v>45844</v>
      </c>
      <c r="B39" s="43" t="s">
        <v>174</v>
      </c>
      <c r="C39" s="43">
        <v>1549772</v>
      </c>
      <c r="D39" s="43" t="s">
        <v>130</v>
      </c>
      <c r="E39" s="43" t="s">
        <v>60</v>
      </c>
      <c r="F39" s="43">
        <v>36794</v>
      </c>
      <c r="G39" s="43">
        <v>0.4</v>
      </c>
      <c r="H39" s="43">
        <f t="shared" ref="H39:H85" si="2">F39*G39</f>
        <v>14717.6</v>
      </c>
      <c r="I39" s="43" t="s">
        <v>149</v>
      </c>
      <c r="J39" s="43"/>
      <c r="K39" s="43"/>
    </row>
    <row r="40" spans="1:11">
      <c r="A40" s="41">
        <v>45844</v>
      </c>
      <c r="B40" s="43" t="s">
        <v>174</v>
      </c>
      <c r="C40" s="43">
        <v>1549772</v>
      </c>
      <c r="D40" s="43" t="s">
        <v>130</v>
      </c>
      <c r="E40" s="43" t="s">
        <v>60</v>
      </c>
      <c r="F40" s="43">
        <v>10466</v>
      </c>
      <c r="G40" s="43">
        <v>0.4</v>
      </c>
      <c r="H40" s="43">
        <f t="shared" si="2"/>
        <v>4186.4</v>
      </c>
      <c r="I40" s="43" t="s">
        <v>149</v>
      </c>
      <c r="J40" s="43"/>
      <c r="K40" s="43"/>
    </row>
    <row r="41" spans="1:11">
      <c r="A41" s="41">
        <v>45855</v>
      </c>
      <c r="B41" s="43" t="s">
        <v>174</v>
      </c>
      <c r="C41" s="43">
        <v>1549774</v>
      </c>
      <c r="D41" s="43" t="s">
        <v>130</v>
      </c>
      <c r="E41" s="43" t="s">
        <v>60</v>
      </c>
      <c r="F41" s="43">
        <v>4579</v>
      </c>
      <c r="G41" s="43">
        <v>0.4</v>
      </c>
      <c r="H41" s="43">
        <f t="shared" si="2"/>
        <v>1831.6</v>
      </c>
      <c r="I41" s="43" t="s">
        <v>149</v>
      </c>
      <c r="J41" s="43"/>
      <c r="K41" s="43"/>
    </row>
    <row r="42" spans="1:11">
      <c r="A42" s="41">
        <v>45855</v>
      </c>
      <c r="B42" s="43" t="s">
        <v>174</v>
      </c>
      <c r="C42" s="43">
        <v>1549774</v>
      </c>
      <c r="D42" s="43" t="s">
        <v>130</v>
      </c>
      <c r="E42" s="43" t="s">
        <v>60</v>
      </c>
      <c r="F42" s="43">
        <v>9600</v>
      </c>
      <c r="G42" s="43">
        <v>0.4</v>
      </c>
      <c r="H42" s="43">
        <f t="shared" si="2"/>
        <v>3840</v>
      </c>
      <c r="I42" s="43" t="s">
        <v>149</v>
      </c>
      <c r="J42" s="43"/>
      <c r="K42" s="43"/>
    </row>
    <row r="43" spans="1:11">
      <c r="A43" s="41">
        <v>45850</v>
      </c>
      <c r="B43" s="43" t="s">
        <v>174</v>
      </c>
      <c r="C43" s="43">
        <v>1549773</v>
      </c>
      <c r="D43" s="43" t="s">
        <v>130</v>
      </c>
      <c r="E43" s="43" t="s">
        <v>1668</v>
      </c>
      <c r="F43" s="43">
        <v>10010</v>
      </c>
      <c r="G43" s="43">
        <v>0.45</v>
      </c>
      <c r="H43" s="43">
        <f t="shared" si="2"/>
        <v>4504.5</v>
      </c>
      <c r="I43" s="43" t="s">
        <v>117</v>
      </c>
      <c r="J43" s="43"/>
      <c r="K43" s="43"/>
    </row>
    <row r="44" spans="1:11">
      <c r="A44" s="41">
        <v>45865</v>
      </c>
      <c r="B44" s="43" t="s">
        <v>174</v>
      </c>
      <c r="C44" s="43">
        <v>1549775</v>
      </c>
      <c r="D44" s="43" t="s">
        <v>130</v>
      </c>
      <c r="E44" s="43" t="s">
        <v>1668</v>
      </c>
      <c r="F44" s="43">
        <v>6988</v>
      </c>
      <c r="G44" s="43">
        <v>0.45</v>
      </c>
      <c r="H44" s="43">
        <f t="shared" si="2"/>
        <v>3144.6</v>
      </c>
      <c r="I44" s="43" t="s">
        <v>117</v>
      </c>
      <c r="J44" s="43"/>
      <c r="K44" s="43"/>
    </row>
    <row r="45" spans="1:11">
      <c r="A45" s="41">
        <v>45865</v>
      </c>
      <c r="B45" s="43" t="s">
        <v>174</v>
      </c>
      <c r="C45" s="43">
        <v>1549775</v>
      </c>
      <c r="D45" s="43" t="s">
        <v>130</v>
      </c>
      <c r="E45" s="43" t="s">
        <v>1668</v>
      </c>
      <c r="F45" s="43">
        <v>6005</v>
      </c>
      <c r="G45" s="43">
        <v>0.45</v>
      </c>
      <c r="H45" s="43">
        <f t="shared" si="2"/>
        <v>2702.25</v>
      </c>
      <c r="I45" s="43" t="s">
        <v>117</v>
      </c>
      <c r="J45" s="43"/>
      <c r="K45" s="43"/>
    </row>
    <row r="46" spans="1:11">
      <c r="A46" s="41">
        <v>45843</v>
      </c>
      <c r="B46" s="43" t="s">
        <v>194</v>
      </c>
      <c r="C46" s="43"/>
      <c r="D46" s="43" t="s">
        <v>198</v>
      </c>
      <c r="E46" s="45" t="s">
        <v>123</v>
      </c>
      <c r="F46" s="45">
        <v>5000</v>
      </c>
      <c r="G46" s="43">
        <v>1.05</v>
      </c>
      <c r="H46" s="43">
        <f t="shared" si="2"/>
        <v>5250</v>
      </c>
      <c r="I46" s="43" t="s">
        <v>193</v>
      </c>
      <c r="J46" s="43"/>
      <c r="K46" s="43"/>
    </row>
    <row r="47" spans="1:11">
      <c r="A47" s="41">
        <v>45843</v>
      </c>
      <c r="B47" s="43" t="s">
        <v>194</v>
      </c>
      <c r="C47" s="43"/>
      <c r="D47" s="43" t="s">
        <v>198</v>
      </c>
      <c r="E47" s="45" t="s">
        <v>123</v>
      </c>
      <c r="F47" s="45">
        <v>1116</v>
      </c>
      <c r="G47" s="43">
        <v>1.05</v>
      </c>
      <c r="H47" s="43">
        <f t="shared" si="2"/>
        <v>1171.8</v>
      </c>
      <c r="I47" s="43" t="s">
        <v>208</v>
      </c>
      <c r="J47" s="43"/>
      <c r="K47" s="43"/>
    </row>
    <row r="48" spans="1:11">
      <c r="A48" s="41">
        <v>45847</v>
      </c>
      <c r="B48" s="43" t="s">
        <v>194</v>
      </c>
      <c r="C48" s="43"/>
      <c r="D48" s="43" t="s">
        <v>198</v>
      </c>
      <c r="E48" s="43" t="s">
        <v>739</v>
      </c>
      <c r="F48" s="45">
        <v>15008</v>
      </c>
      <c r="G48" s="45">
        <v>1.05</v>
      </c>
      <c r="H48" s="43">
        <f t="shared" si="2"/>
        <v>15758.4</v>
      </c>
      <c r="I48" s="43" t="s">
        <v>193</v>
      </c>
      <c r="J48" s="43"/>
      <c r="K48" s="43"/>
    </row>
    <row r="49" spans="1:11">
      <c r="A49" s="41">
        <v>45848</v>
      </c>
      <c r="B49" s="43" t="s">
        <v>194</v>
      </c>
      <c r="C49" s="43"/>
      <c r="D49" s="43" t="s">
        <v>198</v>
      </c>
      <c r="E49" s="43" t="s">
        <v>739</v>
      </c>
      <c r="F49" s="45">
        <v>15000</v>
      </c>
      <c r="G49" s="45">
        <v>1.05</v>
      </c>
      <c r="H49" s="43">
        <f t="shared" si="2"/>
        <v>15750</v>
      </c>
      <c r="I49" s="43" t="s">
        <v>193</v>
      </c>
      <c r="J49" s="43"/>
      <c r="K49" s="43"/>
    </row>
    <row r="50" spans="1:11">
      <c r="A50" s="41">
        <v>45852</v>
      </c>
      <c r="B50" s="43" t="s">
        <v>194</v>
      </c>
      <c r="C50" s="43"/>
      <c r="D50" s="43" t="s">
        <v>198</v>
      </c>
      <c r="E50" s="43" t="s">
        <v>739</v>
      </c>
      <c r="F50" s="45">
        <v>23072</v>
      </c>
      <c r="G50" s="45">
        <v>1.05</v>
      </c>
      <c r="H50" s="43">
        <f t="shared" si="2"/>
        <v>24225.6</v>
      </c>
      <c r="I50" s="43" t="s">
        <v>200</v>
      </c>
      <c r="J50" s="43"/>
      <c r="K50" s="43"/>
    </row>
    <row r="51" spans="1:11">
      <c r="A51" s="41">
        <v>45852</v>
      </c>
      <c r="B51" s="43" t="s">
        <v>194</v>
      </c>
      <c r="C51" s="43"/>
      <c r="D51" s="43" t="s">
        <v>198</v>
      </c>
      <c r="E51" s="43" t="s">
        <v>739</v>
      </c>
      <c r="F51" s="45">
        <v>5018</v>
      </c>
      <c r="G51" s="45">
        <v>1.05</v>
      </c>
      <c r="H51" s="43">
        <f t="shared" si="2"/>
        <v>5268.9</v>
      </c>
      <c r="I51" s="43" t="s">
        <v>193</v>
      </c>
      <c r="J51" s="43"/>
      <c r="K51" s="43"/>
    </row>
    <row r="52" spans="1:11">
      <c r="A52" s="41">
        <v>45858</v>
      </c>
      <c r="B52" s="43" t="s">
        <v>194</v>
      </c>
      <c r="C52" s="43"/>
      <c r="D52" s="43" t="s">
        <v>209</v>
      </c>
      <c r="E52" s="43" t="s">
        <v>124</v>
      </c>
      <c r="F52" s="45">
        <v>2015</v>
      </c>
      <c r="G52" s="45">
        <v>1.02</v>
      </c>
      <c r="H52" s="43">
        <f t="shared" si="2"/>
        <v>2055.3</v>
      </c>
      <c r="I52" s="43" t="s">
        <v>208</v>
      </c>
      <c r="J52" s="43"/>
      <c r="K52" s="43"/>
    </row>
    <row r="53" spans="1:11">
      <c r="A53" s="41">
        <v>45864</v>
      </c>
      <c r="B53" s="43" t="s">
        <v>194</v>
      </c>
      <c r="C53" s="43"/>
      <c r="D53" s="43" t="s">
        <v>1403</v>
      </c>
      <c r="E53" s="43" t="s">
        <v>124</v>
      </c>
      <c r="F53" s="45">
        <v>10012</v>
      </c>
      <c r="G53" s="45">
        <v>0.98</v>
      </c>
      <c r="H53" s="43">
        <f t="shared" si="2"/>
        <v>9811.76</v>
      </c>
      <c r="I53" s="43" t="s">
        <v>396</v>
      </c>
      <c r="J53" s="43"/>
      <c r="K53" s="43"/>
    </row>
    <row r="54" spans="1:11">
      <c r="A54" s="41">
        <v>45866</v>
      </c>
      <c r="B54" s="43" t="s">
        <v>194</v>
      </c>
      <c r="C54" s="43"/>
      <c r="D54" s="43" t="s">
        <v>201</v>
      </c>
      <c r="E54" s="43" t="s">
        <v>14</v>
      </c>
      <c r="F54" s="45">
        <v>50000</v>
      </c>
      <c r="G54" s="45">
        <v>0.86</v>
      </c>
      <c r="H54" s="43">
        <f t="shared" si="2"/>
        <v>43000</v>
      </c>
      <c r="I54" s="43" t="s">
        <v>1669</v>
      </c>
      <c r="J54" s="43" t="s">
        <v>46</v>
      </c>
      <c r="K54" s="43"/>
    </row>
    <row r="55" spans="1:11">
      <c r="A55" s="41">
        <v>45866</v>
      </c>
      <c r="B55" s="43" t="s">
        <v>194</v>
      </c>
      <c r="C55" s="43"/>
      <c r="D55" s="43" t="s">
        <v>195</v>
      </c>
      <c r="E55" s="43" t="s">
        <v>60</v>
      </c>
      <c r="F55" s="45">
        <v>2020</v>
      </c>
      <c r="G55" s="45">
        <v>0.73</v>
      </c>
      <c r="H55" s="43">
        <f t="shared" si="2"/>
        <v>1474.6</v>
      </c>
      <c r="I55" s="43" t="s">
        <v>126</v>
      </c>
      <c r="J55" s="43"/>
      <c r="K55" s="43"/>
    </row>
    <row r="56" spans="1:11">
      <c r="A56" s="41">
        <v>45866</v>
      </c>
      <c r="B56" s="43" t="s">
        <v>194</v>
      </c>
      <c r="C56" s="43"/>
      <c r="D56" s="43" t="s">
        <v>209</v>
      </c>
      <c r="E56" s="43" t="s">
        <v>124</v>
      </c>
      <c r="F56" s="45">
        <v>3017</v>
      </c>
      <c r="G56" s="45">
        <v>1.02</v>
      </c>
      <c r="H56" s="43">
        <f t="shared" si="2"/>
        <v>3077.34</v>
      </c>
      <c r="I56" s="43" t="s">
        <v>208</v>
      </c>
      <c r="J56" s="43"/>
      <c r="K56" s="43"/>
    </row>
    <row r="57" spans="1:11">
      <c r="A57" s="41">
        <v>45866</v>
      </c>
      <c r="B57" s="43" t="s">
        <v>194</v>
      </c>
      <c r="C57" s="43"/>
      <c r="D57" s="43" t="s">
        <v>198</v>
      </c>
      <c r="E57" s="43" t="s">
        <v>124</v>
      </c>
      <c r="F57" s="45">
        <v>1014</v>
      </c>
      <c r="G57" s="45">
        <v>1.05</v>
      </c>
      <c r="H57" s="43">
        <f t="shared" si="2"/>
        <v>1064.7</v>
      </c>
      <c r="I57" s="43" t="s">
        <v>208</v>
      </c>
      <c r="J57" s="43"/>
      <c r="K57" s="43"/>
    </row>
    <row r="58" spans="1:11">
      <c r="A58" s="41">
        <v>45866</v>
      </c>
      <c r="B58" s="43" t="s">
        <v>194</v>
      </c>
      <c r="C58" s="43"/>
      <c r="D58" s="43" t="s">
        <v>1138</v>
      </c>
      <c r="E58" s="43" t="s">
        <v>85</v>
      </c>
      <c r="F58" s="45">
        <v>2019</v>
      </c>
      <c r="G58" s="45">
        <v>0.93</v>
      </c>
      <c r="H58" s="43">
        <f t="shared" si="2"/>
        <v>1877.67</v>
      </c>
      <c r="I58" s="43" t="s">
        <v>71</v>
      </c>
      <c r="J58" s="43" t="s">
        <v>90</v>
      </c>
      <c r="K58" s="43"/>
    </row>
    <row r="59" spans="1:11">
      <c r="A59" s="41">
        <v>45869</v>
      </c>
      <c r="B59" s="43" t="s">
        <v>194</v>
      </c>
      <c r="C59" s="43"/>
      <c r="D59" s="43" t="s">
        <v>198</v>
      </c>
      <c r="E59" s="43" t="s">
        <v>124</v>
      </c>
      <c r="F59" s="45">
        <v>14033</v>
      </c>
      <c r="G59" s="45">
        <v>1.05</v>
      </c>
      <c r="H59" s="43">
        <f t="shared" si="2"/>
        <v>14734.65</v>
      </c>
      <c r="I59" s="43" t="s">
        <v>193</v>
      </c>
      <c r="J59" s="43"/>
      <c r="K59" s="43"/>
    </row>
    <row r="60" spans="1:11">
      <c r="A60" s="41">
        <v>45841</v>
      </c>
      <c r="B60" s="43" t="s">
        <v>257</v>
      </c>
      <c r="C60" s="43"/>
      <c r="D60" s="43" t="s">
        <v>227</v>
      </c>
      <c r="E60" s="43" t="s">
        <v>123</v>
      </c>
      <c r="F60" s="43">
        <v>4010</v>
      </c>
      <c r="G60" s="43">
        <v>0.58</v>
      </c>
      <c r="H60" s="43">
        <f t="shared" si="2"/>
        <v>2325.8</v>
      </c>
      <c r="I60" s="43" t="s">
        <v>356</v>
      </c>
      <c r="J60" s="43"/>
      <c r="K60" s="43"/>
    </row>
    <row r="61" spans="1:11">
      <c r="A61" s="41">
        <v>45841</v>
      </c>
      <c r="B61" s="43" t="s">
        <v>260</v>
      </c>
      <c r="C61" s="43" t="s">
        <v>1670</v>
      </c>
      <c r="D61" s="43" t="s">
        <v>408</v>
      </c>
      <c r="E61" s="43" t="s">
        <v>14</v>
      </c>
      <c r="F61" s="43">
        <v>20</v>
      </c>
      <c r="G61" s="43">
        <v>1.15</v>
      </c>
      <c r="H61" s="43">
        <f t="shared" si="2"/>
        <v>23</v>
      </c>
      <c r="I61" s="43" t="s">
        <v>28</v>
      </c>
      <c r="J61" s="43" t="s">
        <v>1306</v>
      </c>
      <c r="K61" s="43"/>
    </row>
    <row r="62" spans="1:11">
      <c r="A62" s="41">
        <v>45861</v>
      </c>
      <c r="B62" s="43" t="s">
        <v>260</v>
      </c>
      <c r="C62" s="43" t="s">
        <v>1671</v>
      </c>
      <c r="D62" s="43" t="s">
        <v>134</v>
      </c>
      <c r="E62" s="43" t="s">
        <v>14</v>
      </c>
      <c r="F62" s="43">
        <v>4000</v>
      </c>
      <c r="G62" s="43">
        <v>0.78</v>
      </c>
      <c r="H62" s="43">
        <f t="shared" si="2"/>
        <v>3120</v>
      </c>
      <c r="I62" s="43" t="s">
        <v>117</v>
      </c>
      <c r="J62" s="43"/>
      <c r="K62" s="43"/>
    </row>
    <row r="63" spans="1:11">
      <c r="A63" s="41">
        <v>45840</v>
      </c>
      <c r="B63" s="43" t="s">
        <v>57</v>
      </c>
      <c r="C63" s="43"/>
      <c r="D63" s="43" t="s">
        <v>59</v>
      </c>
      <c r="E63" s="43" t="s">
        <v>123</v>
      </c>
      <c r="F63" s="45">
        <v>5060</v>
      </c>
      <c r="G63" s="45">
        <v>0.54</v>
      </c>
      <c r="H63" s="43">
        <f t="shared" si="2"/>
        <v>2732.4</v>
      </c>
      <c r="I63" s="43" t="s">
        <v>35</v>
      </c>
      <c r="J63" s="43"/>
      <c r="K63" s="43"/>
    </row>
    <row r="64" spans="1:11">
      <c r="A64" s="41">
        <v>45848</v>
      </c>
      <c r="B64" s="43" t="s">
        <v>57</v>
      </c>
      <c r="C64" s="43"/>
      <c r="D64" s="43" t="s">
        <v>59</v>
      </c>
      <c r="E64" s="43" t="s">
        <v>123</v>
      </c>
      <c r="F64" s="45">
        <v>4070</v>
      </c>
      <c r="G64" s="45">
        <v>0.54</v>
      </c>
      <c r="H64" s="43">
        <f t="shared" si="2"/>
        <v>2197.8</v>
      </c>
      <c r="I64" s="43" t="s">
        <v>35</v>
      </c>
      <c r="J64" s="43"/>
      <c r="K64" s="43"/>
    </row>
    <row r="65" spans="1:11">
      <c r="A65" s="41">
        <v>45848</v>
      </c>
      <c r="B65" s="43" t="s">
        <v>57</v>
      </c>
      <c r="C65" s="43"/>
      <c r="D65" s="43" t="s">
        <v>115</v>
      </c>
      <c r="E65" s="43" t="s">
        <v>60</v>
      </c>
      <c r="F65" s="45">
        <v>10000</v>
      </c>
      <c r="G65" s="45">
        <v>0.48</v>
      </c>
      <c r="H65" s="43">
        <f t="shared" si="2"/>
        <v>4800</v>
      </c>
      <c r="I65" s="43" t="s">
        <v>432</v>
      </c>
      <c r="J65" s="43"/>
      <c r="K65" s="43"/>
    </row>
    <row r="66" spans="1:11">
      <c r="A66" s="41">
        <v>45853</v>
      </c>
      <c r="B66" s="43" t="s">
        <v>57</v>
      </c>
      <c r="C66" s="43"/>
      <c r="D66" s="43" t="s">
        <v>59</v>
      </c>
      <c r="E66" s="43" t="s">
        <v>60</v>
      </c>
      <c r="F66" s="45">
        <v>6120</v>
      </c>
      <c r="G66" s="45">
        <v>0.54</v>
      </c>
      <c r="H66" s="43">
        <f t="shared" si="2"/>
        <v>3304.8</v>
      </c>
      <c r="I66" s="43" t="s">
        <v>35</v>
      </c>
      <c r="J66" s="43"/>
      <c r="K66" s="43"/>
    </row>
    <row r="67" spans="1:11">
      <c r="A67" s="41">
        <v>45855</v>
      </c>
      <c r="B67" s="43" t="s">
        <v>57</v>
      </c>
      <c r="C67" s="43"/>
      <c r="D67" s="43" t="s">
        <v>59</v>
      </c>
      <c r="E67" s="43" t="s">
        <v>60</v>
      </c>
      <c r="F67" s="45">
        <v>200</v>
      </c>
      <c r="G67" s="45">
        <v>0.54</v>
      </c>
      <c r="H67" s="43">
        <f t="shared" si="2"/>
        <v>108</v>
      </c>
      <c r="I67" s="43" t="s">
        <v>35</v>
      </c>
      <c r="J67" s="43"/>
      <c r="K67" s="43"/>
    </row>
    <row r="68" spans="1:11">
      <c r="A68" s="41">
        <v>45860</v>
      </c>
      <c r="B68" s="43" t="s">
        <v>57</v>
      </c>
      <c r="C68" s="43"/>
      <c r="D68" s="43" t="s">
        <v>59</v>
      </c>
      <c r="E68" s="43" t="s">
        <v>123</v>
      </c>
      <c r="F68" s="45">
        <v>25</v>
      </c>
      <c r="G68" s="45">
        <v>0.54</v>
      </c>
      <c r="H68" s="43">
        <f t="shared" si="2"/>
        <v>13.5</v>
      </c>
      <c r="I68" s="43" t="s">
        <v>35</v>
      </c>
      <c r="J68" s="43"/>
      <c r="K68" s="43"/>
    </row>
    <row r="69" spans="1:11">
      <c r="A69" s="41">
        <v>45865</v>
      </c>
      <c r="B69" s="43" t="s">
        <v>57</v>
      </c>
      <c r="C69" s="43"/>
      <c r="D69" s="43" t="s">
        <v>115</v>
      </c>
      <c r="E69" s="43" t="s">
        <v>60</v>
      </c>
      <c r="F69" s="43">
        <v>10040</v>
      </c>
      <c r="G69" s="43">
        <v>0.48</v>
      </c>
      <c r="H69" s="43">
        <f t="shared" si="2"/>
        <v>4819.2</v>
      </c>
      <c r="I69" s="43" t="s">
        <v>432</v>
      </c>
      <c r="J69" s="43"/>
      <c r="K69" s="43"/>
    </row>
    <row r="70" spans="1:11">
      <c r="A70" s="41">
        <v>45865</v>
      </c>
      <c r="B70" s="43" t="s">
        <v>57</v>
      </c>
      <c r="C70" s="43"/>
      <c r="D70" s="43" t="s">
        <v>59</v>
      </c>
      <c r="E70" s="43" t="s">
        <v>123</v>
      </c>
      <c r="F70" s="43">
        <v>4050</v>
      </c>
      <c r="G70" s="43">
        <v>0.54</v>
      </c>
      <c r="H70" s="43">
        <f t="shared" si="2"/>
        <v>2187</v>
      </c>
      <c r="I70" s="43" t="s">
        <v>35</v>
      </c>
      <c r="J70" s="43"/>
      <c r="K70" s="43"/>
    </row>
    <row r="71" spans="1:11">
      <c r="A71" s="41">
        <v>45840</v>
      </c>
      <c r="B71" s="43" t="s">
        <v>274</v>
      </c>
      <c r="C71" s="43" t="s">
        <v>1672</v>
      </c>
      <c r="D71" s="43" t="s">
        <v>1673</v>
      </c>
      <c r="E71" s="43" t="s">
        <v>158</v>
      </c>
      <c r="F71" s="43">
        <v>1300</v>
      </c>
      <c r="G71" s="43">
        <v>0.29</v>
      </c>
      <c r="H71" s="43">
        <f t="shared" si="2"/>
        <v>377</v>
      </c>
      <c r="I71" s="43" t="s">
        <v>982</v>
      </c>
      <c r="J71" s="43"/>
      <c r="K71" s="43"/>
    </row>
    <row r="72" spans="1:11">
      <c r="A72" s="41">
        <v>45841</v>
      </c>
      <c r="B72" s="43" t="s">
        <v>97</v>
      </c>
      <c r="C72" s="43"/>
      <c r="D72" s="43" t="s">
        <v>413</v>
      </c>
      <c r="E72" s="43" t="s">
        <v>361</v>
      </c>
      <c r="F72" s="43">
        <v>410</v>
      </c>
      <c r="G72" s="43">
        <v>0.8</v>
      </c>
      <c r="H72" s="43">
        <f t="shared" si="2"/>
        <v>328</v>
      </c>
      <c r="I72" s="43" t="s">
        <v>45</v>
      </c>
      <c r="J72" s="43" t="s">
        <v>369</v>
      </c>
      <c r="K72" s="43"/>
    </row>
    <row r="73" spans="1:11">
      <c r="A73" s="41">
        <v>45848</v>
      </c>
      <c r="B73" s="43" t="s">
        <v>97</v>
      </c>
      <c r="C73" s="43"/>
      <c r="D73" s="43" t="s">
        <v>413</v>
      </c>
      <c r="E73" s="43" t="s">
        <v>361</v>
      </c>
      <c r="F73" s="43">
        <v>18</v>
      </c>
      <c r="G73" s="43">
        <v>0.8</v>
      </c>
      <c r="H73" s="43">
        <f t="shared" si="2"/>
        <v>14.4</v>
      </c>
      <c r="I73" s="43" t="s">
        <v>193</v>
      </c>
      <c r="J73" s="43" t="s">
        <v>369</v>
      </c>
      <c r="K73" s="43"/>
    </row>
    <row r="74" spans="1:11">
      <c r="A74" s="41">
        <v>45848</v>
      </c>
      <c r="B74" s="43" t="s">
        <v>97</v>
      </c>
      <c r="C74" s="43"/>
      <c r="D74" s="43" t="s">
        <v>413</v>
      </c>
      <c r="E74" s="43" t="s">
        <v>111</v>
      </c>
      <c r="F74" s="43">
        <v>30</v>
      </c>
      <c r="G74" s="43">
        <v>0.52</v>
      </c>
      <c r="H74" s="43">
        <f t="shared" si="2"/>
        <v>15.6</v>
      </c>
      <c r="I74" s="43" t="s">
        <v>193</v>
      </c>
      <c r="J74" s="43"/>
      <c r="K74" s="43"/>
    </row>
    <row r="75" spans="1:11">
      <c r="A75" s="41">
        <v>45857</v>
      </c>
      <c r="B75" s="43" t="s">
        <v>97</v>
      </c>
      <c r="C75" s="43"/>
      <c r="D75" s="43" t="s">
        <v>211</v>
      </c>
      <c r="E75" s="43" t="s">
        <v>1674</v>
      </c>
      <c r="F75" s="43">
        <v>8010</v>
      </c>
      <c r="G75" s="43">
        <v>0.9</v>
      </c>
      <c r="H75" s="43">
        <f t="shared" si="2"/>
        <v>7209</v>
      </c>
      <c r="I75" s="43" t="s">
        <v>213</v>
      </c>
      <c r="J75" s="43" t="s">
        <v>983</v>
      </c>
      <c r="K75" s="53"/>
    </row>
    <row r="76" spans="1:11">
      <c r="A76" s="41">
        <v>45862</v>
      </c>
      <c r="B76" s="43" t="s">
        <v>97</v>
      </c>
      <c r="C76" s="43"/>
      <c r="D76" s="43" t="s">
        <v>98</v>
      </c>
      <c r="E76" s="43" t="s">
        <v>99</v>
      </c>
      <c r="F76" s="43">
        <v>16410</v>
      </c>
      <c r="G76" s="43">
        <v>0.83</v>
      </c>
      <c r="H76" s="43">
        <f t="shared" si="2"/>
        <v>13620.3</v>
      </c>
      <c r="I76" s="43" t="s">
        <v>100</v>
      </c>
      <c r="J76" s="43"/>
      <c r="K76" s="53"/>
    </row>
    <row r="77" s="35" customFormat="1" spans="1:11">
      <c r="A77" s="44">
        <v>45865</v>
      </c>
      <c r="B77" s="45" t="s">
        <v>97</v>
      </c>
      <c r="C77" s="45"/>
      <c r="D77" s="45" t="s">
        <v>224</v>
      </c>
      <c r="E77" s="45" t="s">
        <v>207</v>
      </c>
      <c r="F77" s="45">
        <v>2005</v>
      </c>
      <c r="G77" s="45">
        <v>0.95</v>
      </c>
      <c r="H77" s="45">
        <f t="shared" si="2"/>
        <v>1904.75</v>
      </c>
      <c r="I77" s="45" t="s">
        <v>208</v>
      </c>
      <c r="J77" s="45"/>
      <c r="K77" s="54"/>
    </row>
    <row r="78" s="35" customFormat="1" spans="1:11">
      <c r="A78" s="44">
        <v>45865</v>
      </c>
      <c r="B78" s="45" t="s">
        <v>97</v>
      </c>
      <c r="C78" s="45"/>
      <c r="D78" s="45" t="s">
        <v>211</v>
      </c>
      <c r="E78" s="45" t="s">
        <v>1674</v>
      </c>
      <c r="F78" s="45">
        <v>4200</v>
      </c>
      <c r="G78" s="45">
        <v>0.9</v>
      </c>
      <c r="H78" s="45">
        <f t="shared" si="2"/>
        <v>3780</v>
      </c>
      <c r="I78" s="45" t="s">
        <v>213</v>
      </c>
      <c r="J78" s="45" t="s">
        <v>455</v>
      </c>
      <c r="K78" s="54">
        <v>1.05</v>
      </c>
    </row>
    <row r="79" s="35" customFormat="1" spans="1:11">
      <c r="A79" s="44">
        <v>45865</v>
      </c>
      <c r="B79" s="45" t="s">
        <v>97</v>
      </c>
      <c r="C79" s="45"/>
      <c r="D79" s="45" t="s">
        <v>1675</v>
      </c>
      <c r="E79" s="45" t="s">
        <v>14</v>
      </c>
      <c r="F79" s="45">
        <v>10</v>
      </c>
      <c r="G79" s="45">
        <v>0</v>
      </c>
      <c r="H79" s="45">
        <f t="shared" si="2"/>
        <v>0</v>
      </c>
      <c r="I79" s="45" t="s">
        <v>1676</v>
      </c>
      <c r="J79" s="45"/>
      <c r="K79" s="54"/>
    </row>
    <row r="80" s="35" customFormat="1" spans="1:11">
      <c r="A80" s="44">
        <v>45869</v>
      </c>
      <c r="B80" s="45" t="s">
        <v>97</v>
      </c>
      <c r="C80" s="45"/>
      <c r="D80" s="45" t="s">
        <v>224</v>
      </c>
      <c r="E80" s="45" t="s">
        <v>14</v>
      </c>
      <c r="F80" s="45">
        <v>105</v>
      </c>
      <c r="G80" s="45">
        <v>0.7</v>
      </c>
      <c r="H80" s="45">
        <f t="shared" si="2"/>
        <v>73.5</v>
      </c>
      <c r="I80" s="45" t="s">
        <v>35</v>
      </c>
      <c r="J80" s="45"/>
      <c r="K80" s="54"/>
    </row>
    <row r="81" spans="1:11">
      <c r="A81" s="41">
        <v>45841</v>
      </c>
      <c r="B81" s="43" t="s">
        <v>1677</v>
      </c>
      <c r="C81" s="43" t="s">
        <v>1678</v>
      </c>
      <c r="D81" s="43" t="s">
        <v>1495</v>
      </c>
      <c r="E81" s="43" t="s">
        <v>111</v>
      </c>
      <c r="F81" s="45">
        <v>4500</v>
      </c>
      <c r="G81" s="45">
        <v>0.72</v>
      </c>
      <c r="H81" s="43">
        <f t="shared" si="2"/>
        <v>3240</v>
      </c>
      <c r="I81" s="43" t="s">
        <v>243</v>
      </c>
      <c r="J81" s="43"/>
      <c r="K81" s="53"/>
    </row>
    <row r="82" spans="1:11">
      <c r="A82" s="41">
        <v>45847</v>
      </c>
      <c r="B82" s="43" t="s">
        <v>1677</v>
      </c>
      <c r="C82" s="43" t="s">
        <v>1679</v>
      </c>
      <c r="D82" s="43" t="s">
        <v>1680</v>
      </c>
      <c r="E82" s="43" t="s">
        <v>14</v>
      </c>
      <c r="F82" s="45">
        <v>2030</v>
      </c>
      <c r="G82" s="45">
        <v>0.65</v>
      </c>
      <c r="H82" s="43">
        <f t="shared" si="2"/>
        <v>1319.5</v>
      </c>
      <c r="I82" s="43" t="s">
        <v>330</v>
      </c>
      <c r="J82" s="43"/>
      <c r="K82" s="53"/>
    </row>
    <row r="83" spans="1:11">
      <c r="A83" s="41">
        <v>45843</v>
      </c>
      <c r="B83" s="43" t="s">
        <v>1677</v>
      </c>
      <c r="C83" s="43" t="s">
        <v>1681</v>
      </c>
      <c r="D83" s="43" t="s">
        <v>1495</v>
      </c>
      <c r="E83" s="43" t="s">
        <v>111</v>
      </c>
      <c r="F83" s="45">
        <v>500</v>
      </c>
      <c r="G83" s="45">
        <v>0.7</v>
      </c>
      <c r="H83" s="43">
        <f t="shared" si="2"/>
        <v>350</v>
      </c>
      <c r="I83" s="43" t="s">
        <v>243</v>
      </c>
      <c r="J83" s="43"/>
      <c r="K83" s="53"/>
    </row>
    <row r="84" spans="1:11">
      <c r="A84" s="41">
        <v>45849</v>
      </c>
      <c r="B84" s="43" t="s">
        <v>1677</v>
      </c>
      <c r="C84" s="43" t="s">
        <v>1682</v>
      </c>
      <c r="D84" s="43" t="s">
        <v>1680</v>
      </c>
      <c r="E84" s="43" t="s">
        <v>14</v>
      </c>
      <c r="F84" s="45">
        <v>50</v>
      </c>
      <c r="G84" s="45">
        <v>0.62</v>
      </c>
      <c r="H84" s="43">
        <f t="shared" si="2"/>
        <v>31</v>
      </c>
      <c r="I84" s="43" t="s">
        <v>330</v>
      </c>
      <c r="J84" s="43"/>
      <c r="K84" s="53"/>
    </row>
    <row r="85" spans="1:11">
      <c r="A85" s="41">
        <v>45867</v>
      </c>
      <c r="B85" s="43" t="s">
        <v>1677</v>
      </c>
      <c r="C85" s="43" t="s">
        <v>1683</v>
      </c>
      <c r="D85" s="43" t="s">
        <v>1211</v>
      </c>
      <c r="E85" s="43" t="s">
        <v>14</v>
      </c>
      <c r="F85" s="45">
        <v>500</v>
      </c>
      <c r="G85" s="45">
        <v>1.6</v>
      </c>
      <c r="H85" s="43">
        <f t="shared" si="2"/>
        <v>800</v>
      </c>
      <c r="I85" s="43" t="s">
        <v>271</v>
      </c>
      <c r="J85" s="43"/>
      <c r="K85" s="53"/>
    </row>
    <row r="86" spans="1:11">
      <c r="A86" s="41">
        <v>45839</v>
      </c>
      <c r="B86" s="43" t="s">
        <v>184</v>
      </c>
      <c r="C86" s="43" t="s">
        <v>1684</v>
      </c>
      <c r="D86" s="43" t="s">
        <v>389</v>
      </c>
      <c r="E86" s="43" t="s">
        <v>14</v>
      </c>
      <c r="F86" s="45">
        <v>104</v>
      </c>
      <c r="G86" s="45">
        <v>1.42</v>
      </c>
      <c r="H86" s="43">
        <f t="shared" ref="H86:H114" si="3">F86*G86</f>
        <v>147.68</v>
      </c>
      <c r="I86" s="43" t="s">
        <v>1597</v>
      </c>
      <c r="J86" s="43"/>
      <c r="K86" s="43"/>
    </row>
    <row r="87" spans="1:11">
      <c r="A87" s="41">
        <v>45839</v>
      </c>
      <c r="B87" s="43" t="s">
        <v>184</v>
      </c>
      <c r="C87" s="43" t="s">
        <v>1685</v>
      </c>
      <c r="D87" s="43" t="s">
        <v>389</v>
      </c>
      <c r="E87" s="43" t="s">
        <v>14</v>
      </c>
      <c r="F87" s="45">
        <v>17896</v>
      </c>
      <c r="G87" s="45">
        <v>1.42</v>
      </c>
      <c r="H87" s="43">
        <f t="shared" si="3"/>
        <v>25412.32</v>
      </c>
      <c r="I87" s="43" t="s">
        <v>1429</v>
      </c>
      <c r="J87" s="43" t="s">
        <v>46</v>
      </c>
      <c r="K87" s="43"/>
    </row>
    <row r="88" spans="1:11">
      <c r="A88" s="41">
        <v>45840</v>
      </c>
      <c r="B88" s="43" t="s">
        <v>184</v>
      </c>
      <c r="C88" s="43" t="s">
        <v>1686</v>
      </c>
      <c r="D88" s="43" t="s">
        <v>823</v>
      </c>
      <c r="E88" s="43" t="s">
        <v>14</v>
      </c>
      <c r="F88" s="45">
        <v>5000</v>
      </c>
      <c r="G88" s="45">
        <v>1.48</v>
      </c>
      <c r="H88" s="43">
        <f t="shared" si="3"/>
        <v>7400</v>
      </c>
      <c r="I88" s="43" t="s">
        <v>133</v>
      </c>
      <c r="J88" s="43" t="s">
        <v>46</v>
      </c>
      <c r="K88" s="43"/>
    </row>
    <row r="89" spans="1:11">
      <c r="A89" s="41">
        <v>45840</v>
      </c>
      <c r="B89" s="43" t="s">
        <v>184</v>
      </c>
      <c r="C89" s="43" t="s">
        <v>1686</v>
      </c>
      <c r="D89" s="43" t="s">
        <v>183</v>
      </c>
      <c r="E89" s="43" t="s">
        <v>14</v>
      </c>
      <c r="F89" s="45">
        <v>2000</v>
      </c>
      <c r="G89" s="45">
        <v>1.2</v>
      </c>
      <c r="H89" s="43">
        <f t="shared" si="3"/>
        <v>2400</v>
      </c>
      <c r="I89" s="43" t="s">
        <v>300</v>
      </c>
      <c r="J89" s="43" t="s">
        <v>46</v>
      </c>
      <c r="K89" s="43"/>
    </row>
    <row r="90" spans="1:11">
      <c r="A90" s="41">
        <v>45842</v>
      </c>
      <c r="B90" s="43" t="s">
        <v>184</v>
      </c>
      <c r="C90" s="43" t="s">
        <v>1687</v>
      </c>
      <c r="D90" s="43" t="s">
        <v>399</v>
      </c>
      <c r="E90" s="43" t="s">
        <v>14</v>
      </c>
      <c r="F90" s="45">
        <v>4000</v>
      </c>
      <c r="G90" s="45">
        <v>1.2</v>
      </c>
      <c r="H90" s="43">
        <f t="shared" si="3"/>
        <v>4800</v>
      </c>
      <c r="I90" s="43" t="s">
        <v>412</v>
      </c>
      <c r="J90" s="43" t="s">
        <v>46</v>
      </c>
      <c r="K90" s="43"/>
    </row>
    <row r="91" spans="1:11">
      <c r="A91" s="41">
        <v>45842</v>
      </c>
      <c r="B91" s="43" t="s">
        <v>184</v>
      </c>
      <c r="C91" s="43" t="s">
        <v>1687</v>
      </c>
      <c r="D91" s="43" t="s">
        <v>1118</v>
      </c>
      <c r="E91" s="43" t="s">
        <v>14</v>
      </c>
      <c r="F91" s="45">
        <v>5070</v>
      </c>
      <c r="G91" s="45">
        <v>1.75</v>
      </c>
      <c r="H91" s="43">
        <f t="shared" si="3"/>
        <v>8872.5</v>
      </c>
      <c r="I91" s="43" t="s">
        <v>89</v>
      </c>
      <c r="J91" s="43" t="s">
        <v>46</v>
      </c>
      <c r="K91" s="43"/>
    </row>
    <row r="92" spans="1:11">
      <c r="A92" s="41">
        <v>45845</v>
      </c>
      <c r="B92" s="43" t="s">
        <v>184</v>
      </c>
      <c r="C92" s="43" t="s">
        <v>1688</v>
      </c>
      <c r="D92" s="43" t="s">
        <v>183</v>
      </c>
      <c r="E92" s="43" t="s">
        <v>14</v>
      </c>
      <c r="F92" s="45">
        <v>5000</v>
      </c>
      <c r="G92" s="45">
        <v>1.2</v>
      </c>
      <c r="H92" s="43">
        <f t="shared" si="3"/>
        <v>6000</v>
      </c>
      <c r="I92" s="43" t="s">
        <v>300</v>
      </c>
      <c r="J92" s="43" t="s">
        <v>46</v>
      </c>
      <c r="K92" s="43"/>
    </row>
    <row r="93" spans="1:11">
      <c r="A93" s="41">
        <v>45846</v>
      </c>
      <c r="B93" s="43" t="s">
        <v>184</v>
      </c>
      <c r="C93" s="43" t="s">
        <v>1689</v>
      </c>
      <c r="D93" s="43" t="s">
        <v>27</v>
      </c>
      <c r="E93" s="43" t="s">
        <v>14</v>
      </c>
      <c r="F93" s="45">
        <v>1970</v>
      </c>
      <c r="G93" s="45">
        <v>1.8</v>
      </c>
      <c r="H93" s="43">
        <f t="shared" si="3"/>
        <v>3546</v>
      </c>
      <c r="I93" s="43" t="s">
        <v>39</v>
      </c>
      <c r="J93" s="43" t="s">
        <v>46</v>
      </c>
      <c r="K93" s="43"/>
    </row>
    <row r="94" spans="1:11">
      <c r="A94" s="41">
        <v>45846</v>
      </c>
      <c r="B94" s="43" t="s">
        <v>184</v>
      </c>
      <c r="C94" s="43" t="s">
        <v>1689</v>
      </c>
      <c r="D94" s="43" t="s">
        <v>1188</v>
      </c>
      <c r="E94" s="43" t="s">
        <v>14</v>
      </c>
      <c r="F94" s="45">
        <v>2000</v>
      </c>
      <c r="G94" s="45">
        <v>1.1</v>
      </c>
      <c r="H94" s="43">
        <f t="shared" si="3"/>
        <v>2200</v>
      </c>
      <c r="I94" s="43" t="s">
        <v>1690</v>
      </c>
      <c r="J94" s="43" t="s">
        <v>46</v>
      </c>
      <c r="K94" s="43"/>
    </row>
    <row r="95" s="35" customFormat="1" spans="1:11">
      <c r="A95" s="44">
        <v>45848</v>
      </c>
      <c r="B95" s="45" t="s">
        <v>184</v>
      </c>
      <c r="C95" s="45" t="s">
        <v>1691</v>
      </c>
      <c r="D95" s="45" t="s">
        <v>1692</v>
      </c>
      <c r="E95" s="45" t="s">
        <v>14</v>
      </c>
      <c r="F95" s="45">
        <v>5</v>
      </c>
      <c r="G95" s="45">
        <v>0</v>
      </c>
      <c r="H95" s="45">
        <f t="shared" si="3"/>
        <v>0</v>
      </c>
      <c r="I95" s="45" t="s">
        <v>1693</v>
      </c>
      <c r="J95" s="45"/>
      <c r="K95" s="45"/>
    </row>
    <row r="96" spans="1:11">
      <c r="A96" s="41">
        <v>45849</v>
      </c>
      <c r="B96" s="43" t="s">
        <v>184</v>
      </c>
      <c r="C96" s="43" t="s">
        <v>1694</v>
      </c>
      <c r="D96" s="43" t="s">
        <v>851</v>
      </c>
      <c r="E96" s="43" t="s">
        <v>14</v>
      </c>
      <c r="F96" s="45">
        <v>5000</v>
      </c>
      <c r="G96" s="45">
        <v>1.7</v>
      </c>
      <c r="H96" s="43">
        <f t="shared" si="3"/>
        <v>8500</v>
      </c>
      <c r="I96" s="43" t="s">
        <v>406</v>
      </c>
      <c r="J96" s="43" t="s">
        <v>46</v>
      </c>
      <c r="K96" s="43"/>
    </row>
    <row r="97" spans="1:11">
      <c r="A97" s="41">
        <v>45849</v>
      </c>
      <c r="B97" s="43" t="s">
        <v>184</v>
      </c>
      <c r="C97" s="43" t="s">
        <v>1694</v>
      </c>
      <c r="D97" s="43" t="s">
        <v>402</v>
      </c>
      <c r="E97" s="43" t="s">
        <v>14</v>
      </c>
      <c r="F97" s="45">
        <v>3000</v>
      </c>
      <c r="G97" s="45">
        <v>1</v>
      </c>
      <c r="H97" s="43">
        <f t="shared" si="3"/>
        <v>3000</v>
      </c>
      <c r="I97" s="43" t="s">
        <v>89</v>
      </c>
      <c r="J97" s="43" t="s">
        <v>46</v>
      </c>
      <c r="K97" s="43"/>
    </row>
    <row r="98" spans="1:11">
      <c r="A98" s="41">
        <v>45850</v>
      </c>
      <c r="B98" s="43" t="s">
        <v>184</v>
      </c>
      <c r="C98" s="43" t="s">
        <v>1695</v>
      </c>
      <c r="D98" s="43" t="s">
        <v>946</v>
      </c>
      <c r="E98" s="43" t="s">
        <v>14</v>
      </c>
      <c r="F98" s="45">
        <v>1050</v>
      </c>
      <c r="G98" s="45">
        <v>2.65</v>
      </c>
      <c r="H98" s="43">
        <f t="shared" si="3"/>
        <v>2782.5</v>
      </c>
      <c r="I98" s="43" t="s">
        <v>406</v>
      </c>
      <c r="J98" s="43" t="s">
        <v>46</v>
      </c>
      <c r="K98" s="43"/>
    </row>
    <row r="99" spans="1:11">
      <c r="A99" s="41">
        <v>45850</v>
      </c>
      <c r="B99" s="43" t="s">
        <v>184</v>
      </c>
      <c r="C99" s="43" t="s">
        <v>1695</v>
      </c>
      <c r="D99" s="43" t="s">
        <v>560</v>
      </c>
      <c r="E99" s="43" t="s">
        <v>14</v>
      </c>
      <c r="F99" s="45">
        <v>3080</v>
      </c>
      <c r="G99" s="45">
        <v>1.2</v>
      </c>
      <c r="H99" s="43">
        <f t="shared" si="3"/>
        <v>3696</v>
      </c>
      <c r="I99" s="43" t="s">
        <v>117</v>
      </c>
      <c r="J99" s="43" t="s">
        <v>46</v>
      </c>
      <c r="K99" s="43"/>
    </row>
    <row r="100" s="35" customFormat="1" spans="1:11">
      <c r="A100" s="44">
        <v>45850</v>
      </c>
      <c r="B100" s="45" t="s">
        <v>184</v>
      </c>
      <c r="C100" s="45" t="s">
        <v>1696</v>
      </c>
      <c r="D100" s="45" t="s">
        <v>38</v>
      </c>
      <c r="E100" s="45" t="s">
        <v>14</v>
      </c>
      <c r="F100" s="45">
        <v>43</v>
      </c>
      <c r="G100" s="45">
        <v>1.35</v>
      </c>
      <c r="H100" s="45">
        <f t="shared" si="3"/>
        <v>58.05</v>
      </c>
      <c r="I100" s="45" t="s">
        <v>78</v>
      </c>
      <c r="J100" s="45"/>
      <c r="K100" s="45"/>
    </row>
    <row r="101" spans="1:11">
      <c r="A101" s="41">
        <v>45852</v>
      </c>
      <c r="B101" s="43" t="s">
        <v>184</v>
      </c>
      <c r="C101" s="43" t="s">
        <v>1697</v>
      </c>
      <c r="D101" s="43" t="s">
        <v>851</v>
      </c>
      <c r="E101" s="43" t="s">
        <v>14</v>
      </c>
      <c r="F101" s="45">
        <v>13000</v>
      </c>
      <c r="G101" s="45">
        <v>1.7</v>
      </c>
      <c r="H101" s="43">
        <f t="shared" si="3"/>
        <v>22100</v>
      </c>
      <c r="I101" s="43" t="s">
        <v>406</v>
      </c>
      <c r="J101" s="43" t="s">
        <v>46</v>
      </c>
      <c r="K101" s="43"/>
    </row>
    <row r="102" spans="1:11">
      <c r="A102" s="41">
        <v>45852</v>
      </c>
      <c r="B102" s="43" t="s">
        <v>184</v>
      </c>
      <c r="C102" s="43" t="s">
        <v>1698</v>
      </c>
      <c r="D102" s="43" t="s">
        <v>1188</v>
      </c>
      <c r="E102" s="43" t="s">
        <v>14</v>
      </c>
      <c r="F102" s="45">
        <v>40</v>
      </c>
      <c r="G102" s="45">
        <v>1.1</v>
      </c>
      <c r="H102" s="43">
        <f t="shared" si="3"/>
        <v>44</v>
      </c>
      <c r="I102" s="43" t="s">
        <v>28</v>
      </c>
      <c r="J102" s="43" t="s">
        <v>46</v>
      </c>
      <c r="K102" s="43"/>
    </row>
    <row r="103" spans="1:11">
      <c r="A103" s="41">
        <v>45854</v>
      </c>
      <c r="B103" s="43" t="s">
        <v>184</v>
      </c>
      <c r="C103" s="43" t="s">
        <v>1699</v>
      </c>
      <c r="D103" s="43" t="s">
        <v>1233</v>
      </c>
      <c r="E103" s="43" t="s">
        <v>14</v>
      </c>
      <c r="F103" s="45">
        <v>65</v>
      </c>
      <c r="G103" s="45">
        <v>1.45</v>
      </c>
      <c r="H103" s="43">
        <f t="shared" si="3"/>
        <v>94.25</v>
      </c>
      <c r="I103" s="43" t="s">
        <v>982</v>
      </c>
      <c r="J103" s="43"/>
      <c r="K103" s="43"/>
    </row>
    <row r="104" spans="1:11">
      <c r="A104" s="41">
        <v>45854</v>
      </c>
      <c r="B104" s="43" t="s">
        <v>184</v>
      </c>
      <c r="C104" s="43" t="s">
        <v>1700</v>
      </c>
      <c r="D104" s="43" t="s">
        <v>696</v>
      </c>
      <c r="E104" s="43" t="s">
        <v>14</v>
      </c>
      <c r="F104" s="45">
        <v>6020</v>
      </c>
      <c r="G104" s="45">
        <v>1.25</v>
      </c>
      <c r="H104" s="43">
        <f t="shared" si="3"/>
        <v>7525</v>
      </c>
      <c r="I104" s="43" t="s">
        <v>999</v>
      </c>
      <c r="J104" s="43" t="s">
        <v>46</v>
      </c>
      <c r="K104" s="43"/>
    </row>
    <row r="105" spans="1:11">
      <c r="A105" s="41">
        <v>45854</v>
      </c>
      <c r="B105" s="43" t="s">
        <v>184</v>
      </c>
      <c r="C105" s="43" t="s">
        <v>1700</v>
      </c>
      <c r="D105" s="43" t="s">
        <v>410</v>
      </c>
      <c r="E105" s="43" t="s">
        <v>14</v>
      </c>
      <c r="F105" s="45">
        <v>5000</v>
      </c>
      <c r="G105" s="45">
        <v>1.3</v>
      </c>
      <c r="H105" s="43">
        <f t="shared" si="3"/>
        <v>6500</v>
      </c>
      <c r="I105" s="43" t="s">
        <v>117</v>
      </c>
      <c r="J105" s="43" t="s">
        <v>46</v>
      </c>
      <c r="K105" s="43"/>
    </row>
    <row r="106" spans="1:11">
      <c r="A106" s="41">
        <v>45854</v>
      </c>
      <c r="B106" s="43" t="s">
        <v>184</v>
      </c>
      <c r="C106" s="43" t="s">
        <v>1700</v>
      </c>
      <c r="D106" s="43" t="s">
        <v>576</v>
      </c>
      <c r="E106" s="43" t="s">
        <v>14</v>
      </c>
      <c r="F106" s="45">
        <v>2000</v>
      </c>
      <c r="G106" s="45">
        <v>1.5</v>
      </c>
      <c r="H106" s="43">
        <f t="shared" si="3"/>
        <v>3000</v>
      </c>
      <c r="I106" s="43" t="s">
        <v>287</v>
      </c>
      <c r="J106" s="43" t="s">
        <v>46</v>
      </c>
      <c r="K106" s="43"/>
    </row>
    <row r="107" spans="1:11">
      <c r="A107" s="41">
        <v>45855</v>
      </c>
      <c r="B107" s="43" t="s">
        <v>184</v>
      </c>
      <c r="C107" s="43" t="s">
        <v>1701</v>
      </c>
      <c r="D107" s="43" t="s">
        <v>410</v>
      </c>
      <c r="E107" s="43" t="s">
        <v>14</v>
      </c>
      <c r="F107" s="45">
        <v>5000</v>
      </c>
      <c r="G107" s="45">
        <v>1.3</v>
      </c>
      <c r="H107" s="43">
        <f t="shared" si="3"/>
        <v>6500</v>
      </c>
      <c r="I107" s="43" t="s">
        <v>117</v>
      </c>
      <c r="J107" s="43" t="s">
        <v>46</v>
      </c>
      <c r="K107" s="43"/>
    </row>
    <row r="108" spans="1:11">
      <c r="A108" s="41">
        <v>45855</v>
      </c>
      <c r="B108" s="43" t="s">
        <v>184</v>
      </c>
      <c r="C108" s="43" t="s">
        <v>1702</v>
      </c>
      <c r="D108" s="43" t="s">
        <v>1703</v>
      </c>
      <c r="E108" s="43" t="s">
        <v>14</v>
      </c>
      <c r="F108" s="45">
        <v>12</v>
      </c>
      <c r="G108" s="45">
        <v>1.1</v>
      </c>
      <c r="H108" s="43">
        <f t="shared" si="3"/>
        <v>13.2</v>
      </c>
      <c r="I108" s="43" t="s">
        <v>32</v>
      </c>
      <c r="J108" s="43"/>
      <c r="K108" s="43"/>
    </row>
    <row r="109" spans="1:11">
      <c r="A109" s="41">
        <v>45856</v>
      </c>
      <c r="B109" s="43" t="s">
        <v>184</v>
      </c>
      <c r="C109" s="43" t="s">
        <v>1704</v>
      </c>
      <c r="D109" s="43" t="s">
        <v>183</v>
      </c>
      <c r="E109" s="43" t="s">
        <v>14</v>
      </c>
      <c r="F109" s="45">
        <v>5000</v>
      </c>
      <c r="G109" s="45">
        <v>1.2</v>
      </c>
      <c r="H109" s="43">
        <f t="shared" si="3"/>
        <v>6000</v>
      </c>
      <c r="I109" s="43" t="s">
        <v>300</v>
      </c>
      <c r="J109" s="43" t="s">
        <v>46</v>
      </c>
      <c r="K109" s="43"/>
    </row>
    <row r="110" spans="1:11">
      <c r="A110" s="41">
        <v>45856</v>
      </c>
      <c r="B110" s="43" t="s">
        <v>184</v>
      </c>
      <c r="C110" s="43" t="s">
        <v>1704</v>
      </c>
      <c r="D110" s="43" t="s">
        <v>38</v>
      </c>
      <c r="E110" s="43" t="s">
        <v>14</v>
      </c>
      <c r="F110" s="45">
        <v>20000</v>
      </c>
      <c r="G110" s="45">
        <v>1.3</v>
      </c>
      <c r="H110" s="43">
        <f t="shared" si="3"/>
        <v>26000</v>
      </c>
      <c r="I110" s="43" t="s">
        <v>579</v>
      </c>
      <c r="J110" s="43" t="s">
        <v>46</v>
      </c>
      <c r="K110" s="43"/>
    </row>
    <row r="111" spans="1:11">
      <c r="A111" s="41">
        <v>45859</v>
      </c>
      <c r="B111" s="43" t="s">
        <v>184</v>
      </c>
      <c r="C111" s="43" t="s">
        <v>1705</v>
      </c>
      <c r="D111" s="43" t="s">
        <v>402</v>
      </c>
      <c r="E111" s="43" t="s">
        <v>14</v>
      </c>
      <c r="F111" s="45">
        <v>2020</v>
      </c>
      <c r="G111" s="45">
        <v>1</v>
      </c>
      <c r="H111" s="43">
        <f t="shared" si="3"/>
        <v>2020</v>
      </c>
      <c r="I111" s="43" t="s">
        <v>89</v>
      </c>
      <c r="J111" s="43"/>
      <c r="K111" s="43"/>
    </row>
    <row r="112" spans="1:11">
      <c r="A112" s="41">
        <v>45859</v>
      </c>
      <c r="B112" s="43" t="s">
        <v>184</v>
      </c>
      <c r="C112" s="43" t="s">
        <v>1706</v>
      </c>
      <c r="D112" s="43" t="s">
        <v>1707</v>
      </c>
      <c r="E112" s="43" t="s">
        <v>14</v>
      </c>
      <c r="F112" s="45">
        <v>10</v>
      </c>
      <c r="G112" s="45">
        <v>1.4</v>
      </c>
      <c r="H112" s="43">
        <f t="shared" si="3"/>
        <v>14</v>
      </c>
      <c r="I112" s="43" t="s">
        <v>1708</v>
      </c>
      <c r="J112" s="43"/>
      <c r="K112" s="43"/>
    </row>
    <row r="113" spans="1:11">
      <c r="A113" s="41">
        <v>45859</v>
      </c>
      <c r="B113" s="43" t="s">
        <v>184</v>
      </c>
      <c r="C113" s="43" t="s">
        <v>1709</v>
      </c>
      <c r="D113" s="43" t="s">
        <v>392</v>
      </c>
      <c r="E113" s="43" t="s">
        <v>14</v>
      </c>
      <c r="F113" s="45">
        <v>5000</v>
      </c>
      <c r="G113" s="45">
        <v>1.26</v>
      </c>
      <c r="H113" s="43">
        <f t="shared" si="3"/>
        <v>6300</v>
      </c>
      <c r="I113" s="43" t="s">
        <v>864</v>
      </c>
      <c r="J113" s="43" t="s">
        <v>46</v>
      </c>
      <c r="K113" s="43"/>
    </row>
    <row r="114" spans="1:11">
      <c r="A114" s="41">
        <v>45859</v>
      </c>
      <c r="B114" s="43" t="s">
        <v>184</v>
      </c>
      <c r="C114" s="43" t="s">
        <v>1709</v>
      </c>
      <c r="D114" s="43" t="s">
        <v>402</v>
      </c>
      <c r="E114" s="43" t="s">
        <v>14</v>
      </c>
      <c r="F114" s="45">
        <v>2980</v>
      </c>
      <c r="G114" s="45">
        <v>1</v>
      </c>
      <c r="H114" s="43">
        <f t="shared" si="3"/>
        <v>2980</v>
      </c>
      <c r="I114" s="43" t="s">
        <v>864</v>
      </c>
      <c r="J114" s="43" t="s">
        <v>46</v>
      </c>
      <c r="K114" s="43"/>
    </row>
    <row r="115" s="52" customFormat="1" spans="1:11">
      <c r="A115" s="46">
        <v>45859</v>
      </c>
      <c r="B115" s="42" t="s">
        <v>184</v>
      </c>
      <c r="C115" s="42" t="s">
        <v>1710</v>
      </c>
      <c r="D115" s="42" t="s">
        <v>851</v>
      </c>
      <c r="E115" s="42" t="s">
        <v>14</v>
      </c>
      <c r="F115" s="45">
        <v>10000</v>
      </c>
      <c r="G115" s="45">
        <v>1.7</v>
      </c>
      <c r="H115" s="42">
        <f t="shared" ref="H115:H125" si="4">F115*G115</f>
        <v>17000</v>
      </c>
      <c r="I115" s="42" t="s">
        <v>406</v>
      </c>
      <c r="J115" s="42" t="s">
        <v>46</v>
      </c>
      <c r="K115" s="42"/>
    </row>
    <row r="116" s="52" customFormat="1" spans="1:11">
      <c r="A116" s="46">
        <v>45860</v>
      </c>
      <c r="B116" s="42" t="s">
        <v>184</v>
      </c>
      <c r="C116" s="42" t="s">
        <v>1711</v>
      </c>
      <c r="D116" s="42" t="s">
        <v>188</v>
      </c>
      <c r="E116" s="42" t="s">
        <v>14</v>
      </c>
      <c r="F116" s="45">
        <v>5000</v>
      </c>
      <c r="G116" s="45">
        <v>1.17</v>
      </c>
      <c r="H116" s="42">
        <f t="shared" si="4"/>
        <v>5850</v>
      </c>
      <c r="I116" s="42" t="s">
        <v>189</v>
      </c>
      <c r="J116" s="42" t="s">
        <v>46</v>
      </c>
      <c r="K116" s="42"/>
    </row>
    <row r="117" s="52" customFormat="1" spans="1:11">
      <c r="A117" s="46">
        <v>45860</v>
      </c>
      <c r="B117" s="42" t="s">
        <v>184</v>
      </c>
      <c r="C117" s="42" t="s">
        <v>1712</v>
      </c>
      <c r="D117" s="42" t="s">
        <v>183</v>
      </c>
      <c r="E117" s="42" t="s">
        <v>14</v>
      </c>
      <c r="F117" s="45">
        <v>3000</v>
      </c>
      <c r="G117" s="45">
        <v>1.2</v>
      </c>
      <c r="H117" s="42">
        <f t="shared" si="4"/>
        <v>3600</v>
      </c>
      <c r="I117" s="42" t="s">
        <v>133</v>
      </c>
      <c r="J117" s="42" t="s">
        <v>46</v>
      </c>
      <c r="K117" s="42"/>
    </row>
    <row r="118" s="52" customFormat="1" spans="1:11">
      <c r="A118" s="46">
        <v>45860</v>
      </c>
      <c r="B118" s="42" t="s">
        <v>184</v>
      </c>
      <c r="C118" s="42" t="s">
        <v>1712</v>
      </c>
      <c r="D118" s="42" t="s">
        <v>823</v>
      </c>
      <c r="E118" s="42" t="s">
        <v>14</v>
      </c>
      <c r="F118" s="45">
        <v>5000</v>
      </c>
      <c r="G118" s="45">
        <v>1.48</v>
      </c>
      <c r="H118" s="42">
        <f t="shared" si="4"/>
        <v>7400</v>
      </c>
      <c r="I118" s="42" t="s">
        <v>133</v>
      </c>
      <c r="J118" s="42" t="s">
        <v>46</v>
      </c>
      <c r="K118" s="42"/>
    </row>
    <row r="119" s="52" customFormat="1" spans="1:11">
      <c r="A119" s="46">
        <v>45862</v>
      </c>
      <c r="B119" s="42" t="s">
        <v>184</v>
      </c>
      <c r="C119" s="42" t="s">
        <v>1713</v>
      </c>
      <c r="D119" s="42" t="s">
        <v>1707</v>
      </c>
      <c r="E119" s="42" t="s">
        <v>14</v>
      </c>
      <c r="F119" s="45">
        <v>2040</v>
      </c>
      <c r="G119" s="45">
        <v>1.4</v>
      </c>
      <c r="H119" s="42">
        <f t="shared" si="4"/>
        <v>2856</v>
      </c>
      <c r="I119" s="42" t="s">
        <v>1714</v>
      </c>
      <c r="J119" s="42" t="s">
        <v>1715</v>
      </c>
      <c r="K119" s="42"/>
    </row>
    <row r="120" s="52" customFormat="1" spans="1:11">
      <c r="A120" s="46">
        <v>45862</v>
      </c>
      <c r="B120" s="42" t="s">
        <v>184</v>
      </c>
      <c r="C120" s="42" t="s">
        <v>1716</v>
      </c>
      <c r="D120" s="42" t="s">
        <v>823</v>
      </c>
      <c r="E120" s="42" t="s">
        <v>14</v>
      </c>
      <c r="F120" s="45">
        <v>3500</v>
      </c>
      <c r="G120" s="45">
        <v>1.48</v>
      </c>
      <c r="H120" s="42">
        <f t="shared" si="4"/>
        <v>5180</v>
      </c>
      <c r="I120" s="42" t="s">
        <v>1429</v>
      </c>
      <c r="J120" s="42" t="s">
        <v>46</v>
      </c>
      <c r="K120" s="42"/>
    </row>
    <row r="121" s="52" customFormat="1" spans="1:11">
      <c r="A121" s="46">
        <v>45863</v>
      </c>
      <c r="B121" s="42" t="s">
        <v>184</v>
      </c>
      <c r="C121" s="42" t="s">
        <v>1717</v>
      </c>
      <c r="D121" s="42" t="s">
        <v>183</v>
      </c>
      <c r="E121" s="42" t="s">
        <v>14</v>
      </c>
      <c r="F121" s="45">
        <v>20000</v>
      </c>
      <c r="G121" s="45">
        <v>1.2</v>
      </c>
      <c r="H121" s="42">
        <f t="shared" si="4"/>
        <v>24000</v>
      </c>
      <c r="I121" s="42" t="s">
        <v>1718</v>
      </c>
      <c r="J121" s="42" t="s">
        <v>46</v>
      </c>
      <c r="K121" s="42"/>
    </row>
    <row r="122" s="52" customFormat="1" spans="1:11">
      <c r="A122" s="46">
        <v>45864</v>
      </c>
      <c r="B122" s="42" t="s">
        <v>184</v>
      </c>
      <c r="C122" s="42" t="s">
        <v>1719</v>
      </c>
      <c r="D122" s="42" t="s">
        <v>823</v>
      </c>
      <c r="E122" s="42" t="s">
        <v>14</v>
      </c>
      <c r="F122" s="45">
        <v>42000</v>
      </c>
      <c r="G122" s="45">
        <v>1.45</v>
      </c>
      <c r="H122" s="42">
        <f t="shared" si="4"/>
        <v>60900</v>
      </c>
      <c r="I122" s="42" t="s">
        <v>271</v>
      </c>
      <c r="J122" s="42" t="s">
        <v>46</v>
      </c>
      <c r="K122" s="42"/>
    </row>
    <row r="123" s="52" customFormat="1" spans="1:11">
      <c r="A123" s="46">
        <v>45864</v>
      </c>
      <c r="B123" s="42" t="s">
        <v>184</v>
      </c>
      <c r="C123" s="42" t="s">
        <v>1719</v>
      </c>
      <c r="D123" s="42" t="s">
        <v>183</v>
      </c>
      <c r="E123" s="42" t="s">
        <v>14</v>
      </c>
      <c r="F123" s="45">
        <v>10000</v>
      </c>
      <c r="G123" s="45">
        <v>1.2</v>
      </c>
      <c r="H123" s="42">
        <f t="shared" si="4"/>
        <v>12000</v>
      </c>
      <c r="I123" s="42" t="s">
        <v>433</v>
      </c>
      <c r="J123" s="42" t="s">
        <v>46</v>
      </c>
      <c r="K123" s="42"/>
    </row>
    <row r="124" spans="1:11">
      <c r="A124" s="41">
        <v>45864</v>
      </c>
      <c r="B124" s="43" t="s">
        <v>184</v>
      </c>
      <c r="C124" s="43" t="s">
        <v>1720</v>
      </c>
      <c r="D124" s="43" t="s">
        <v>1707</v>
      </c>
      <c r="E124" s="43" t="s">
        <v>14</v>
      </c>
      <c r="F124" s="45">
        <v>3010</v>
      </c>
      <c r="G124" s="45">
        <v>1.4</v>
      </c>
      <c r="H124" s="42">
        <f t="shared" si="4"/>
        <v>4214</v>
      </c>
      <c r="I124" s="43" t="s">
        <v>1708</v>
      </c>
      <c r="J124" s="43"/>
      <c r="K124" s="43"/>
    </row>
    <row r="125" s="52" customFormat="1" spans="1:11">
      <c r="A125" s="46">
        <v>45868</v>
      </c>
      <c r="B125" s="42" t="s">
        <v>184</v>
      </c>
      <c r="C125" s="42" t="s">
        <v>1721</v>
      </c>
      <c r="D125" s="42" t="s">
        <v>1707</v>
      </c>
      <c r="E125" s="42" t="s">
        <v>14</v>
      </c>
      <c r="F125" s="45">
        <v>525</v>
      </c>
      <c r="G125" s="45">
        <v>1.4</v>
      </c>
      <c r="H125" s="42">
        <f t="shared" si="4"/>
        <v>735</v>
      </c>
      <c r="I125" s="42" t="s">
        <v>1714</v>
      </c>
      <c r="J125" s="42"/>
      <c r="K125" s="42"/>
    </row>
    <row r="126" ht="12" customHeight="1" spans="1:11">
      <c r="A126" s="41">
        <v>45840</v>
      </c>
      <c r="B126" s="43" t="s">
        <v>101</v>
      </c>
      <c r="C126" s="43">
        <v>20250701</v>
      </c>
      <c r="D126" s="43" t="s">
        <v>1299</v>
      </c>
      <c r="E126" s="43" t="s">
        <v>99</v>
      </c>
      <c r="F126" s="45">
        <v>22000</v>
      </c>
      <c r="G126" s="45">
        <v>0.93</v>
      </c>
      <c r="H126" s="43">
        <f t="shared" ref="H126:H152" si="5">F126*G126</f>
        <v>20460</v>
      </c>
      <c r="I126" s="43" t="s">
        <v>213</v>
      </c>
      <c r="J126" s="43"/>
      <c r="K126" s="43"/>
    </row>
    <row r="127" spans="1:11">
      <c r="A127" s="41">
        <v>45840</v>
      </c>
      <c r="B127" s="43" t="s">
        <v>101</v>
      </c>
      <c r="C127" s="43">
        <v>20250701</v>
      </c>
      <c r="D127" s="43" t="s">
        <v>754</v>
      </c>
      <c r="E127" s="43" t="s">
        <v>1405</v>
      </c>
      <c r="F127" s="45">
        <v>1010</v>
      </c>
      <c r="G127" s="45">
        <v>1.1</v>
      </c>
      <c r="H127" s="43">
        <f t="shared" si="5"/>
        <v>1111</v>
      </c>
      <c r="I127" s="43" t="s">
        <v>106</v>
      </c>
      <c r="J127" s="43"/>
      <c r="K127" s="43"/>
    </row>
    <row r="128" spans="1:11">
      <c r="A128" s="41">
        <v>45840</v>
      </c>
      <c r="B128" s="43" t="s">
        <v>101</v>
      </c>
      <c r="C128" s="43">
        <v>20250701</v>
      </c>
      <c r="D128" s="43" t="s">
        <v>84</v>
      </c>
      <c r="E128" s="43" t="s">
        <v>1405</v>
      </c>
      <c r="F128" s="45">
        <v>1010</v>
      </c>
      <c r="G128" s="45">
        <v>1.2</v>
      </c>
      <c r="H128" s="43">
        <f t="shared" si="5"/>
        <v>1212</v>
      </c>
      <c r="I128" s="43" t="s">
        <v>106</v>
      </c>
      <c r="J128" s="43"/>
      <c r="K128" s="43"/>
    </row>
    <row r="129" spans="1:11">
      <c r="A129" s="41">
        <v>45841</v>
      </c>
      <c r="B129" s="43" t="s">
        <v>101</v>
      </c>
      <c r="C129" s="43">
        <v>20250702</v>
      </c>
      <c r="D129" s="43" t="s">
        <v>1299</v>
      </c>
      <c r="E129" s="43" t="s">
        <v>99</v>
      </c>
      <c r="F129" s="45">
        <v>10000</v>
      </c>
      <c r="G129" s="45">
        <v>0.93</v>
      </c>
      <c r="H129" s="43">
        <f t="shared" si="5"/>
        <v>9300</v>
      </c>
      <c r="I129" s="43" t="s">
        <v>363</v>
      </c>
      <c r="J129" s="43"/>
      <c r="K129" s="43"/>
    </row>
    <row r="130" spans="1:11">
      <c r="A130" s="41">
        <v>45841</v>
      </c>
      <c r="B130" s="43" t="s">
        <v>101</v>
      </c>
      <c r="C130" s="43">
        <v>20250702</v>
      </c>
      <c r="D130" s="43" t="s">
        <v>362</v>
      </c>
      <c r="E130" s="43" t="s">
        <v>85</v>
      </c>
      <c r="F130" s="45">
        <v>8010</v>
      </c>
      <c r="G130" s="45">
        <v>0.95</v>
      </c>
      <c r="H130" s="43">
        <f t="shared" si="5"/>
        <v>7609.5</v>
      </c>
      <c r="I130" s="43" t="s">
        <v>503</v>
      </c>
      <c r="J130" s="43"/>
      <c r="K130" s="43"/>
    </row>
    <row r="131" spans="1:11">
      <c r="A131" s="41">
        <v>45842</v>
      </c>
      <c r="B131" s="43" t="s">
        <v>101</v>
      </c>
      <c r="C131" s="43">
        <v>20250703</v>
      </c>
      <c r="D131" s="43" t="s">
        <v>130</v>
      </c>
      <c r="E131" s="43" t="s">
        <v>365</v>
      </c>
      <c r="F131" s="45">
        <v>6200</v>
      </c>
      <c r="G131" s="45">
        <v>0.6</v>
      </c>
      <c r="H131" s="43">
        <f t="shared" si="5"/>
        <v>3720</v>
      </c>
      <c r="I131" s="43" t="s">
        <v>366</v>
      </c>
      <c r="J131" s="43" t="s">
        <v>983</v>
      </c>
      <c r="K131" s="43">
        <v>0.77</v>
      </c>
    </row>
    <row r="132" spans="1:11">
      <c r="A132" s="41">
        <v>45842</v>
      </c>
      <c r="B132" s="43" t="s">
        <v>101</v>
      </c>
      <c r="C132" s="43">
        <v>20250703</v>
      </c>
      <c r="D132" s="43" t="s">
        <v>1299</v>
      </c>
      <c r="E132" s="43" t="s">
        <v>99</v>
      </c>
      <c r="F132" s="45">
        <v>11800</v>
      </c>
      <c r="G132" s="45">
        <v>0.93</v>
      </c>
      <c r="H132" s="43">
        <f t="shared" si="5"/>
        <v>10974</v>
      </c>
      <c r="I132" s="43" t="s">
        <v>213</v>
      </c>
      <c r="J132" s="43"/>
      <c r="K132" s="43"/>
    </row>
    <row r="133" spans="1:11">
      <c r="A133" s="41">
        <v>45845</v>
      </c>
      <c r="B133" s="43" t="s">
        <v>101</v>
      </c>
      <c r="C133" s="43">
        <v>20250704</v>
      </c>
      <c r="D133" s="43" t="s">
        <v>1299</v>
      </c>
      <c r="E133" s="43" t="s">
        <v>99</v>
      </c>
      <c r="F133" s="45">
        <v>15000</v>
      </c>
      <c r="G133" s="45">
        <v>0.93</v>
      </c>
      <c r="H133" s="43">
        <f t="shared" si="5"/>
        <v>13950</v>
      </c>
      <c r="I133" s="43" t="s">
        <v>213</v>
      </c>
      <c r="J133" s="43"/>
      <c r="K133" s="43"/>
    </row>
    <row r="134" spans="1:11">
      <c r="A134" s="41">
        <v>45845</v>
      </c>
      <c r="B134" s="43" t="s">
        <v>101</v>
      </c>
      <c r="C134" s="43">
        <v>20250704</v>
      </c>
      <c r="D134" s="43" t="s">
        <v>751</v>
      </c>
      <c r="E134" s="43" t="s">
        <v>99</v>
      </c>
      <c r="F134" s="45">
        <v>2005</v>
      </c>
      <c r="G134" s="45">
        <v>0.95</v>
      </c>
      <c r="H134" s="43">
        <f t="shared" si="5"/>
        <v>1904.75</v>
      </c>
      <c r="I134" s="43" t="s">
        <v>1241</v>
      </c>
      <c r="J134" s="43"/>
      <c r="K134" s="43"/>
    </row>
    <row r="135" spans="1:11">
      <c r="A135" s="41">
        <v>45845</v>
      </c>
      <c r="B135" s="43" t="s">
        <v>101</v>
      </c>
      <c r="C135" s="43">
        <v>20250704</v>
      </c>
      <c r="D135" s="43" t="s">
        <v>362</v>
      </c>
      <c r="E135" s="43" t="s">
        <v>99</v>
      </c>
      <c r="F135" s="45">
        <v>5100</v>
      </c>
      <c r="G135" s="45">
        <v>0.95</v>
      </c>
      <c r="H135" s="43">
        <f t="shared" si="5"/>
        <v>4845</v>
      </c>
      <c r="I135" s="43" t="s">
        <v>363</v>
      </c>
      <c r="J135" s="43"/>
      <c r="K135" s="43"/>
    </row>
    <row r="136" spans="1:11">
      <c r="A136" s="41">
        <v>45847</v>
      </c>
      <c r="B136" s="43" t="s">
        <v>101</v>
      </c>
      <c r="C136" s="43">
        <v>20250705</v>
      </c>
      <c r="D136" s="43" t="s">
        <v>115</v>
      </c>
      <c r="E136" s="43" t="s">
        <v>60</v>
      </c>
      <c r="F136" s="45">
        <v>10410</v>
      </c>
      <c r="G136" s="45">
        <v>0.5</v>
      </c>
      <c r="H136" s="43">
        <f t="shared" si="5"/>
        <v>5205</v>
      </c>
      <c r="I136" s="43" t="s">
        <v>71</v>
      </c>
      <c r="J136" s="43"/>
      <c r="K136" s="43"/>
    </row>
    <row r="137" spans="1:11">
      <c r="A137" s="41">
        <v>45847</v>
      </c>
      <c r="B137" s="43" t="s">
        <v>101</v>
      </c>
      <c r="C137" s="43">
        <v>20250705</v>
      </c>
      <c r="D137" s="43" t="s">
        <v>102</v>
      </c>
      <c r="E137" s="43" t="s">
        <v>60</v>
      </c>
      <c r="F137" s="45">
        <v>10110</v>
      </c>
      <c r="G137" s="45">
        <v>0.8</v>
      </c>
      <c r="H137" s="43">
        <f t="shared" si="5"/>
        <v>8088</v>
      </c>
      <c r="I137" s="43" t="s">
        <v>103</v>
      </c>
      <c r="J137" s="43"/>
      <c r="K137" s="43"/>
    </row>
    <row r="138" spans="1:11">
      <c r="A138" s="41">
        <v>45847</v>
      </c>
      <c r="B138" s="43" t="s">
        <v>101</v>
      </c>
      <c r="C138" s="43">
        <v>20250705</v>
      </c>
      <c r="D138" s="43" t="s">
        <v>1299</v>
      </c>
      <c r="E138" s="43" t="s">
        <v>99</v>
      </c>
      <c r="F138" s="45">
        <v>22000</v>
      </c>
      <c r="G138" s="45">
        <v>0.93</v>
      </c>
      <c r="H138" s="43">
        <f t="shared" si="5"/>
        <v>20460</v>
      </c>
      <c r="I138" s="43" t="s">
        <v>213</v>
      </c>
      <c r="J138" s="43"/>
      <c r="K138" s="43"/>
    </row>
    <row r="139" spans="1:11">
      <c r="A139" s="41">
        <v>45847</v>
      </c>
      <c r="B139" s="43" t="s">
        <v>101</v>
      </c>
      <c r="C139" s="43">
        <v>20250705</v>
      </c>
      <c r="D139" s="43" t="s">
        <v>1166</v>
      </c>
      <c r="E139" s="43" t="s">
        <v>14</v>
      </c>
      <c r="F139" s="45">
        <v>4600</v>
      </c>
      <c r="G139" s="45">
        <v>0.65</v>
      </c>
      <c r="H139" s="43">
        <f t="shared" si="5"/>
        <v>2990</v>
      </c>
      <c r="I139" s="43" t="s">
        <v>35</v>
      </c>
      <c r="J139" s="43"/>
      <c r="K139" s="43"/>
    </row>
    <row r="140" spans="1:11">
      <c r="A140" s="41">
        <v>45850</v>
      </c>
      <c r="B140" s="43" t="s">
        <v>101</v>
      </c>
      <c r="C140" s="43">
        <v>20250706</v>
      </c>
      <c r="D140" s="43" t="s">
        <v>107</v>
      </c>
      <c r="E140" s="43" t="s">
        <v>60</v>
      </c>
      <c r="F140" s="45">
        <v>2010</v>
      </c>
      <c r="G140" s="45">
        <v>0.75</v>
      </c>
      <c r="H140" s="43">
        <f t="shared" si="5"/>
        <v>1507.5</v>
      </c>
      <c r="I140" s="43" t="s">
        <v>45</v>
      </c>
      <c r="J140" s="43"/>
      <c r="K140" s="43"/>
    </row>
    <row r="141" spans="1:11">
      <c r="A141" s="41">
        <v>45850</v>
      </c>
      <c r="B141" s="43" t="s">
        <v>101</v>
      </c>
      <c r="C141" s="43">
        <v>20250706</v>
      </c>
      <c r="D141" s="43" t="s">
        <v>1299</v>
      </c>
      <c r="E141" s="43" t="s">
        <v>99</v>
      </c>
      <c r="F141" s="45">
        <v>28000</v>
      </c>
      <c r="G141" s="45">
        <v>0.93</v>
      </c>
      <c r="H141" s="43">
        <f t="shared" si="5"/>
        <v>26040</v>
      </c>
      <c r="I141" s="43" t="s">
        <v>363</v>
      </c>
      <c r="J141" s="43"/>
      <c r="K141" s="43"/>
    </row>
    <row r="142" spans="1:11">
      <c r="A142" s="41">
        <v>45854</v>
      </c>
      <c r="B142" s="43" t="s">
        <v>101</v>
      </c>
      <c r="C142" s="43">
        <v>20250707</v>
      </c>
      <c r="D142" s="43" t="s">
        <v>362</v>
      </c>
      <c r="E142" s="43" t="s">
        <v>85</v>
      </c>
      <c r="F142" s="45">
        <v>26020</v>
      </c>
      <c r="G142" s="45">
        <v>0.95</v>
      </c>
      <c r="H142" s="43">
        <f t="shared" si="5"/>
        <v>24719</v>
      </c>
      <c r="I142" s="43" t="s">
        <v>363</v>
      </c>
      <c r="J142" s="43"/>
      <c r="K142" s="43"/>
    </row>
    <row r="143" spans="1:11">
      <c r="A143" s="41">
        <v>45854</v>
      </c>
      <c r="B143" s="43" t="s">
        <v>101</v>
      </c>
      <c r="C143" s="43">
        <v>20250707</v>
      </c>
      <c r="D143" s="43" t="s">
        <v>1299</v>
      </c>
      <c r="E143" s="43" t="s">
        <v>99</v>
      </c>
      <c r="F143" s="45">
        <v>35000</v>
      </c>
      <c r="G143" s="45">
        <v>0.93</v>
      </c>
      <c r="H143" s="43">
        <f t="shared" si="5"/>
        <v>32550</v>
      </c>
      <c r="I143" s="43" t="s">
        <v>213</v>
      </c>
      <c r="J143" s="43"/>
      <c r="K143" s="43"/>
    </row>
    <row r="144" spans="1:11">
      <c r="A144" s="41">
        <v>45856</v>
      </c>
      <c r="B144" s="43" t="s">
        <v>101</v>
      </c>
      <c r="C144" s="43">
        <v>20250708</v>
      </c>
      <c r="D144" s="43" t="s">
        <v>115</v>
      </c>
      <c r="E144" s="43" t="s">
        <v>62</v>
      </c>
      <c r="F144" s="45">
        <v>35777</v>
      </c>
      <c r="G144" s="45">
        <v>0.5</v>
      </c>
      <c r="H144" s="43">
        <f t="shared" si="5"/>
        <v>17888.5</v>
      </c>
      <c r="I144" s="43" t="s">
        <v>65</v>
      </c>
      <c r="J144" s="43"/>
      <c r="K144" s="43"/>
    </row>
    <row r="145" s="52" customFormat="1" spans="1:11">
      <c r="A145" s="46">
        <v>45857</v>
      </c>
      <c r="B145" s="42" t="s">
        <v>101</v>
      </c>
      <c r="C145" s="42">
        <v>20250709</v>
      </c>
      <c r="D145" s="42" t="s">
        <v>104</v>
      </c>
      <c r="E145" s="42" t="s">
        <v>1722</v>
      </c>
      <c r="F145" s="42">
        <v>17700</v>
      </c>
      <c r="G145" s="42">
        <v>0.93</v>
      </c>
      <c r="H145" s="42">
        <f t="shared" si="5"/>
        <v>16461</v>
      </c>
      <c r="I145" s="42" t="s">
        <v>213</v>
      </c>
      <c r="J145" s="42"/>
      <c r="K145" s="42"/>
    </row>
    <row r="146" s="52" customFormat="1" spans="1:11">
      <c r="A146" s="46">
        <v>45857</v>
      </c>
      <c r="B146" s="42" t="s">
        <v>101</v>
      </c>
      <c r="C146" s="42">
        <v>20250709</v>
      </c>
      <c r="D146" s="42" t="s">
        <v>104</v>
      </c>
      <c r="E146" s="42" t="s">
        <v>1722</v>
      </c>
      <c r="F146" s="42">
        <v>10400</v>
      </c>
      <c r="G146" s="42">
        <v>0.93</v>
      </c>
      <c r="H146" s="42">
        <f t="shared" si="5"/>
        <v>9672</v>
      </c>
      <c r="I146" s="42" t="s">
        <v>213</v>
      </c>
      <c r="J146" s="42"/>
      <c r="K146" s="42"/>
    </row>
    <row r="147" s="52" customFormat="1" spans="1:11">
      <c r="A147" s="46">
        <v>45857</v>
      </c>
      <c r="B147" s="42" t="s">
        <v>101</v>
      </c>
      <c r="C147" s="42">
        <v>20250709</v>
      </c>
      <c r="D147" s="42" t="s">
        <v>104</v>
      </c>
      <c r="E147" s="42" t="s">
        <v>1723</v>
      </c>
      <c r="F147" s="42">
        <v>10000</v>
      </c>
      <c r="G147" s="42">
        <v>0.93</v>
      </c>
      <c r="H147" s="42">
        <f t="shared" si="5"/>
        <v>9300</v>
      </c>
      <c r="I147" s="42" t="s">
        <v>105</v>
      </c>
      <c r="J147" s="42"/>
      <c r="K147" s="42"/>
    </row>
    <row r="148" s="52" customFormat="1" spans="1:11">
      <c r="A148" s="46">
        <v>45864</v>
      </c>
      <c r="B148" s="42" t="s">
        <v>101</v>
      </c>
      <c r="C148" s="42">
        <v>20250710</v>
      </c>
      <c r="D148" s="42" t="s">
        <v>115</v>
      </c>
      <c r="E148" s="42" t="s">
        <v>60</v>
      </c>
      <c r="F148" s="45">
        <v>4050</v>
      </c>
      <c r="G148" s="45">
        <v>0.5</v>
      </c>
      <c r="H148" s="42">
        <f t="shared" si="5"/>
        <v>2025</v>
      </c>
      <c r="I148" s="42" t="s">
        <v>65</v>
      </c>
      <c r="J148" s="42"/>
      <c r="K148" s="42"/>
    </row>
    <row r="149" s="52" customFormat="1" spans="1:11">
      <c r="A149" s="46">
        <v>45864</v>
      </c>
      <c r="B149" s="42" t="s">
        <v>101</v>
      </c>
      <c r="C149" s="42">
        <v>20250710</v>
      </c>
      <c r="D149" s="42" t="s">
        <v>1299</v>
      </c>
      <c r="E149" s="42" t="s">
        <v>99</v>
      </c>
      <c r="F149" s="45">
        <v>20000</v>
      </c>
      <c r="G149" s="45">
        <v>0.93</v>
      </c>
      <c r="H149" s="42">
        <f t="shared" si="5"/>
        <v>18600</v>
      </c>
      <c r="I149" s="42" t="s">
        <v>105</v>
      </c>
      <c r="J149" s="42"/>
      <c r="K149" s="42"/>
    </row>
    <row r="150" s="52" customFormat="1" spans="1:11">
      <c r="A150" s="46">
        <v>45864</v>
      </c>
      <c r="B150" s="42" t="s">
        <v>101</v>
      </c>
      <c r="C150" s="42">
        <v>20250710</v>
      </c>
      <c r="D150" s="42" t="s">
        <v>84</v>
      </c>
      <c r="E150" s="42" t="s">
        <v>85</v>
      </c>
      <c r="F150" s="45">
        <v>1010</v>
      </c>
      <c r="G150" s="45">
        <v>1.2</v>
      </c>
      <c r="H150" s="42">
        <f t="shared" si="5"/>
        <v>1212</v>
      </c>
      <c r="I150" s="42" t="s">
        <v>106</v>
      </c>
      <c r="J150" s="42"/>
      <c r="K150" s="42"/>
    </row>
    <row r="151" s="52" customFormat="1" spans="1:11">
      <c r="A151" s="46">
        <v>45866</v>
      </c>
      <c r="B151" s="42" t="s">
        <v>101</v>
      </c>
      <c r="C151" s="42">
        <v>20250711</v>
      </c>
      <c r="D151" s="42" t="s">
        <v>362</v>
      </c>
      <c r="E151" s="42" t="s">
        <v>85</v>
      </c>
      <c r="F151" s="45">
        <v>840</v>
      </c>
      <c r="G151" s="45">
        <v>0.95</v>
      </c>
      <c r="H151" s="42">
        <f t="shared" si="5"/>
        <v>798</v>
      </c>
      <c r="I151" s="42" t="s">
        <v>363</v>
      </c>
      <c r="J151" s="42"/>
      <c r="K151" s="42"/>
    </row>
    <row r="152" s="52" customFormat="1" spans="1:11">
      <c r="A152" s="46">
        <v>45868</v>
      </c>
      <c r="B152" s="42" t="s">
        <v>101</v>
      </c>
      <c r="C152" s="42">
        <v>20250712</v>
      </c>
      <c r="D152" s="42" t="s">
        <v>362</v>
      </c>
      <c r="E152" s="42" t="s">
        <v>85</v>
      </c>
      <c r="F152" s="45">
        <v>52</v>
      </c>
      <c r="G152" s="45">
        <v>0.95</v>
      </c>
      <c r="H152" s="42">
        <f t="shared" si="5"/>
        <v>49.4</v>
      </c>
      <c r="I152" s="42" t="s">
        <v>363</v>
      </c>
      <c r="J152" s="42"/>
      <c r="K152" s="42"/>
    </row>
    <row r="153" s="52" customFormat="1" spans="1:11">
      <c r="A153" s="46">
        <v>45839</v>
      </c>
      <c r="B153" s="42" t="s">
        <v>113</v>
      </c>
      <c r="C153" s="42" t="s">
        <v>1724</v>
      </c>
      <c r="D153" s="42" t="s">
        <v>76</v>
      </c>
      <c r="E153" s="42" t="s">
        <v>1725</v>
      </c>
      <c r="F153" s="42">
        <v>6200</v>
      </c>
      <c r="G153" s="42">
        <v>0.43</v>
      </c>
      <c r="H153" s="42">
        <f t="shared" ref="H153:H216" si="6">F153*G153</f>
        <v>2666</v>
      </c>
      <c r="I153" s="42" t="s">
        <v>633</v>
      </c>
      <c r="J153" s="42"/>
      <c r="K153" s="42"/>
    </row>
    <row r="154" s="52" customFormat="1" spans="1:11">
      <c r="A154" s="46">
        <v>45840</v>
      </c>
      <c r="B154" s="42" t="s">
        <v>113</v>
      </c>
      <c r="C154" s="42" t="s">
        <v>1726</v>
      </c>
      <c r="D154" s="42" t="s">
        <v>76</v>
      </c>
      <c r="E154" s="42" t="s">
        <v>123</v>
      </c>
      <c r="F154" s="42">
        <v>20150</v>
      </c>
      <c r="G154" s="42">
        <v>0.48</v>
      </c>
      <c r="H154" s="42">
        <f t="shared" si="6"/>
        <v>9672</v>
      </c>
      <c r="I154" s="42" t="s">
        <v>126</v>
      </c>
      <c r="J154" s="42"/>
      <c r="K154" s="42"/>
    </row>
    <row r="155" s="52" customFormat="1" spans="1:11">
      <c r="A155" s="46">
        <v>45840</v>
      </c>
      <c r="B155" s="42" t="s">
        <v>113</v>
      </c>
      <c r="C155" s="42" t="s">
        <v>1726</v>
      </c>
      <c r="D155" s="42" t="s">
        <v>76</v>
      </c>
      <c r="E155" s="42" t="s">
        <v>111</v>
      </c>
      <c r="F155" s="42">
        <v>80</v>
      </c>
      <c r="G155" s="42">
        <v>0.43</v>
      </c>
      <c r="H155" s="42">
        <f t="shared" si="6"/>
        <v>34.4</v>
      </c>
      <c r="I155" s="42" t="s">
        <v>1467</v>
      </c>
      <c r="J155" s="42"/>
      <c r="K155" s="42"/>
    </row>
    <row r="156" s="52" customFormat="1" spans="1:11">
      <c r="A156" s="46">
        <v>45840</v>
      </c>
      <c r="B156" s="42" t="s">
        <v>113</v>
      </c>
      <c r="C156" s="42" t="s">
        <v>1726</v>
      </c>
      <c r="D156" s="42" t="s">
        <v>122</v>
      </c>
      <c r="E156" s="42" t="s">
        <v>127</v>
      </c>
      <c r="F156" s="42">
        <v>40</v>
      </c>
      <c r="G156" s="42">
        <v>0</v>
      </c>
      <c r="H156" s="42">
        <f t="shared" si="6"/>
        <v>0</v>
      </c>
      <c r="I156" s="42" t="s">
        <v>32</v>
      </c>
      <c r="J156" s="42"/>
      <c r="K156" s="42"/>
    </row>
    <row r="157" s="52" customFormat="1" spans="1:11">
      <c r="A157" s="46">
        <v>45841</v>
      </c>
      <c r="B157" s="42" t="s">
        <v>113</v>
      </c>
      <c r="C157" s="42" t="s">
        <v>1727</v>
      </c>
      <c r="D157" s="42" t="s">
        <v>130</v>
      </c>
      <c r="E157" s="42" t="s">
        <v>60</v>
      </c>
      <c r="F157" s="42">
        <v>2000</v>
      </c>
      <c r="G157" s="42">
        <v>0.4</v>
      </c>
      <c r="H157" s="42">
        <f t="shared" si="6"/>
        <v>800</v>
      </c>
      <c r="I157" s="42" t="s">
        <v>1206</v>
      </c>
      <c r="J157" s="42"/>
      <c r="K157" s="42"/>
    </row>
    <row r="158" s="52" customFormat="1" spans="1:11">
      <c r="A158" s="46">
        <v>45842</v>
      </c>
      <c r="B158" s="42" t="s">
        <v>113</v>
      </c>
      <c r="C158" s="42" t="s">
        <v>1728</v>
      </c>
      <c r="D158" s="42" t="s">
        <v>76</v>
      </c>
      <c r="E158" s="42" t="s">
        <v>60</v>
      </c>
      <c r="F158" s="42">
        <v>20070</v>
      </c>
      <c r="G158" s="42">
        <v>0.43</v>
      </c>
      <c r="H158" s="42">
        <f t="shared" si="6"/>
        <v>8630.1</v>
      </c>
      <c r="I158" s="42" t="s">
        <v>1729</v>
      </c>
      <c r="J158" s="42"/>
      <c r="K158" s="42"/>
    </row>
    <row r="159" s="52" customFormat="1" spans="1:11">
      <c r="A159" s="46">
        <v>45842</v>
      </c>
      <c r="B159" s="42" t="s">
        <v>113</v>
      </c>
      <c r="C159" s="42" t="s">
        <v>1730</v>
      </c>
      <c r="D159" s="42" t="s">
        <v>122</v>
      </c>
      <c r="E159" s="42" t="s">
        <v>60</v>
      </c>
      <c r="F159" s="42">
        <v>20</v>
      </c>
      <c r="G159" s="42">
        <v>0</v>
      </c>
      <c r="H159" s="42">
        <f t="shared" si="6"/>
        <v>0</v>
      </c>
      <c r="I159" s="42" t="s">
        <v>32</v>
      </c>
      <c r="J159" s="42"/>
      <c r="K159" s="42"/>
    </row>
    <row r="160" s="52" customFormat="1" spans="1:11">
      <c r="A160" s="46">
        <v>45842</v>
      </c>
      <c r="B160" s="42" t="s">
        <v>113</v>
      </c>
      <c r="C160" s="42" t="s">
        <v>1730</v>
      </c>
      <c r="D160" s="42" t="s">
        <v>122</v>
      </c>
      <c r="E160" s="42" t="s">
        <v>127</v>
      </c>
      <c r="F160" s="42">
        <v>10</v>
      </c>
      <c r="G160" s="42">
        <v>0</v>
      </c>
      <c r="H160" s="42">
        <f t="shared" si="6"/>
        <v>0</v>
      </c>
      <c r="I160" s="42" t="s">
        <v>32</v>
      </c>
      <c r="J160" s="42"/>
      <c r="K160" s="42"/>
    </row>
    <row r="161" s="52" customFormat="1" spans="1:11">
      <c r="A161" s="46">
        <v>45843</v>
      </c>
      <c r="B161" s="42" t="s">
        <v>113</v>
      </c>
      <c r="C161" s="42" t="s">
        <v>1731</v>
      </c>
      <c r="D161" s="42" t="s">
        <v>130</v>
      </c>
      <c r="E161" s="42" t="s">
        <v>123</v>
      </c>
      <c r="F161" s="42">
        <v>20</v>
      </c>
      <c r="G161" s="42">
        <v>0</v>
      </c>
      <c r="H161" s="42">
        <f t="shared" si="6"/>
        <v>0</v>
      </c>
      <c r="I161" s="42" t="s">
        <v>32</v>
      </c>
      <c r="J161" s="42"/>
      <c r="K161" s="42"/>
    </row>
    <row r="162" s="52" customFormat="1" spans="1:11">
      <c r="A162" s="46">
        <v>45843</v>
      </c>
      <c r="B162" s="42" t="s">
        <v>113</v>
      </c>
      <c r="C162" s="42" t="s">
        <v>1731</v>
      </c>
      <c r="D162" s="42" t="s">
        <v>76</v>
      </c>
      <c r="E162" s="42" t="s">
        <v>62</v>
      </c>
      <c r="F162" s="42">
        <v>15</v>
      </c>
      <c r="G162" s="42">
        <v>0</v>
      </c>
      <c r="H162" s="42">
        <f t="shared" si="6"/>
        <v>0</v>
      </c>
      <c r="I162" s="42" t="s">
        <v>32</v>
      </c>
      <c r="J162" s="42"/>
      <c r="K162" s="42"/>
    </row>
    <row r="163" s="52" customFormat="1" spans="1:11">
      <c r="A163" s="46">
        <v>45843</v>
      </c>
      <c r="B163" s="42" t="s">
        <v>113</v>
      </c>
      <c r="C163" s="42" t="s">
        <v>1731</v>
      </c>
      <c r="D163" s="42" t="s">
        <v>196</v>
      </c>
      <c r="E163" s="42" t="s">
        <v>60</v>
      </c>
      <c r="F163" s="42">
        <v>60</v>
      </c>
      <c r="G163" s="42">
        <v>0.75</v>
      </c>
      <c r="H163" s="42">
        <f t="shared" si="6"/>
        <v>45</v>
      </c>
      <c r="I163" s="42" t="s">
        <v>56</v>
      </c>
      <c r="J163" s="42"/>
      <c r="K163" s="42"/>
    </row>
    <row r="164" s="52" customFormat="1" spans="1:11">
      <c r="A164" s="46">
        <v>45843</v>
      </c>
      <c r="B164" s="42" t="s">
        <v>113</v>
      </c>
      <c r="C164" s="42" t="s">
        <v>1732</v>
      </c>
      <c r="D164" s="42" t="s">
        <v>115</v>
      </c>
      <c r="E164" s="42" t="s">
        <v>60</v>
      </c>
      <c r="F164" s="42">
        <v>4010</v>
      </c>
      <c r="G164" s="42">
        <v>0.43</v>
      </c>
      <c r="H164" s="42">
        <f t="shared" si="6"/>
        <v>1724.3</v>
      </c>
      <c r="I164" s="42" t="s">
        <v>86</v>
      </c>
      <c r="J164" s="42"/>
      <c r="K164" s="42"/>
    </row>
    <row r="165" s="52" customFormat="1" spans="1:11">
      <c r="A165" s="46">
        <v>45843</v>
      </c>
      <c r="B165" s="42" t="s">
        <v>113</v>
      </c>
      <c r="C165" s="42" t="s">
        <v>1732</v>
      </c>
      <c r="D165" s="42" t="s">
        <v>76</v>
      </c>
      <c r="E165" s="42" t="s">
        <v>60</v>
      </c>
      <c r="F165" s="42">
        <v>10010</v>
      </c>
      <c r="G165" s="42">
        <v>0.43</v>
      </c>
      <c r="H165" s="42">
        <f t="shared" si="6"/>
        <v>4304.3</v>
      </c>
      <c r="I165" s="42" t="s">
        <v>1729</v>
      </c>
      <c r="J165" s="42"/>
      <c r="K165" s="42"/>
    </row>
    <row r="166" s="52" customFormat="1" spans="1:11">
      <c r="A166" s="46">
        <v>45843</v>
      </c>
      <c r="B166" s="42" t="s">
        <v>113</v>
      </c>
      <c r="C166" s="42" t="s">
        <v>1732</v>
      </c>
      <c r="D166" s="42" t="s">
        <v>59</v>
      </c>
      <c r="E166" s="42" t="s">
        <v>62</v>
      </c>
      <c r="F166" s="42">
        <v>10010</v>
      </c>
      <c r="G166" s="42">
        <v>0.45</v>
      </c>
      <c r="H166" s="42">
        <f t="shared" si="6"/>
        <v>4504.5</v>
      </c>
      <c r="I166" s="42" t="s">
        <v>69</v>
      </c>
      <c r="J166" s="42"/>
      <c r="K166" s="42"/>
    </row>
    <row r="167" s="52" customFormat="1" spans="1:11">
      <c r="A167" s="46">
        <v>45844</v>
      </c>
      <c r="B167" s="42" t="s">
        <v>113</v>
      </c>
      <c r="C167" s="42" t="s">
        <v>1733</v>
      </c>
      <c r="D167" s="42" t="s">
        <v>128</v>
      </c>
      <c r="E167" s="42" t="s">
        <v>62</v>
      </c>
      <c r="F167" s="42">
        <v>2040</v>
      </c>
      <c r="G167" s="42">
        <v>0.52</v>
      </c>
      <c r="H167" s="42">
        <f t="shared" si="6"/>
        <v>1060.8</v>
      </c>
      <c r="I167" s="42" t="s">
        <v>278</v>
      </c>
      <c r="J167" s="42"/>
      <c r="K167" s="42"/>
    </row>
    <row r="168" s="52" customFormat="1" spans="1:11">
      <c r="A168" s="46">
        <v>45844</v>
      </c>
      <c r="B168" s="42" t="s">
        <v>113</v>
      </c>
      <c r="C168" s="42" t="s">
        <v>1733</v>
      </c>
      <c r="D168" s="42" t="s">
        <v>130</v>
      </c>
      <c r="E168" s="42" t="s">
        <v>60</v>
      </c>
      <c r="F168" s="42">
        <v>8020</v>
      </c>
      <c r="G168" s="42">
        <v>0.4</v>
      </c>
      <c r="H168" s="42">
        <f t="shared" si="6"/>
        <v>3208</v>
      </c>
      <c r="I168" s="42" t="s">
        <v>982</v>
      </c>
      <c r="J168" s="42"/>
      <c r="K168" s="42"/>
    </row>
    <row r="169" s="52" customFormat="1" spans="1:11">
      <c r="A169" s="46">
        <v>45844</v>
      </c>
      <c r="B169" s="42" t="s">
        <v>113</v>
      </c>
      <c r="C169" s="42" t="s">
        <v>1733</v>
      </c>
      <c r="D169" s="42" t="s">
        <v>59</v>
      </c>
      <c r="E169" s="42" t="s">
        <v>62</v>
      </c>
      <c r="F169" s="42">
        <v>6060</v>
      </c>
      <c r="G169" s="42">
        <v>0.45</v>
      </c>
      <c r="H169" s="42">
        <f t="shared" si="6"/>
        <v>2727</v>
      </c>
      <c r="I169" s="42" t="s">
        <v>133</v>
      </c>
      <c r="J169" s="42"/>
      <c r="K169" s="42"/>
    </row>
    <row r="170" s="52" customFormat="1" spans="1:11">
      <c r="A170" s="46">
        <v>45844</v>
      </c>
      <c r="B170" s="42" t="s">
        <v>113</v>
      </c>
      <c r="C170" s="42" t="s">
        <v>1733</v>
      </c>
      <c r="D170" s="42" t="s">
        <v>115</v>
      </c>
      <c r="E170" s="42" t="s">
        <v>127</v>
      </c>
      <c r="F170" s="42">
        <v>4050</v>
      </c>
      <c r="G170" s="42">
        <v>0.48</v>
      </c>
      <c r="H170" s="42">
        <f t="shared" si="6"/>
        <v>1944</v>
      </c>
      <c r="I170" s="42" t="s">
        <v>126</v>
      </c>
      <c r="J170" s="42"/>
      <c r="K170" s="42"/>
    </row>
    <row r="171" s="52" customFormat="1" spans="1:11">
      <c r="A171" s="46">
        <v>45845</v>
      </c>
      <c r="B171" s="42" t="s">
        <v>113</v>
      </c>
      <c r="C171" s="42" t="s">
        <v>1734</v>
      </c>
      <c r="D171" s="42" t="s">
        <v>273</v>
      </c>
      <c r="E171" s="42" t="s">
        <v>1735</v>
      </c>
      <c r="F171" s="42">
        <v>4010</v>
      </c>
      <c r="G171" s="42">
        <v>0.005</v>
      </c>
      <c r="H171" s="42">
        <f t="shared" si="6"/>
        <v>20.05</v>
      </c>
      <c r="I171" s="42" t="s">
        <v>86</v>
      </c>
      <c r="J171" s="42"/>
      <c r="K171" s="42"/>
    </row>
    <row r="172" s="52" customFormat="1" spans="1:11">
      <c r="A172" s="46">
        <v>45845</v>
      </c>
      <c r="B172" s="42" t="s">
        <v>113</v>
      </c>
      <c r="C172" s="42" t="s">
        <v>1734</v>
      </c>
      <c r="D172" s="42" t="s">
        <v>273</v>
      </c>
      <c r="E172" s="42" t="s">
        <v>1735</v>
      </c>
      <c r="F172" s="42">
        <v>4010</v>
      </c>
      <c r="G172" s="42">
        <v>0.005</v>
      </c>
      <c r="H172" s="42">
        <f t="shared" si="6"/>
        <v>20.05</v>
      </c>
      <c r="I172" s="42" t="s">
        <v>86</v>
      </c>
      <c r="J172" s="42"/>
      <c r="K172" s="42"/>
    </row>
    <row r="173" s="52" customFormat="1" spans="1:11">
      <c r="A173" s="46">
        <v>45845</v>
      </c>
      <c r="B173" s="42" t="s">
        <v>113</v>
      </c>
      <c r="C173" s="42" t="s">
        <v>1734</v>
      </c>
      <c r="D173" s="42" t="s">
        <v>115</v>
      </c>
      <c r="E173" s="42" t="s">
        <v>123</v>
      </c>
      <c r="F173" s="42">
        <v>6010</v>
      </c>
      <c r="G173" s="42">
        <v>0.48</v>
      </c>
      <c r="H173" s="42">
        <f t="shared" si="6"/>
        <v>2884.8</v>
      </c>
      <c r="I173" s="42" t="s">
        <v>1301</v>
      </c>
      <c r="J173" s="42"/>
      <c r="K173" s="42"/>
    </row>
    <row r="174" customFormat="1" spans="1:11">
      <c r="A174" s="41">
        <v>45845</v>
      </c>
      <c r="B174" s="43" t="s">
        <v>113</v>
      </c>
      <c r="C174" s="43" t="s">
        <v>1734</v>
      </c>
      <c r="D174" s="43" t="s">
        <v>115</v>
      </c>
      <c r="E174" s="45" t="s">
        <v>127</v>
      </c>
      <c r="F174" s="45">
        <v>9820</v>
      </c>
      <c r="G174" s="45">
        <v>0.5</v>
      </c>
      <c r="H174" s="43">
        <f t="shared" si="6"/>
        <v>4910</v>
      </c>
      <c r="I174" s="43" t="s">
        <v>126</v>
      </c>
      <c r="J174" s="43"/>
      <c r="K174" s="43"/>
    </row>
    <row r="175" spans="1:11">
      <c r="A175" s="41">
        <v>45845</v>
      </c>
      <c r="B175" s="43" t="s">
        <v>113</v>
      </c>
      <c r="C175" s="43" t="s">
        <v>1734</v>
      </c>
      <c r="D175" s="43" t="s">
        <v>128</v>
      </c>
      <c r="E175" s="45" t="s">
        <v>123</v>
      </c>
      <c r="F175" s="45">
        <v>203</v>
      </c>
      <c r="G175" s="45">
        <v>0.5</v>
      </c>
      <c r="H175" s="43">
        <f t="shared" si="6"/>
        <v>101.5</v>
      </c>
      <c r="I175" s="43" t="s">
        <v>1690</v>
      </c>
      <c r="J175" s="43"/>
      <c r="K175" s="43"/>
    </row>
    <row r="176" spans="1:11">
      <c r="A176" s="41">
        <v>45846</v>
      </c>
      <c r="B176" s="43" t="s">
        <v>113</v>
      </c>
      <c r="C176" s="43" t="s">
        <v>1736</v>
      </c>
      <c r="D176" s="43" t="s">
        <v>76</v>
      </c>
      <c r="E176" s="45" t="s">
        <v>60</v>
      </c>
      <c r="F176" s="45">
        <v>4100</v>
      </c>
      <c r="G176" s="45">
        <v>0.43</v>
      </c>
      <c r="H176" s="43">
        <f t="shared" si="6"/>
        <v>1763</v>
      </c>
      <c r="I176" s="43" t="s">
        <v>126</v>
      </c>
      <c r="J176" s="43"/>
      <c r="K176" s="55"/>
    </row>
    <row r="177" spans="1:11">
      <c r="A177" s="41">
        <v>45846</v>
      </c>
      <c r="B177" s="43" t="s">
        <v>113</v>
      </c>
      <c r="C177" s="43" t="s">
        <v>1736</v>
      </c>
      <c r="D177" s="43" t="s">
        <v>122</v>
      </c>
      <c r="E177" s="45" t="s">
        <v>123</v>
      </c>
      <c r="F177" s="45">
        <v>4080</v>
      </c>
      <c r="G177" s="45">
        <v>0.55</v>
      </c>
      <c r="H177" s="43">
        <f t="shared" si="6"/>
        <v>2244</v>
      </c>
      <c r="I177" s="43" t="s">
        <v>126</v>
      </c>
      <c r="J177" s="43"/>
      <c r="K177" s="55"/>
    </row>
    <row r="178" spans="1:11">
      <c r="A178" s="41">
        <v>45847</v>
      </c>
      <c r="B178" s="43" t="s">
        <v>113</v>
      </c>
      <c r="C178" s="43" t="s">
        <v>1737</v>
      </c>
      <c r="D178" s="43" t="s">
        <v>130</v>
      </c>
      <c r="E178" s="45" t="s">
        <v>123</v>
      </c>
      <c r="F178" s="45">
        <v>8910</v>
      </c>
      <c r="G178" s="45">
        <v>0.45</v>
      </c>
      <c r="H178" s="43">
        <f t="shared" si="6"/>
        <v>4009.5</v>
      </c>
      <c r="I178" s="43" t="s">
        <v>999</v>
      </c>
      <c r="J178" s="43"/>
      <c r="K178" s="55"/>
    </row>
    <row r="179" spans="1:11">
      <c r="A179" s="41">
        <v>45847</v>
      </c>
      <c r="B179" s="43" t="s">
        <v>113</v>
      </c>
      <c r="C179" s="43" t="s">
        <v>1738</v>
      </c>
      <c r="D179" s="43" t="s">
        <v>76</v>
      </c>
      <c r="E179" s="45" t="s">
        <v>123</v>
      </c>
      <c r="F179" s="45">
        <v>6040</v>
      </c>
      <c r="G179" s="45">
        <v>0.48</v>
      </c>
      <c r="H179" s="43">
        <f t="shared" si="6"/>
        <v>2899.2</v>
      </c>
      <c r="I179" s="43" t="s">
        <v>126</v>
      </c>
      <c r="J179" s="43"/>
      <c r="K179" s="55"/>
    </row>
    <row r="180" spans="1:11">
      <c r="A180" s="41">
        <v>45848</v>
      </c>
      <c r="B180" s="43" t="s">
        <v>113</v>
      </c>
      <c r="C180" s="43" t="s">
        <v>1739</v>
      </c>
      <c r="D180" s="43" t="s">
        <v>59</v>
      </c>
      <c r="E180" s="45" t="s">
        <v>62</v>
      </c>
      <c r="F180" s="45">
        <v>2146</v>
      </c>
      <c r="G180" s="45">
        <v>0.45</v>
      </c>
      <c r="H180" s="43">
        <f t="shared" si="6"/>
        <v>965.7</v>
      </c>
      <c r="I180" s="43" t="s">
        <v>133</v>
      </c>
      <c r="J180" s="43"/>
      <c r="K180" s="55"/>
    </row>
    <row r="181" spans="1:11">
      <c r="A181" s="41">
        <v>45849</v>
      </c>
      <c r="B181" s="43" t="s">
        <v>113</v>
      </c>
      <c r="C181" s="43" t="s">
        <v>1740</v>
      </c>
      <c r="D181" s="43" t="s">
        <v>130</v>
      </c>
      <c r="E181" s="45" t="s">
        <v>111</v>
      </c>
      <c r="F181" s="45">
        <v>105</v>
      </c>
      <c r="G181" s="45">
        <v>0.4</v>
      </c>
      <c r="H181" s="43">
        <f t="shared" si="6"/>
        <v>42</v>
      </c>
      <c r="I181" s="43" t="s">
        <v>761</v>
      </c>
      <c r="J181" s="43"/>
      <c r="K181" s="55"/>
    </row>
    <row r="182" spans="1:11">
      <c r="A182" s="41">
        <v>45849</v>
      </c>
      <c r="B182" s="43" t="s">
        <v>113</v>
      </c>
      <c r="C182" s="43" t="s">
        <v>1741</v>
      </c>
      <c r="D182" s="43" t="s">
        <v>128</v>
      </c>
      <c r="E182" s="45" t="s">
        <v>60</v>
      </c>
      <c r="F182" s="45">
        <v>10</v>
      </c>
      <c r="G182" s="45">
        <v>0</v>
      </c>
      <c r="H182" s="43">
        <f t="shared" si="6"/>
        <v>0</v>
      </c>
      <c r="I182" s="43" t="s">
        <v>32</v>
      </c>
      <c r="J182" s="43"/>
      <c r="K182" s="55"/>
    </row>
    <row r="183" spans="1:11">
      <c r="A183" s="41">
        <v>45850</v>
      </c>
      <c r="B183" s="43" t="s">
        <v>113</v>
      </c>
      <c r="C183" s="43" t="s">
        <v>1741</v>
      </c>
      <c r="D183" s="43" t="s">
        <v>128</v>
      </c>
      <c r="E183" s="45" t="s">
        <v>60</v>
      </c>
      <c r="F183" s="45">
        <v>10</v>
      </c>
      <c r="G183" s="45">
        <v>0</v>
      </c>
      <c r="H183" s="43">
        <f t="shared" si="6"/>
        <v>0</v>
      </c>
      <c r="I183" s="43" t="s">
        <v>32</v>
      </c>
      <c r="J183" s="43"/>
      <c r="K183" s="55"/>
    </row>
    <row r="184" spans="1:11">
      <c r="A184" s="41">
        <v>45851</v>
      </c>
      <c r="B184" s="43" t="s">
        <v>113</v>
      </c>
      <c r="C184" s="43" t="s">
        <v>1742</v>
      </c>
      <c r="D184" s="43" t="s">
        <v>76</v>
      </c>
      <c r="E184" s="45" t="s">
        <v>123</v>
      </c>
      <c r="F184" s="45">
        <v>1810</v>
      </c>
      <c r="G184" s="45">
        <v>0.48</v>
      </c>
      <c r="H184" s="43">
        <f t="shared" si="6"/>
        <v>868.8</v>
      </c>
      <c r="I184" s="43" t="s">
        <v>999</v>
      </c>
      <c r="J184" s="43"/>
      <c r="K184" s="55"/>
    </row>
    <row r="185" spans="1:11">
      <c r="A185" s="41">
        <v>45851</v>
      </c>
      <c r="B185" s="43" t="s">
        <v>113</v>
      </c>
      <c r="C185" s="43" t="s">
        <v>1742</v>
      </c>
      <c r="D185" s="43" t="s">
        <v>76</v>
      </c>
      <c r="E185" s="45" t="s">
        <v>346</v>
      </c>
      <c r="F185" s="45">
        <v>8156</v>
      </c>
      <c r="G185" s="45">
        <v>0.46</v>
      </c>
      <c r="H185" s="43">
        <f t="shared" si="6"/>
        <v>3751.76</v>
      </c>
      <c r="I185" s="43" t="s">
        <v>340</v>
      </c>
      <c r="J185" s="43"/>
      <c r="K185" s="55"/>
    </row>
    <row r="186" spans="1:11">
      <c r="A186" s="41">
        <v>45852</v>
      </c>
      <c r="B186" s="43" t="s">
        <v>113</v>
      </c>
      <c r="C186" s="43" t="s">
        <v>1743</v>
      </c>
      <c r="D186" s="43" t="s">
        <v>76</v>
      </c>
      <c r="E186" s="45" t="s">
        <v>123</v>
      </c>
      <c r="F186" s="45">
        <v>3110</v>
      </c>
      <c r="G186" s="45">
        <v>0.48</v>
      </c>
      <c r="H186" s="43">
        <f t="shared" si="6"/>
        <v>1492.8</v>
      </c>
      <c r="I186" s="43" t="s">
        <v>999</v>
      </c>
      <c r="J186" s="43"/>
      <c r="K186" s="55"/>
    </row>
    <row r="187" spans="1:11">
      <c r="A187" s="41">
        <v>45852</v>
      </c>
      <c r="B187" s="43" t="s">
        <v>113</v>
      </c>
      <c r="C187" s="43" t="s">
        <v>1743</v>
      </c>
      <c r="D187" s="43" t="s">
        <v>76</v>
      </c>
      <c r="E187" s="45" t="s">
        <v>60</v>
      </c>
      <c r="F187" s="45">
        <v>4710</v>
      </c>
      <c r="G187" s="45">
        <v>0.43</v>
      </c>
      <c r="H187" s="43">
        <f t="shared" si="6"/>
        <v>2025.3</v>
      </c>
      <c r="I187" s="43" t="s">
        <v>1744</v>
      </c>
      <c r="J187" s="43"/>
      <c r="K187" s="55"/>
    </row>
    <row r="188" spans="1:11">
      <c r="A188" s="41">
        <v>45852</v>
      </c>
      <c r="B188" s="43" t="s">
        <v>113</v>
      </c>
      <c r="C188" s="43" t="s">
        <v>1743</v>
      </c>
      <c r="D188" s="43" t="s">
        <v>76</v>
      </c>
      <c r="E188" s="45" t="s">
        <v>127</v>
      </c>
      <c r="F188" s="45">
        <v>2070</v>
      </c>
      <c r="G188" s="45">
        <v>0.5</v>
      </c>
      <c r="H188" s="43">
        <f t="shared" si="6"/>
        <v>1035</v>
      </c>
      <c r="I188" s="43" t="s">
        <v>999</v>
      </c>
      <c r="J188" s="43"/>
      <c r="K188" s="55"/>
    </row>
    <row r="189" spans="1:11">
      <c r="A189" s="41">
        <v>45852</v>
      </c>
      <c r="B189" s="43" t="s">
        <v>113</v>
      </c>
      <c r="C189" s="43" t="s">
        <v>1743</v>
      </c>
      <c r="D189" s="43" t="s">
        <v>76</v>
      </c>
      <c r="E189" s="45" t="s">
        <v>60</v>
      </c>
      <c r="F189" s="45">
        <v>7625</v>
      </c>
      <c r="G189" s="45">
        <v>0.49</v>
      </c>
      <c r="H189" s="43">
        <f t="shared" si="6"/>
        <v>3736.25</v>
      </c>
      <c r="I189" s="43" t="s">
        <v>982</v>
      </c>
      <c r="J189" s="43"/>
      <c r="K189" s="55"/>
    </row>
    <row r="190" spans="1:11">
      <c r="A190" s="41">
        <v>45853</v>
      </c>
      <c r="B190" s="43" t="s">
        <v>113</v>
      </c>
      <c r="C190" s="43" t="s">
        <v>1745</v>
      </c>
      <c r="D190" s="43" t="s">
        <v>128</v>
      </c>
      <c r="E190" s="45" t="s">
        <v>62</v>
      </c>
      <c r="F190" s="45">
        <v>10</v>
      </c>
      <c r="G190" s="45">
        <v>0</v>
      </c>
      <c r="H190" s="43">
        <f t="shared" si="6"/>
        <v>0</v>
      </c>
      <c r="I190" s="43" t="s">
        <v>32</v>
      </c>
      <c r="J190" s="43"/>
      <c r="K190" s="55"/>
    </row>
    <row r="191" spans="1:11">
      <c r="A191" s="41">
        <v>45853</v>
      </c>
      <c r="B191" s="43" t="s">
        <v>113</v>
      </c>
      <c r="C191" s="43" t="s">
        <v>1745</v>
      </c>
      <c r="D191" s="43" t="s">
        <v>122</v>
      </c>
      <c r="E191" s="45" t="s">
        <v>62</v>
      </c>
      <c r="F191" s="45">
        <v>20</v>
      </c>
      <c r="G191" s="45">
        <v>0</v>
      </c>
      <c r="H191" s="43">
        <f t="shared" si="6"/>
        <v>0</v>
      </c>
      <c r="I191" s="43" t="s">
        <v>32</v>
      </c>
      <c r="J191" s="43"/>
      <c r="K191" s="55"/>
    </row>
    <row r="192" spans="1:11">
      <c r="A192" s="41">
        <v>45854</v>
      </c>
      <c r="B192" s="43" t="s">
        <v>113</v>
      </c>
      <c r="C192" s="43" t="s">
        <v>1746</v>
      </c>
      <c r="D192" s="43" t="s">
        <v>76</v>
      </c>
      <c r="E192" s="45" t="s">
        <v>60</v>
      </c>
      <c r="F192" s="45">
        <v>10010</v>
      </c>
      <c r="G192" s="45">
        <v>0.43</v>
      </c>
      <c r="H192" s="43">
        <f t="shared" si="6"/>
        <v>4304.3</v>
      </c>
      <c r="I192" s="43" t="s">
        <v>376</v>
      </c>
      <c r="J192" s="43"/>
      <c r="K192" s="55"/>
    </row>
    <row r="193" spans="1:11">
      <c r="A193" s="41">
        <v>45854</v>
      </c>
      <c r="B193" s="43" t="s">
        <v>113</v>
      </c>
      <c r="C193" s="43" t="s">
        <v>1746</v>
      </c>
      <c r="D193" s="43" t="s">
        <v>59</v>
      </c>
      <c r="E193" s="45" t="s">
        <v>62</v>
      </c>
      <c r="F193" s="45">
        <v>15010</v>
      </c>
      <c r="G193" s="45">
        <v>0.45</v>
      </c>
      <c r="H193" s="43">
        <f t="shared" si="6"/>
        <v>6754.5</v>
      </c>
      <c r="I193" s="43" t="s">
        <v>69</v>
      </c>
      <c r="J193" s="43"/>
      <c r="K193" s="55"/>
    </row>
    <row r="194" spans="1:11">
      <c r="A194" s="41">
        <v>45855</v>
      </c>
      <c r="B194" s="43" t="s">
        <v>113</v>
      </c>
      <c r="C194" s="43" t="s">
        <v>1747</v>
      </c>
      <c r="D194" s="43" t="s">
        <v>148</v>
      </c>
      <c r="E194" s="45" t="s">
        <v>60</v>
      </c>
      <c r="F194" s="45">
        <v>6040</v>
      </c>
      <c r="G194" s="45">
        <v>0.52</v>
      </c>
      <c r="H194" s="43">
        <f t="shared" si="6"/>
        <v>3140.8</v>
      </c>
      <c r="I194" s="43" t="s">
        <v>65</v>
      </c>
      <c r="J194" s="43"/>
      <c r="K194" s="55"/>
    </row>
    <row r="195" spans="1:11">
      <c r="A195" s="41">
        <v>45855</v>
      </c>
      <c r="B195" s="43" t="s">
        <v>113</v>
      </c>
      <c r="C195" s="43" t="s">
        <v>1747</v>
      </c>
      <c r="D195" s="43" t="s">
        <v>76</v>
      </c>
      <c r="E195" s="45" t="s">
        <v>60</v>
      </c>
      <c r="F195" s="45">
        <v>2000</v>
      </c>
      <c r="G195" s="45">
        <v>0.43</v>
      </c>
      <c r="H195" s="43">
        <f t="shared" si="6"/>
        <v>860</v>
      </c>
      <c r="I195" s="43" t="s">
        <v>39</v>
      </c>
      <c r="J195" s="43"/>
      <c r="K195" s="55"/>
    </row>
    <row r="196" spans="1:11">
      <c r="A196" s="41">
        <v>45858</v>
      </c>
      <c r="B196" s="43" t="s">
        <v>113</v>
      </c>
      <c r="C196" s="43" t="s">
        <v>1748</v>
      </c>
      <c r="D196" s="43" t="s">
        <v>1749</v>
      </c>
      <c r="E196" s="43" t="s">
        <v>62</v>
      </c>
      <c r="F196" s="45">
        <v>42</v>
      </c>
      <c r="G196" s="45">
        <v>0</v>
      </c>
      <c r="H196" s="43">
        <f t="shared" si="6"/>
        <v>0</v>
      </c>
      <c r="I196" s="43" t="s">
        <v>32</v>
      </c>
      <c r="J196" s="43"/>
      <c r="K196" s="55"/>
    </row>
    <row r="197" s="52" customFormat="1" spans="1:11">
      <c r="A197" s="46">
        <v>45856</v>
      </c>
      <c r="B197" s="42" t="s">
        <v>113</v>
      </c>
      <c r="C197" s="42" t="s">
        <v>1750</v>
      </c>
      <c r="D197" s="42" t="s">
        <v>76</v>
      </c>
      <c r="E197" s="45" t="s">
        <v>339</v>
      </c>
      <c r="F197" s="45">
        <v>22170</v>
      </c>
      <c r="G197" s="45">
        <v>0.5</v>
      </c>
      <c r="H197" s="42">
        <f t="shared" si="6"/>
        <v>11085</v>
      </c>
      <c r="I197" s="42" t="s">
        <v>117</v>
      </c>
      <c r="J197" s="42"/>
      <c r="K197" s="56"/>
    </row>
    <row r="198" s="52" customFormat="1" spans="1:11">
      <c r="A198" s="46">
        <v>45857</v>
      </c>
      <c r="B198" s="42" t="s">
        <v>113</v>
      </c>
      <c r="C198" s="42" t="s">
        <v>1751</v>
      </c>
      <c r="D198" s="42" t="s">
        <v>59</v>
      </c>
      <c r="E198" s="45" t="s">
        <v>231</v>
      </c>
      <c r="F198" s="45">
        <v>6178</v>
      </c>
      <c r="G198" s="45">
        <v>0.5</v>
      </c>
      <c r="H198" s="42">
        <f t="shared" si="6"/>
        <v>3089</v>
      </c>
      <c r="I198" s="42" t="s">
        <v>1752</v>
      </c>
      <c r="J198" s="42"/>
      <c r="K198" s="56"/>
    </row>
    <row r="199" s="52" customFormat="1" spans="1:11">
      <c r="A199" s="46">
        <v>45857</v>
      </c>
      <c r="B199" s="42" t="s">
        <v>113</v>
      </c>
      <c r="C199" s="42" t="s">
        <v>1751</v>
      </c>
      <c r="D199" s="42" t="s">
        <v>122</v>
      </c>
      <c r="E199" s="45" t="s">
        <v>339</v>
      </c>
      <c r="F199" s="45">
        <v>10015</v>
      </c>
      <c r="G199" s="45">
        <v>0.55</v>
      </c>
      <c r="H199" s="42">
        <f t="shared" si="6"/>
        <v>5508.25</v>
      </c>
      <c r="I199" s="42" t="s">
        <v>39</v>
      </c>
      <c r="J199" s="42"/>
      <c r="K199" s="56"/>
    </row>
    <row r="200" s="52" customFormat="1" spans="1:11">
      <c r="A200" s="46">
        <v>45857</v>
      </c>
      <c r="B200" s="42" t="s">
        <v>113</v>
      </c>
      <c r="C200" s="42" t="s">
        <v>1751</v>
      </c>
      <c r="D200" s="42" t="s">
        <v>59</v>
      </c>
      <c r="E200" s="45" t="s">
        <v>231</v>
      </c>
      <c r="F200" s="45">
        <v>2040</v>
      </c>
      <c r="G200" s="45">
        <v>0.5</v>
      </c>
      <c r="H200" s="42">
        <f t="shared" si="6"/>
        <v>1020</v>
      </c>
      <c r="I200" s="42" t="s">
        <v>35</v>
      </c>
      <c r="J200" s="42"/>
      <c r="K200" s="56"/>
    </row>
    <row r="201" s="52" customFormat="1" spans="1:11">
      <c r="A201" s="46">
        <v>45857</v>
      </c>
      <c r="B201" s="42" t="s">
        <v>113</v>
      </c>
      <c r="C201" s="42" t="s">
        <v>1751</v>
      </c>
      <c r="D201" s="42" t="s">
        <v>76</v>
      </c>
      <c r="E201" s="45" t="s">
        <v>1753</v>
      </c>
      <c r="F201" s="45">
        <v>3210</v>
      </c>
      <c r="G201" s="45">
        <v>0.48</v>
      </c>
      <c r="H201" s="42">
        <f t="shared" si="6"/>
        <v>1540.8</v>
      </c>
      <c r="I201" s="42" t="s">
        <v>999</v>
      </c>
      <c r="J201" s="42"/>
      <c r="K201" s="56"/>
    </row>
    <row r="202" s="52" customFormat="1" spans="1:11">
      <c r="A202" s="46">
        <v>45857</v>
      </c>
      <c r="B202" s="42" t="s">
        <v>113</v>
      </c>
      <c r="C202" s="42" t="s">
        <v>1754</v>
      </c>
      <c r="D202" s="42" t="s">
        <v>130</v>
      </c>
      <c r="E202" s="45" t="s">
        <v>62</v>
      </c>
      <c r="F202" s="45">
        <v>30</v>
      </c>
      <c r="G202" s="45">
        <v>0</v>
      </c>
      <c r="H202" s="42">
        <f t="shared" si="6"/>
        <v>0</v>
      </c>
      <c r="I202" s="42" t="s">
        <v>32</v>
      </c>
      <c r="J202" s="42"/>
      <c r="K202" s="56"/>
    </row>
    <row r="203" s="52" customFormat="1" spans="1:11">
      <c r="A203" s="46">
        <v>45857</v>
      </c>
      <c r="B203" s="42" t="s">
        <v>113</v>
      </c>
      <c r="C203" s="42" t="s">
        <v>1754</v>
      </c>
      <c r="D203" s="42" t="s">
        <v>76</v>
      </c>
      <c r="E203" s="45" t="s">
        <v>1267</v>
      </c>
      <c r="F203" s="45">
        <v>60</v>
      </c>
      <c r="G203" s="45">
        <v>0</v>
      </c>
      <c r="H203" s="42">
        <f t="shared" si="6"/>
        <v>0</v>
      </c>
      <c r="I203" s="42" t="s">
        <v>32</v>
      </c>
      <c r="J203" s="42"/>
      <c r="K203" s="56"/>
    </row>
    <row r="204" s="52" customFormat="1" spans="1:11">
      <c r="A204" s="46">
        <v>45857</v>
      </c>
      <c r="B204" s="42" t="s">
        <v>113</v>
      </c>
      <c r="C204" s="42" t="s">
        <v>1754</v>
      </c>
      <c r="D204" s="42" t="s">
        <v>76</v>
      </c>
      <c r="E204" s="45" t="s">
        <v>1755</v>
      </c>
      <c r="F204" s="45">
        <v>60</v>
      </c>
      <c r="G204" s="45">
        <v>0</v>
      </c>
      <c r="H204" s="42">
        <f t="shared" si="6"/>
        <v>0</v>
      </c>
      <c r="I204" s="42" t="s">
        <v>32</v>
      </c>
      <c r="J204" s="42"/>
      <c r="K204" s="56"/>
    </row>
    <row r="205" s="52" customFormat="1" spans="1:11">
      <c r="A205" s="46">
        <v>45861</v>
      </c>
      <c r="B205" s="42" t="s">
        <v>113</v>
      </c>
      <c r="C205" s="42" t="s">
        <v>1756</v>
      </c>
      <c r="D205" s="42" t="s">
        <v>59</v>
      </c>
      <c r="E205" s="45" t="s">
        <v>62</v>
      </c>
      <c r="F205" s="45">
        <v>40120</v>
      </c>
      <c r="G205" s="45">
        <v>0.45</v>
      </c>
      <c r="H205" s="42">
        <f t="shared" si="6"/>
        <v>18054</v>
      </c>
      <c r="I205" s="42" t="s">
        <v>133</v>
      </c>
      <c r="J205" s="42"/>
      <c r="K205" s="56"/>
    </row>
    <row r="206" s="52" customFormat="1" spans="1:11">
      <c r="A206" s="46">
        <v>45861</v>
      </c>
      <c r="B206" s="42" t="s">
        <v>113</v>
      </c>
      <c r="C206" s="42" t="s">
        <v>1756</v>
      </c>
      <c r="D206" s="42" t="s">
        <v>332</v>
      </c>
      <c r="E206" s="45" t="s">
        <v>62</v>
      </c>
      <c r="F206" s="45">
        <v>10210</v>
      </c>
      <c r="G206" s="45">
        <v>0.52</v>
      </c>
      <c r="H206" s="42">
        <f t="shared" si="6"/>
        <v>5309.2</v>
      </c>
      <c r="I206" s="42" t="s">
        <v>278</v>
      </c>
      <c r="J206" s="42"/>
      <c r="K206" s="56"/>
    </row>
    <row r="207" s="52" customFormat="1" spans="1:11">
      <c r="A207" s="46">
        <v>45861</v>
      </c>
      <c r="B207" s="42" t="s">
        <v>113</v>
      </c>
      <c r="C207" s="42" t="s">
        <v>1756</v>
      </c>
      <c r="D207" s="42" t="s">
        <v>128</v>
      </c>
      <c r="E207" s="45" t="s">
        <v>60</v>
      </c>
      <c r="F207" s="45">
        <v>10010</v>
      </c>
      <c r="G207" s="45">
        <v>0.5</v>
      </c>
      <c r="H207" s="42">
        <f t="shared" si="6"/>
        <v>5005</v>
      </c>
      <c r="I207" s="42" t="s">
        <v>1453</v>
      </c>
      <c r="J207" s="42"/>
      <c r="K207" s="56"/>
    </row>
    <row r="208" s="52" customFormat="1" spans="1:11">
      <c r="A208" s="46">
        <v>45861</v>
      </c>
      <c r="B208" s="42" t="s">
        <v>113</v>
      </c>
      <c r="C208" s="42" t="s">
        <v>1756</v>
      </c>
      <c r="D208" s="42" t="s">
        <v>115</v>
      </c>
      <c r="E208" s="45" t="s">
        <v>123</v>
      </c>
      <c r="F208" s="45">
        <v>6110</v>
      </c>
      <c r="G208" s="45">
        <v>0.48</v>
      </c>
      <c r="H208" s="42">
        <f t="shared" si="6"/>
        <v>2932.8</v>
      </c>
      <c r="I208" s="42" t="s">
        <v>126</v>
      </c>
      <c r="J208" s="42"/>
      <c r="K208" s="56"/>
    </row>
    <row r="209" s="52" customFormat="1" spans="1:11">
      <c r="A209" s="46">
        <v>45862</v>
      </c>
      <c r="B209" s="42" t="s">
        <v>113</v>
      </c>
      <c r="C209" s="42" t="s">
        <v>1757</v>
      </c>
      <c r="D209" s="42" t="s">
        <v>76</v>
      </c>
      <c r="E209" s="45" t="s">
        <v>1758</v>
      </c>
      <c r="F209" s="45">
        <v>4010</v>
      </c>
      <c r="G209" s="45">
        <v>0.48</v>
      </c>
      <c r="H209" s="42">
        <f t="shared" si="6"/>
        <v>1924.8</v>
      </c>
      <c r="I209" s="42" t="s">
        <v>999</v>
      </c>
      <c r="J209" s="42"/>
      <c r="K209" s="56"/>
    </row>
    <row r="210" s="52" customFormat="1" spans="1:11">
      <c r="A210" s="46">
        <v>45862</v>
      </c>
      <c r="B210" s="42" t="s">
        <v>113</v>
      </c>
      <c r="C210" s="42" t="s">
        <v>1757</v>
      </c>
      <c r="D210" s="42" t="s">
        <v>76</v>
      </c>
      <c r="E210" s="42" t="s">
        <v>60</v>
      </c>
      <c r="F210" s="42">
        <v>20</v>
      </c>
      <c r="G210" s="42">
        <v>0.48</v>
      </c>
      <c r="H210" s="42">
        <f t="shared" si="6"/>
        <v>9.6</v>
      </c>
      <c r="I210" s="42" t="s">
        <v>32</v>
      </c>
      <c r="J210" s="42"/>
      <c r="K210" s="56"/>
    </row>
    <row r="211" s="35" customFormat="1" spans="1:11">
      <c r="A211" s="44">
        <v>45864</v>
      </c>
      <c r="B211" s="45" t="s">
        <v>113</v>
      </c>
      <c r="C211" s="45" t="s">
        <v>1759</v>
      </c>
      <c r="D211" s="45" t="s">
        <v>59</v>
      </c>
      <c r="E211" s="45" t="s">
        <v>60</v>
      </c>
      <c r="F211" s="45">
        <v>8020</v>
      </c>
      <c r="G211" s="45">
        <v>0.43</v>
      </c>
      <c r="H211" s="45">
        <f t="shared" si="6"/>
        <v>3448.6</v>
      </c>
      <c r="I211" s="45" t="s">
        <v>1206</v>
      </c>
      <c r="J211" s="45"/>
      <c r="K211" s="57"/>
    </row>
    <row r="212" s="35" customFormat="1" spans="1:11">
      <c r="A212" s="44">
        <v>45864</v>
      </c>
      <c r="B212" s="45" t="s">
        <v>113</v>
      </c>
      <c r="C212" s="45" t="s">
        <v>1759</v>
      </c>
      <c r="D212" s="45" t="s">
        <v>130</v>
      </c>
      <c r="E212" s="45" t="s">
        <v>62</v>
      </c>
      <c r="F212" s="45">
        <v>11630</v>
      </c>
      <c r="G212" s="45">
        <v>0.42</v>
      </c>
      <c r="H212" s="45">
        <f t="shared" si="6"/>
        <v>4884.6</v>
      </c>
      <c r="I212" s="45" t="s">
        <v>65</v>
      </c>
      <c r="J212" s="45"/>
      <c r="K212" s="57"/>
    </row>
    <row r="213" s="35" customFormat="1" spans="1:11">
      <c r="A213" s="44">
        <v>45864</v>
      </c>
      <c r="B213" s="45" t="s">
        <v>113</v>
      </c>
      <c r="C213" s="45" t="s">
        <v>1759</v>
      </c>
      <c r="D213" s="45" t="s">
        <v>59</v>
      </c>
      <c r="E213" s="45" t="s">
        <v>60</v>
      </c>
      <c r="F213" s="45">
        <v>15600</v>
      </c>
      <c r="G213" s="45">
        <v>0.43</v>
      </c>
      <c r="H213" s="45">
        <f t="shared" si="6"/>
        <v>6708</v>
      </c>
      <c r="I213" s="45" t="s">
        <v>570</v>
      </c>
      <c r="J213" s="45"/>
      <c r="K213" s="57"/>
    </row>
    <row r="214" s="35" customFormat="1" spans="1:11">
      <c r="A214" s="44">
        <v>45864</v>
      </c>
      <c r="B214" s="45" t="s">
        <v>113</v>
      </c>
      <c r="C214" s="45" t="s">
        <v>1759</v>
      </c>
      <c r="D214" s="45" t="s">
        <v>76</v>
      </c>
      <c r="E214" s="45" t="s">
        <v>111</v>
      </c>
      <c r="F214" s="45">
        <v>15</v>
      </c>
      <c r="G214" s="45">
        <v>0</v>
      </c>
      <c r="H214" s="45">
        <f t="shared" si="6"/>
        <v>0</v>
      </c>
      <c r="I214" s="45" t="s">
        <v>32</v>
      </c>
      <c r="J214" s="45"/>
      <c r="K214" s="57"/>
    </row>
    <row r="215" s="52" customFormat="1" spans="1:11">
      <c r="A215" s="46">
        <v>45863</v>
      </c>
      <c r="B215" s="42" t="s">
        <v>113</v>
      </c>
      <c r="C215" s="42" t="s">
        <v>1760</v>
      </c>
      <c r="D215" s="42" t="s">
        <v>128</v>
      </c>
      <c r="E215" s="42" t="s">
        <v>62</v>
      </c>
      <c r="F215" s="45">
        <v>20</v>
      </c>
      <c r="G215" s="45">
        <v>0</v>
      </c>
      <c r="H215" s="42">
        <f t="shared" si="6"/>
        <v>0</v>
      </c>
      <c r="I215" s="42" t="s">
        <v>32</v>
      </c>
      <c r="J215" s="42"/>
      <c r="K215" s="56"/>
    </row>
    <row r="216" s="52" customFormat="1" spans="1:11">
      <c r="A216" s="46">
        <v>45863</v>
      </c>
      <c r="B216" s="42" t="s">
        <v>113</v>
      </c>
      <c r="C216" s="42" t="s">
        <v>1760</v>
      </c>
      <c r="D216" s="42" t="s">
        <v>128</v>
      </c>
      <c r="E216" s="42" t="s">
        <v>99</v>
      </c>
      <c r="F216" s="45">
        <v>12</v>
      </c>
      <c r="G216" s="45">
        <v>0</v>
      </c>
      <c r="H216" s="42">
        <f t="shared" si="6"/>
        <v>0</v>
      </c>
      <c r="I216" s="42" t="s">
        <v>32</v>
      </c>
      <c r="J216" s="42"/>
      <c r="K216" s="56"/>
    </row>
    <row r="217" s="52" customFormat="1" spans="1:11">
      <c r="A217" s="46">
        <v>45865</v>
      </c>
      <c r="B217" s="42" t="s">
        <v>113</v>
      </c>
      <c r="C217" s="42" t="s">
        <v>1761</v>
      </c>
      <c r="D217" s="42" t="s">
        <v>122</v>
      </c>
      <c r="E217" s="42" t="s">
        <v>123</v>
      </c>
      <c r="F217" s="45">
        <v>4025</v>
      </c>
      <c r="G217" s="45">
        <v>0.55</v>
      </c>
      <c r="H217" s="42">
        <f t="shared" ref="H217:H232" si="7">F217*G217</f>
        <v>2213.75</v>
      </c>
      <c r="I217" s="42" t="s">
        <v>126</v>
      </c>
      <c r="J217" s="42"/>
      <c r="K217" s="56"/>
    </row>
    <row r="218" s="52" customFormat="1" spans="1:11">
      <c r="A218" s="46">
        <v>45865</v>
      </c>
      <c r="B218" s="42" t="s">
        <v>113</v>
      </c>
      <c r="C218" s="42" t="s">
        <v>1761</v>
      </c>
      <c r="D218" s="42" t="s">
        <v>59</v>
      </c>
      <c r="E218" s="42" t="s">
        <v>60</v>
      </c>
      <c r="F218" s="45">
        <v>560</v>
      </c>
      <c r="G218" s="45">
        <v>0.43</v>
      </c>
      <c r="H218" s="42">
        <f t="shared" si="7"/>
        <v>240.8</v>
      </c>
      <c r="I218" s="42" t="s">
        <v>570</v>
      </c>
      <c r="J218" s="42"/>
      <c r="K218" s="56"/>
    </row>
    <row r="219" s="52" customFormat="1" spans="1:11">
      <c r="A219" s="46">
        <v>45865</v>
      </c>
      <c r="B219" s="42" t="s">
        <v>113</v>
      </c>
      <c r="C219" s="42" t="s">
        <v>1761</v>
      </c>
      <c r="D219" s="42" t="s">
        <v>122</v>
      </c>
      <c r="E219" s="42" t="s">
        <v>1762</v>
      </c>
      <c r="F219" s="45">
        <v>6080</v>
      </c>
      <c r="G219" s="45">
        <v>0.52</v>
      </c>
      <c r="H219" s="42">
        <f t="shared" si="7"/>
        <v>3161.6</v>
      </c>
      <c r="I219" s="42" t="s">
        <v>278</v>
      </c>
      <c r="J219" s="42"/>
      <c r="K219" s="56"/>
    </row>
    <row r="220" s="52" customFormat="1" spans="1:11">
      <c r="A220" s="46">
        <v>45866</v>
      </c>
      <c r="B220" s="42" t="s">
        <v>113</v>
      </c>
      <c r="C220" s="42" t="s">
        <v>1763</v>
      </c>
      <c r="D220" s="42" t="s">
        <v>115</v>
      </c>
      <c r="E220" s="42" t="s">
        <v>123</v>
      </c>
      <c r="F220" s="45">
        <v>17580</v>
      </c>
      <c r="G220" s="45">
        <v>0.48</v>
      </c>
      <c r="H220" s="42">
        <f t="shared" si="7"/>
        <v>8438.4</v>
      </c>
      <c r="I220" s="42" t="s">
        <v>126</v>
      </c>
      <c r="J220" s="42"/>
      <c r="K220" s="56"/>
    </row>
    <row r="221" s="52" customFormat="1" spans="1:11">
      <c r="A221" s="46">
        <v>45866</v>
      </c>
      <c r="B221" s="42" t="s">
        <v>113</v>
      </c>
      <c r="C221" s="42" t="s">
        <v>1763</v>
      </c>
      <c r="D221" s="42" t="s">
        <v>115</v>
      </c>
      <c r="E221" s="42" t="s">
        <v>123</v>
      </c>
      <c r="F221" s="45">
        <v>2030</v>
      </c>
      <c r="G221" s="45">
        <v>0.48</v>
      </c>
      <c r="H221" s="42">
        <f t="shared" si="7"/>
        <v>974.4</v>
      </c>
      <c r="I221" s="42" t="s">
        <v>126</v>
      </c>
      <c r="J221" s="42"/>
      <c r="K221" s="56"/>
    </row>
    <row r="222" s="52" customFormat="1" spans="1:11">
      <c r="A222" s="46">
        <v>45866</v>
      </c>
      <c r="B222" s="42" t="s">
        <v>113</v>
      </c>
      <c r="C222" s="42" t="s">
        <v>1763</v>
      </c>
      <c r="D222" s="42" t="s">
        <v>59</v>
      </c>
      <c r="E222" s="42" t="s">
        <v>123</v>
      </c>
      <c r="F222" s="45">
        <v>10180</v>
      </c>
      <c r="G222" s="45">
        <v>0.48</v>
      </c>
      <c r="H222" s="42">
        <f t="shared" si="7"/>
        <v>4886.4</v>
      </c>
      <c r="I222" s="42" t="s">
        <v>278</v>
      </c>
      <c r="J222" s="42"/>
      <c r="K222" s="56"/>
    </row>
    <row r="223" s="52" customFormat="1" spans="1:11">
      <c r="A223" s="46">
        <v>45866</v>
      </c>
      <c r="B223" s="42" t="s">
        <v>113</v>
      </c>
      <c r="C223" s="42" t="s">
        <v>1763</v>
      </c>
      <c r="D223" s="42" t="s">
        <v>196</v>
      </c>
      <c r="E223" s="42" t="s">
        <v>1764</v>
      </c>
      <c r="F223" s="45">
        <v>5010</v>
      </c>
      <c r="G223" s="45">
        <v>0.75</v>
      </c>
      <c r="H223" s="42">
        <f t="shared" si="7"/>
        <v>3757.5</v>
      </c>
      <c r="I223" s="42" t="s">
        <v>56</v>
      </c>
      <c r="J223" s="42"/>
      <c r="K223" s="56"/>
    </row>
    <row r="224" s="52" customFormat="1" spans="1:11">
      <c r="A224" s="46">
        <v>45868</v>
      </c>
      <c r="B224" s="42" t="s">
        <v>113</v>
      </c>
      <c r="C224" s="42" t="s">
        <v>1765</v>
      </c>
      <c r="D224" s="42" t="s">
        <v>122</v>
      </c>
      <c r="E224" s="42" t="s">
        <v>127</v>
      </c>
      <c r="F224" s="45">
        <v>18200</v>
      </c>
      <c r="G224" s="45">
        <v>0.57</v>
      </c>
      <c r="H224" s="42">
        <f t="shared" si="7"/>
        <v>10374</v>
      </c>
      <c r="I224" s="42" t="s">
        <v>126</v>
      </c>
      <c r="J224" s="42"/>
      <c r="K224" s="56"/>
    </row>
    <row r="225" s="52" customFormat="1" spans="1:11">
      <c r="A225" s="46">
        <v>45868</v>
      </c>
      <c r="B225" s="42" t="s">
        <v>113</v>
      </c>
      <c r="C225" s="42" t="s">
        <v>1765</v>
      </c>
      <c r="D225" s="42" t="s">
        <v>115</v>
      </c>
      <c r="E225" s="42" t="s">
        <v>123</v>
      </c>
      <c r="F225" s="45">
        <v>16500</v>
      </c>
      <c r="G225" s="45">
        <v>0.48</v>
      </c>
      <c r="H225" s="42">
        <f t="shared" si="7"/>
        <v>7920</v>
      </c>
      <c r="I225" s="42" t="s">
        <v>126</v>
      </c>
      <c r="J225" s="42"/>
      <c r="K225" s="56"/>
    </row>
    <row r="226" s="52" customFormat="1" spans="1:11">
      <c r="A226" s="46">
        <v>45868</v>
      </c>
      <c r="B226" s="42" t="s">
        <v>113</v>
      </c>
      <c r="C226" s="42" t="s">
        <v>1765</v>
      </c>
      <c r="D226" s="42" t="s">
        <v>115</v>
      </c>
      <c r="E226" s="42" t="s">
        <v>60</v>
      </c>
      <c r="F226" s="45">
        <v>6060</v>
      </c>
      <c r="G226" s="45">
        <v>0.43</v>
      </c>
      <c r="H226" s="42">
        <f t="shared" si="7"/>
        <v>2605.8</v>
      </c>
      <c r="I226" s="42" t="s">
        <v>126</v>
      </c>
      <c r="J226" s="42"/>
      <c r="K226" s="56"/>
    </row>
    <row r="227" s="52" customFormat="1" spans="1:11">
      <c r="A227" s="46">
        <v>45868</v>
      </c>
      <c r="B227" s="42" t="s">
        <v>113</v>
      </c>
      <c r="C227" s="42" t="s">
        <v>1765</v>
      </c>
      <c r="D227" s="42" t="s">
        <v>130</v>
      </c>
      <c r="E227" s="42" t="s">
        <v>123</v>
      </c>
      <c r="F227" s="45">
        <v>12036</v>
      </c>
      <c r="G227" s="45">
        <v>0.45</v>
      </c>
      <c r="H227" s="42">
        <f t="shared" si="7"/>
        <v>5416.2</v>
      </c>
      <c r="I227" s="42" t="s">
        <v>1465</v>
      </c>
      <c r="J227" s="42"/>
      <c r="K227" s="56"/>
    </row>
    <row r="228" s="52" customFormat="1" spans="1:11">
      <c r="A228" s="46">
        <v>45868</v>
      </c>
      <c r="B228" s="42" t="s">
        <v>113</v>
      </c>
      <c r="C228" s="42" t="s">
        <v>1765</v>
      </c>
      <c r="D228" s="42" t="s">
        <v>115</v>
      </c>
      <c r="E228" s="42" t="s">
        <v>127</v>
      </c>
      <c r="F228" s="45">
        <v>4050</v>
      </c>
      <c r="G228" s="45">
        <v>0.5</v>
      </c>
      <c r="H228" s="42">
        <f t="shared" si="7"/>
        <v>2025</v>
      </c>
      <c r="I228" s="42" t="s">
        <v>126</v>
      </c>
      <c r="J228" s="42"/>
      <c r="K228" s="56"/>
    </row>
    <row r="229" s="52" customFormat="1" spans="1:11">
      <c r="A229" s="46">
        <v>45869</v>
      </c>
      <c r="B229" s="42" t="s">
        <v>113</v>
      </c>
      <c r="C229" s="42" t="s">
        <v>1766</v>
      </c>
      <c r="D229" s="42" t="s">
        <v>76</v>
      </c>
      <c r="E229" s="42" t="s">
        <v>60</v>
      </c>
      <c r="F229" s="45">
        <v>22200</v>
      </c>
      <c r="G229" s="45">
        <v>0.43</v>
      </c>
      <c r="H229" s="42">
        <f t="shared" si="7"/>
        <v>9546</v>
      </c>
      <c r="I229" s="42" t="s">
        <v>126</v>
      </c>
      <c r="J229" s="42"/>
      <c r="K229" s="56"/>
    </row>
    <row r="230" s="52" customFormat="1" spans="1:11">
      <c r="A230" s="46">
        <v>45869</v>
      </c>
      <c r="B230" s="42" t="s">
        <v>113</v>
      </c>
      <c r="C230" s="42" t="s">
        <v>1766</v>
      </c>
      <c r="D230" s="42" t="s">
        <v>115</v>
      </c>
      <c r="E230" s="42" t="s">
        <v>339</v>
      </c>
      <c r="F230" s="45">
        <v>10110</v>
      </c>
      <c r="G230" s="45">
        <v>0.48</v>
      </c>
      <c r="H230" s="42">
        <f t="shared" si="7"/>
        <v>4852.8</v>
      </c>
      <c r="I230" s="42" t="s">
        <v>126</v>
      </c>
      <c r="J230" s="42"/>
      <c r="K230" s="56"/>
    </row>
    <row r="231" s="52" customFormat="1" spans="1:11">
      <c r="A231" s="46">
        <v>45869</v>
      </c>
      <c r="B231" s="42" t="s">
        <v>113</v>
      </c>
      <c r="C231" s="42" t="s">
        <v>1766</v>
      </c>
      <c r="D231" s="42" t="s">
        <v>76</v>
      </c>
      <c r="E231" s="42" t="s">
        <v>1668</v>
      </c>
      <c r="F231" s="45">
        <v>3060</v>
      </c>
      <c r="G231" s="45">
        <v>0.5</v>
      </c>
      <c r="H231" s="42">
        <f t="shared" si="7"/>
        <v>1530</v>
      </c>
      <c r="I231" s="42" t="s">
        <v>117</v>
      </c>
      <c r="J231" s="42"/>
      <c r="K231" s="56"/>
    </row>
    <row r="232" s="52" customFormat="1" spans="1:11">
      <c r="A232" s="46">
        <v>45869</v>
      </c>
      <c r="B232" s="42" t="s">
        <v>113</v>
      </c>
      <c r="C232" s="42" t="s">
        <v>1766</v>
      </c>
      <c r="D232" s="42" t="s">
        <v>1767</v>
      </c>
      <c r="E232" s="42" t="s">
        <v>60</v>
      </c>
      <c r="F232" s="45">
        <v>705</v>
      </c>
      <c r="G232" s="45">
        <v>0.5</v>
      </c>
      <c r="H232" s="42">
        <f t="shared" si="7"/>
        <v>352.5</v>
      </c>
      <c r="I232" s="42" t="s">
        <v>340</v>
      </c>
      <c r="J232" s="42"/>
      <c r="K232" s="56"/>
    </row>
    <row r="233" spans="1:11">
      <c r="A233" s="41">
        <v>45840</v>
      </c>
      <c r="B233" s="43" t="s">
        <v>237</v>
      </c>
      <c r="C233" s="43" t="s">
        <v>1768</v>
      </c>
      <c r="D233" s="43" t="s">
        <v>47</v>
      </c>
      <c r="E233" s="43" t="s">
        <v>14</v>
      </c>
      <c r="F233" s="43">
        <v>38400</v>
      </c>
      <c r="G233" s="43">
        <v>0.9</v>
      </c>
      <c r="H233" s="43">
        <f t="shared" ref="H233:H248" si="8">F233*G233</f>
        <v>34560</v>
      </c>
      <c r="I233" s="43" t="s">
        <v>1546</v>
      </c>
      <c r="J233" s="43" t="s">
        <v>46</v>
      </c>
      <c r="K233" s="55" t="s">
        <v>1769</v>
      </c>
    </row>
    <row r="234" spans="1:11">
      <c r="A234" s="41">
        <v>45841</v>
      </c>
      <c r="B234" s="43" t="s">
        <v>237</v>
      </c>
      <c r="C234" s="43" t="s">
        <v>1770</v>
      </c>
      <c r="D234" s="43" t="s">
        <v>1771</v>
      </c>
      <c r="E234" s="43" t="s">
        <v>14</v>
      </c>
      <c r="F234" s="43">
        <v>79774</v>
      </c>
      <c r="G234" s="43">
        <v>0.85</v>
      </c>
      <c r="H234" s="43">
        <f t="shared" si="8"/>
        <v>67807.9</v>
      </c>
      <c r="I234" s="43" t="s">
        <v>1546</v>
      </c>
      <c r="J234" s="43" t="s">
        <v>46</v>
      </c>
      <c r="K234" s="58"/>
    </row>
    <row r="235" spans="1:11">
      <c r="A235" s="41">
        <v>45841</v>
      </c>
      <c r="B235" s="43" t="s">
        <v>237</v>
      </c>
      <c r="C235" s="43" t="s">
        <v>1770</v>
      </c>
      <c r="D235" s="43" t="s">
        <v>47</v>
      </c>
      <c r="E235" s="43" t="s">
        <v>14</v>
      </c>
      <c r="F235" s="43">
        <v>61600</v>
      </c>
      <c r="G235" s="43">
        <v>0.9</v>
      </c>
      <c r="H235" s="43">
        <f t="shared" si="8"/>
        <v>55440</v>
      </c>
      <c r="I235" s="43" t="s">
        <v>1772</v>
      </c>
      <c r="J235" s="43" t="s">
        <v>46</v>
      </c>
      <c r="K235" s="58"/>
    </row>
    <row r="236" spans="1:11">
      <c r="A236" s="41">
        <v>45842</v>
      </c>
      <c r="B236" s="43" t="s">
        <v>237</v>
      </c>
      <c r="C236" s="43" t="s">
        <v>1773</v>
      </c>
      <c r="D236" s="43" t="s">
        <v>1771</v>
      </c>
      <c r="E236" s="43" t="s">
        <v>14</v>
      </c>
      <c r="F236" s="43">
        <v>5060</v>
      </c>
      <c r="G236" s="43">
        <v>0.85</v>
      </c>
      <c r="H236" s="43">
        <f t="shared" si="8"/>
        <v>4301</v>
      </c>
      <c r="I236" s="43" t="s">
        <v>1546</v>
      </c>
      <c r="J236" s="43" t="s">
        <v>46</v>
      </c>
      <c r="K236" s="59"/>
    </row>
    <row r="237" spans="1:11">
      <c r="A237" s="41">
        <v>45843</v>
      </c>
      <c r="B237" s="43" t="s">
        <v>237</v>
      </c>
      <c r="C237" s="43" t="s">
        <v>1774</v>
      </c>
      <c r="D237" s="43" t="s">
        <v>493</v>
      </c>
      <c r="E237" s="43" t="s">
        <v>14</v>
      </c>
      <c r="F237" s="43">
        <v>26594</v>
      </c>
      <c r="G237" s="43">
        <v>0.7</v>
      </c>
      <c r="H237" s="43">
        <f t="shared" si="8"/>
        <v>18615.8</v>
      </c>
      <c r="I237" s="43" t="s">
        <v>117</v>
      </c>
      <c r="J237" s="43" t="s">
        <v>46</v>
      </c>
      <c r="K237" s="43"/>
    </row>
    <row r="238" spans="1:11">
      <c r="A238" s="41">
        <v>45845</v>
      </c>
      <c r="B238" s="43" t="s">
        <v>237</v>
      </c>
      <c r="C238" s="43" t="s">
        <v>1775</v>
      </c>
      <c r="D238" s="43" t="s">
        <v>493</v>
      </c>
      <c r="E238" s="43" t="s">
        <v>14</v>
      </c>
      <c r="F238" s="43">
        <v>35000</v>
      </c>
      <c r="G238" s="43">
        <v>0.7</v>
      </c>
      <c r="H238" s="43">
        <f t="shared" si="8"/>
        <v>24500</v>
      </c>
      <c r="I238" s="43" t="s">
        <v>117</v>
      </c>
      <c r="J238" s="43" t="s">
        <v>46</v>
      </c>
      <c r="K238" s="43"/>
    </row>
    <row r="239" spans="1:11">
      <c r="A239" s="41">
        <v>45848</v>
      </c>
      <c r="B239" s="43" t="s">
        <v>237</v>
      </c>
      <c r="C239" s="43" t="s">
        <v>1776</v>
      </c>
      <c r="D239" s="43" t="s">
        <v>242</v>
      </c>
      <c r="E239" s="43" t="s">
        <v>111</v>
      </c>
      <c r="F239" s="43">
        <v>180420</v>
      </c>
      <c r="G239" s="43">
        <v>0.465</v>
      </c>
      <c r="H239" s="43">
        <f t="shared" si="8"/>
        <v>83895.3</v>
      </c>
      <c r="I239" s="43" t="s">
        <v>1777</v>
      </c>
      <c r="J239" s="43"/>
      <c r="K239" s="43"/>
    </row>
    <row r="240" spans="1:11">
      <c r="A240" s="41">
        <v>45849</v>
      </c>
      <c r="B240" s="43" t="s">
        <v>237</v>
      </c>
      <c r="C240" s="43" t="s">
        <v>1778</v>
      </c>
      <c r="D240" s="43" t="s">
        <v>413</v>
      </c>
      <c r="E240" s="43" t="s">
        <v>116</v>
      </c>
      <c r="F240" s="43">
        <v>230</v>
      </c>
      <c r="G240" s="43">
        <v>0.58</v>
      </c>
      <c r="H240" s="43">
        <f t="shared" si="8"/>
        <v>133.4</v>
      </c>
      <c r="I240" s="43" t="s">
        <v>396</v>
      </c>
      <c r="J240" s="43"/>
      <c r="K240" s="43"/>
    </row>
    <row r="241" spans="1:11">
      <c r="A241" s="41">
        <v>45849</v>
      </c>
      <c r="B241" s="43" t="s">
        <v>237</v>
      </c>
      <c r="C241" s="43" t="s">
        <v>1778</v>
      </c>
      <c r="D241" s="43" t="s">
        <v>242</v>
      </c>
      <c r="E241" s="43" t="s">
        <v>111</v>
      </c>
      <c r="F241" s="43">
        <v>21038</v>
      </c>
      <c r="G241" s="43">
        <v>0.465</v>
      </c>
      <c r="H241" s="43">
        <f t="shared" si="8"/>
        <v>9782.67</v>
      </c>
      <c r="I241" s="43" t="s">
        <v>1777</v>
      </c>
      <c r="J241" s="43"/>
      <c r="K241" s="43"/>
    </row>
    <row r="242" spans="1:11">
      <c r="A242" s="41">
        <v>45853</v>
      </c>
      <c r="B242" s="43" t="s">
        <v>237</v>
      </c>
      <c r="C242" s="43" t="s">
        <v>1779</v>
      </c>
      <c r="D242" s="43" t="s">
        <v>493</v>
      </c>
      <c r="E242" s="43" t="s">
        <v>14</v>
      </c>
      <c r="F242" s="43">
        <v>34040</v>
      </c>
      <c r="G242" s="43">
        <v>0.7</v>
      </c>
      <c r="H242" s="43">
        <f t="shared" si="8"/>
        <v>23828</v>
      </c>
      <c r="I242" s="43" t="s">
        <v>117</v>
      </c>
      <c r="J242" s="43"/>
      <c r="K242" s="43"/>
    </row>
    <row r="243" spans="1:11">
      <c r="A243" s="41">
        <v>45855</v>
      </c>
      <c r="B243" s="43" t="s">
        <v>237</v>
      </c>
      <c r="C243" s="43" t="s">
        <v>1780</v>
      </c>
      <c r="D243" s="43" t="s">
        <v>413</v>
      </c>
      <c r="E243" s="43" t="s">
        <v>739</v>
      </c>
      <c r="F243" s="43">
        <v>3450</v>
      </c>
      <c r="G243" s="43">
        <v>0.58</v>
      </c>
      <c r="H243" s="43">
        <f t="shared" si="8"/>
        <v>2001</v>
      </c>
      <c r="I243" s="43" t="s">
        <v>396</v>
      </c>
      <c r="J243" s="43"/>
      <c r="K243" s="43"/>
    </row>
    <row r="244" spans="1:11">
      <c r="A244" s="41">
        <v>45855</v>
      </c>
      <c r="B244" s="43" t="s">
        <v>237</v>
      </c>
      <c r="C244" s="43" t="s">
        <v>1781</v>
      </c>
      <c r="D244" s="43" t="s">
        <v>772</v>
      </c>
      <c r="E244" s="43" t="s">
        <v>14</v>
      </c>
      <c r="F244" s="43">
        <v>61180</v>
      </c>
      <c r="G244" s="43">
        <v>1.05</v>
      </c>
      <c r="H244" s="43">
        <f t="shared" si="8"/>
        <v>64239</v>
      </c>
      <c r="I244" s="43" t="s">
        <v>271</v>
      </c>
      <c r="J244" s="43" t="s">
        <v>46</v>
      </c>
      <c r="K244" s="43"/>
    </row>
    <row r="245" spans="1:11">
      <c r="A245" s="41">
        <v>45860</v>
      </c>
      <c r="B245" s="43" t="s">
        <v>237</v>
      </c>
      <c r="C245" s="43" t="s">
        <v>1775</v>
      </c>
      <c r="D245" s="43" t="s">
        <v>493</v>
      </c>
      <c r="E245" s="43" t="s">
        <v>14</v>
      </c>
      <c r="F245" s="43">
        <v>31000</v>
      </c>
      <c r="G245" s="43">
        <v>0.7</v>
      </c>
      <c r="H245" s="43">
        <f t="shared" si="8"/>
        <v>21700</v>
      </c>
      <c r="I245" s="43" t="s">
        <v>117</v>
      </c>
      <c r="J245" s="43" t="s">
        <v>46</v>
      </c>
      <c r="K245" s="43"/>
    </row>
    <row r="246" spans="1:11">
      <c r="A246" s="41">
        <v>45862</v>
      </c>
      <c r="B246" s="43" t="s">
        <v>237</v>
      </c>
      <c r="C246" s="43" t="s">
        <v>1782</v>
      </c>
      <c r="D246" s="43" t="s">
        <v>1428</v>
      </c>
      <c r="E246" s="43" t="s">
        <v>14</v>
      </c>
      <c r="F246" s="43">
        <v>23040</v>
      </c>
      <c r="G246" s="43">
        <v>1.235</v>
      </c>
      <c r="H246" s="43">
        <f t="shared" si="8"/>
        <v>28454.4</v>
      </c>
      <c r="I246" s="43" t="s">
        <v>1429</v>
      </c>
      <c r="J246" s="43"/>
      <c r="K246" s="43"/>
    </row>
    <row r="247" spans="1:11">
      <c r="A247" s="41">
        <v>45862</v>
      </c>
      <c r="B247" s="43" t="s">
        <v>237</v>
      </c>
      <c r="C247" s="43" t="s">
        <v>1783</v>
      </c>
      <c r="D247" s="43" t="s">
        <v>1428</v>
      </c>
      <c r="E247" s="43" t="s">
        <v>14</v>
      </c>
      <c r="F247" s="43">
        <v>23544</v>
      </c>
      <c r="G247" s="43">
        <v>1.235</v>
      </c>
      <c r="H247" s="43">
        <f t="shared" si="8"/>
        <v>29076.84</v>
      </c>
      <c r="I247" s="43" t="s">
        <v>1429</v>
      </c>
      <c r="J247" s="43"/>
      <c r="K247" s="43"/>
    </row>
    <row r="248" spans="1:11">
      <c r="A248" s="41">
        <v>45863</v>
      </c>
      <c r="B248" s="43" t="s">
        <v>237</v>
      </c>
      <c r="C248" s="43" t="s">
        <v>1783</v>
      </c>
      <c r="D248" s="43" t="s">
        <v>413</v>
      </c>
      <c r="E248" s="43" t="s">
        <v>124</v>
      </c>
      <c r="F248" s="43">
        <v>65000</v>
      </c>
      <c r="G248" s="43">
        <v>0.56</v>
      </c>
      <c r="H248" s="43">
        <f t="shared" si="8"/>
        <v>36400</v>
      </c>
      <c r="I248" s="43" t="s">
        <v>396</v>
      </c>
      <c r="J248" s="43"/>
      <c r="K248" s="43"/>
    </row>
    <row r="249" spans="1:11">
      <c r="A249" s="41">
        <v>45864</v>
      </c>
      <c r="B249" s="43" t="s">
        <v>237</v>
      </c>
      <c r="C249" s="43" t="s">
        <v>1784</v>
      </c>
      <c r="D249" s="43" t="s">
        <v>413</v>
      </c>
      <c r="E249" s="43" t="s">
        <v>124</v>
      </c>
      <c r="F249" s="43">
        <v>30000</v>
      </c>
      <c r="G249" s="43">
        <v>0.56</v>
      </c>
      <c r="H249" s="43">
        <f t="shared" ref="H249:H257" si="9">F249*G249</f>
        <v>16800</v>
      </c>
      <c r="I249" s="43" t="s">
        <v>396</v>
      </c>
      <c r="J249" s="43"/>
      <c r="K249" s="43"/>
    </row>
    <row r="250" spans="1:11">
      <c r="A250" s="41">
        <v>45866</v>
      </c>
      <c r="B250" s="43" t="s">
        <v>237</v>
      </c>
      <c r="C250" s="43" t="s">
        <v>1785</v>
      </c>
      <c r="D250" s="43" t="s">
        <v>413</v>
      </c>
      <c r="E250" s="43" t="s">
        <v>124</v>
      </c>
      <c r="F250" s="43">
        <v>25000</v>
      </c>
      <c r="G250" s="43">
        <v>0.56</v>
      </c>
      <c r="H250" s="43">
        <f t="shared" si="9"/>
        <v>14000</v>
      </c>
      <c r="I250" s="43" t="s">
        <v>396</v>
      </c>
      <c r="J250" s="43"/>
      <c r="K250" s="43"/>
    </row>
    <row r="251" spans="1:11">
      <c r="A251" s="41">
        <v>45867</v>
      </c>
      <c r="B251" s="43" t="s">
        <v>237</v>
      </c>
      <c r="C251" s="43" t="s">
        <v>1786</v>
      </c>
      <c r="D251" s="43" t="s">
        <v>413</v>
      </c>
      <c r="E251" s="43" t="s">
        <v>124</v>
      </c>
      <c r="F251" s="43">
        <v>35000</v>
      </c>
      <c r="G251" s="43">
        <v>0.56</v>
      </c>
      <c r="H251" s="43">
        <f t="shared" si="9"/>
        <v>19600</v>
      </c>
      <c r="I251" s="43" t="s">
        <v>396</v>
      </c>
      <c r="J251" s="43"/>
      <c r="K251" s="43"/>
    </row>
    <row r="252" spans="1:11">
      <c r="A252" s="41">
        <v>45846</v>
      </c>
      <c r="B252" s="43" t="s">
        <v>280</v>
      </c>
      <c r="C252" s="43">
        <v>2025070055</v>
      </c>
      <c r="D252" s="43" t="s">
        <v>1787</v>
      </c>
      <c r="E252" s="43" t="s">
        <v>14</v>
      </c>
      <c r="F252" s="43">
        <v>3</v>
      </c>
      <c r="G252" s="43">
        <v>2.1</v>
      </c>
      <c r="H252" s="43">
        <f t="shared" si="9"/>
        <v>6.3</v>
      </c>
      <c r="I252" s="43" t="s">
        <v>193</v>
      </c>
      <c r="J252" s="43"/>
      <c r="K252" s="43"/>
    </row>
    <row r="253" spans="1:11">
      <c r="A253" s="41">
        <v>45846</v>
      </c>
      <c r="B253" s="43" t="s">
        <v>280</v>
      </c>
      <c r="C253" s="43">
        <v>2025070055</v>
      </c>
      <c r="D253" s="43" t="s">
        <v>1788</v>
      </c>
      <c r="E253" s="43" t="s">
        <v>14</v>
      </c>
      <c r="F253" s="43">
        <v>3</v>
      </c>
      <c r="G253" s="43">
        <v>2.3</v>
      </c>
      <c r="H253" s="43">
        <f t="shared" si="9"/>
        <v>6.9</v>
      </c>
      <c r="I253" s="43" t="s">
        <v>193</v>
      </c>
      <c r="J253" s="43"/>
      <c r="K253" s="43"/>
    </row>
    <row r="254" spans="1:11">
      <c r="A254" s="41">
        <v>45846</v>
      </c>
      <c r="B254" s="43" t="s">
        <v>150</v>
      </c>
      <c r="C254" s="43"/>
      <c r="D254" s="43" t="s">
        <v>233</v>
      </c>
      <c r="E254" s="43" t="s">
        <v>14</v>
      </c>
      <c r="F254" s="43">
        <v>1655</v>
      </c>
      <c r="G254" s="43">
        <v>0.8</v>
      </c>
      <c r="H254" s="43">
        <f t="shared" si="9"/>
        <v>1324</v>
      </c>
      <c r="I254" s="43" t="s">
        <v>45</v>
      </c>
      <c r="J254" s="43"/>
      <c r="K254" s="43"/>
    </row>
    <row r="255" spans="1:11">
      <c r="A255" s="41">
        <v>45857</v>
      </c>
      <c r="B255" s="43" t="s">
        <v>150</v>
      </c>
      <c r="C255" s="43"/>
      <c r="D255" s="43" t="s">
        <v>233</v>
      </c>
      <c r="E255" s="43" t="s">
        <v>14</v>
      </c>
      <c r="F255" s="43">
        <v>2110</v>
      </c>
      <c r="G255" s="43">
        <v>0.8</v>
      </c>
      <c r="H255" s="43">
        <f t="shared" si="9"/>
        <v>1688</v>
      </c>
      <c r="I255" s="43" t="s">
        <v>45</v>
      </c>
      <c r="J255" s="43"/>
      <c r="K255" s="43"/>
    </row>
    <row r="256" spans="1:11">
      <c r="A256" s="41">
        <v>45865</v>
      </c>
      <c r="B256" s="43" t="s">
        <v>150</v>
      </c>
      <c r="C256" s="43"/>
      <c r="D256" s="43" t="s">
        <v>233</v>
      </c>
      <c r="E256" s="43" t="s">
        <v>14</v>
      </c>
      <c r="F256" s="43">
        <v>310</v>
      </c>
      <c r="G256" s="43">
        <v>0.8</v>
      </c>
      <c r="H256" s="43">
        <f t="shared" si="9"/>
        <v>248</v>
      </c>
      <c r="I256" s="43" t="s">
        <v>45</v>
      </c>
      <c r="J256" s="43"/>
      <c r="K256" s="43"/>
    </row>
    <row r="257" spans="1:11">
      <c r="A257" s="41">
        <v>45869</v>
      </c>
      <c r="B257" s="43" t="s">
        <v>150</v>
      </c>
      <c r="C257" s="43"/>
      <c r="D257" s="43" t="s">
        <v>233</v>
      </c>
      <c r="E257" s="43" t="s">
        <v>14</v>
      </c>
      <c r="F257" s="43">
        <v>1020</v>
      </c>
      <c r="G257" s="43">
        <v>0.8</v>
      </c>
      <c r="H257" s="43">
        <f t="shared" si="9"/>
        <v>816</v>
      </c>
      <c r="I257" s="43" t="s">
        <v>45</v>
      </c>
      <c r="J257" s="43"/>
      <c r="K257" s="43"/>
    </row>
    <row r="258" spans="1:11">
      <c r="A258" s="41">
        <v>45846</v>
      </c>
      <c r="B258" s="43" t="s">
        <v>225</v>
      </c>
      <c r="C258" s="87" t="s">
        <v>1789</v>
      </c>
      <c r="D258" s="43" t="s">
        <v>227</v>
      </c>
      <c r="E258" s="43" t="s">
        <v>62</v>
      </c>
      <c r="F258" s="43">
        <v>306</v>
      </c>
      <c r="G258" s="43">
        <v>0.57</v>
      </c>
      <c r="H258" s="43">
        <f t="shared" ref="H258:H265" si="10">F258*G258</f>
        <v>174.42</v>
      </c>
      <c r="I258" s="43" t="s">
        <v>65</v>
      </c>
      <c r="J258" s="43"/>
      <c r="K258" s="43"/>
    </row>
    <row r="259" spans="1:11">
      <c r="A259" s="41">
        <v>45846</v>
      </c>
      <c r="B259" s="43" t="s">
        <v>225</v>
      </c>
      <c r="C259" s="87" t="s">
        <v>1789</v>
      </c>
      <c r="D259" s="43" t="s">
        <v>227</v>
      </c>
      <c r="E259" s="43" t="s">
        <v>62</v>
      </c>
      <c r="F259" s="43">
        <v>10212</v>
      </c>
      <c r="G259" s="43">
        <v>0.57</v>
      </c>
      <c r="H259" s="43">
        <f t="shared" si="10"/>
        <v>5820.84</v>
      </c>
      <c r="I259" s="43" t="s">
        <v>69</v>
      </c>
      <c r="J259" s="43"/>
      <c r="K259" s="43"/>
    </row>
    <row r="260" spans="1:11">
      <c r="A260" s="41">
        <v>45848</v>
      </c>
      <c r="B260" s="43" t="s">
        <v>1588</v>
      </c>
      <c r="C260" s="43" t="s">
        <v>1790</v>
      </c>
      <c r="D260" s="43" t="s">
        <v>875</v>
      </c>
      <c r="E260" s="43" t="s">
        <v>447</v>
      </c>
      <c r="F260" s="43">
        <v>500</v>
      </c>
      <c r="G260" s="43">
        <v>2.15</v>
      </c>
      <c r="H260" s="43">
        <f t="shared" si="10"/>
        <v>1075</v>
      </c>
      <c r="I260" s="43" t="s">
        <v>587</v>
      </c>
      <c r="J260" s="43"/>
      <c r="K260" s="43"/>
    </row>
    <row r="261" spans="1:11">
      <c r="A261" s="41">
        <v>45862</v>
      </c>
      <c r="B261" s="43" t="s">
        <v>1588</v>
      </c>
      <c r="C261" s="43" t="s">
        <v>1791</v>
      </c>
      <c r="D261" s="43" t="s">
        <v>875</v>
      </c>
      <c r="E261" s="43" t="s">
        <v>447</v>
      </c>
      <c r="F261" s="43">
        <v>705</v>
      </c>
      <c r="G261" s="43">
        <v>2.15</v>
      </c>
      <c r="H261" s="43">
        <f t="shared" si="10"/>
        <v>1515.75</v>
      </c>
      <c r="I261" s="43" t="s">
        <v>587</v>
      </c>
      <c r="J261" s="43"/>
      <c r="K261" s="43"/>
    </row>
    <row r="262" spans="1:11">
      <c r="A262" s="41">
        <v>45862</v>
      </c>
      <c r="B262" s="43" t="s">
        <v>1588</v>
      </c>
      <c r="C262" s="43"/>
      <c r="D262" s="43" t="s">
        <v>875</v>
      </c>
      <c r="E262" s="43" t="s">
        <v>447</v>
      </c>
      <c r="F262" s="43">
        <v>1005</v>
      </c>
      <c r="G262" s="43">
        <v>2.2</v>
      </c>
      <c r="H262" s="43">
        <f t="shared" si="10"/>
        <v>2211</v>
      </c>
      <c r="I262" s="43" t="s">
        <v>587</v>
      </c>
      <c r="J262" s="43"/>
      <c r="K262" s="43"/>
    </row>
    <row r="263" spans="1:11">
      <c r="A263" s="41">
        <v>45848</v>
      </c>
      <c r="B263" s="43" t="s">
        <v>215</v>
      </c>
      <c r="C263" s="43" t="s">
        <v>1792</v>
      </c>
      <c r="D263" s="43" t="s">
        <v>217</v>
      </c>
      <c r="E263" s="43" t="s">
        <v>818</v>
      </c>
      <c r="F263" s="43">
        <v>30</v>
      </c>
      <c r="G263" s="43">
        <v>2.2</v>
      </c>
      <c r="H263" s="43">
        <f t="shared" si="10"/>
        <v>66</v>
      </c>
      <c r="I263" s="43" t="s">
        <v>1429</v>
      </c>
      <c r="J263" s="43"/>
      <c r="K263" s="43"/>
    </row>
    <row r="264" spans="1:11">
      <c r="A264" s="41">
        <v>45848</v>
      </c>
      <c r="B264" s="43" t="s">
        <v>215</v>
      </c>
      <c r="C264" s="43" t="s">
        <v>1792</v>
      </c>
      <c r="D264" s="43" t="s">
        <v>217</v>
      </c>
      <c r="E264" s="43" t="s">
        <v>819</v>
      </c>
      <c r="F264" s="43">
        <v>100</v>
      </c>
      <c r="G264" s="43">
        <v>2.9</v>
      </c>
      <c r="H264" s="43">
        <f t="shared" si="10"/>
        <v>290</v>
      </c>
      <c r="I264" s="43" t="s">
        <v>271</v>
      </c>
      <c r="J264" s="43"/>
      <c r="K264" s="43"/>
    </row>
    <row r="265" spans="1:11">
      <c r="A265" s="41">
        <v>45848</v>
      </c>
      <c r="B265" s="43" t="s">
        <v>215</v>
      </c>
      <c r="C265" s="43" t="s">
        <v>1792</v>
      </c>
      <c r="D265" s="43" t="s">
        <v>217</v>
      </c>
      <c r="E265" s="43" t="s">
        <v>1793</v>
      </c>
      <c r="F265" s="43">
        <v>100</v>
      </c>
      <c r="G265" s="43">
        <v>3.5</v>
      </c>
      <c r="H265" s="43">
        <f t="shared" si="10"/>
        <v>350</v>
      </c>
      <c r="I265" s="43" t="s">
        <v>271</v>
      </c>
      <c r="J265" s="43"/>
      <c r="K265" s="43"/>
    </row>
    <row r="266" spans="1:11">
      <c r="A266" s="41">
        <v>45848</v>
      </c>
      <c r="B266" s="43" t="s">
        <v>215</v>
      </c>
      <c r="C266" s="43" t="s">
        <v>1792</v>
      </c>
      <c r="D266" s="43" t="s">
        <v>217</v>
      </c>
      <c r="E266" s="43" t="s">
        <v>818</v>
      </c>
      <c r="F266" s="43">
        <v>200</v>
      </c>
      <c r="G266" s="43">
        <v>2.2</v>
      </c>
      <c r="H266" s="43">
        <f t="shared" ref="H266:H273" si="11">F266*G266</f>
        <v>440</v>
      </c>
      <c r="I266" s="43" t="s">
        <v>1429</v>
      </c>
      <c r="J266" s="43"/>
      <c r="K266" s="43"/>
    </row>
    <row r="267" spans="1:11">
      <c r="A267" s="41">
        <v>45854</v>
      </c>
      <c r="B267" s="43" t="s">
        <v>215</v>
      </c>
      <c r="C267" s="43" t="s">
        <v>1794</v>
      </c>
      <c r="D267" s="43" t="s">
        <v>217</v>
      </c>
      <c r="E267" s="43" t="s">
        <v>218</v>
      </c>
      <c r="F267" s="43">
        <v>200</v>
      </c>
      <c r="G267" s="43">
        <v>3.5</v>
      </c>
      <c r="H267" s="43">
        <f t="shared" si="11"/>
        <v>700</v>
      </c>
      <c r="I267" s="43" t="s">
        <v>61</v>
      </c>
      <c r="J267" s="43"/>
      <c r="K267" s="43"/>
    </row>
    <row r="268" spans="1:11">
      <c r="A268" s="41">
        <v>45854</v>
      </c>
      <c r="B268" s="43" t="s">
        <v>215</v>
      </c>
      <c r="C268" s="43" t="s">
        <v>1794</v>
      </c>
      <c r="D268" s="43" t="s">
        <v>217</v>
      </c>
      <c r="E268" s="43" t="s">
        <v>220</v>
      </c>
      <c r="F268" s="43">
        <v>200</v>
      </c>
      <c r="G268" s="43">
        <v>2.6</v>
      </c>
      <c r="H268" s="43">
        <f t="shared" si="11"/>
        <v>520</v>
      </c>
      <c r="I268" s="43" t="s">
        <v>61</v>
      </c>
      <c r="J268" s="43"/>
      <c r="K268" s="43"/>
    </row>
    <row r="269" spans="1:11">
      <c r="A269" s="41">
        <v>45854</v>
      </c>
      <c r="B269" s="43" t="s">
        <v>215</v>
      </c>
      <c r="C269" s="43" t="s">
        <v>1794</v>
      </c>
      <c r="D269" s="43" t="s">
        <v>217</v>
      </c>
      <c r="E269" s="43" t="s">
        <v>1795</v>
      </c>
      <c r="F269" s="43">
        <v>100</v>
      </c>
      <c r="G269" s="43">
        <v>2.15</v>
      </c>
      <c r="H269" s="43">
        <f t="shared" si="11"/>
        <v>215</v>
      </c>
      <c r="I269" s="43" t="s">
        <v>1429</v>
      </c>
      <c r="J269" s="43"/>
      <c r="K269" s="43"/>
    </row>
    <row r="270" spans="1:11">
      <c r="A270" s="41">
        <v>45840</v>
      </c>
      <c r="B270" s="43" t="s">
        <v>1367</v>
      </c>
      <c r="C270" s="43"/>
      <c r="D270" s="43" t="s">
        <v>18</v>
      </c>
      <c r="E270" s="43" t="s">
        <v>14</v>
      </c>
      <c r="F270" s="43">
        <v>89200</v>
      </c>
      <c r="G270" s="43">
        <v>0.75</v>
      </c>
      <c r="H270" s="43">
        <f t="shared" si="11"/>
        <v>66900</v>
      </c>
      <c r="I270" s="43" t="s">
        <v>61</v>
      </c>
      <c r="J270" s="43" t="s">
        <v>46</v>
      </c>
      <c r="K270" s="43"/>
    </row>
    <row r="271" spans="1:11">
      <c r="A271" s="41">
        <v>45841</v>
      </c>
      <c r="B271" s="43" t="s">
        <v>138</v>
      </c>
      <c r="C271" s="43">
        <v>2025073</v>
      </c>
      <c r="D271" s="43" t="s">
        <v>1158</v>
      </c>
      <c r="E271" s="43" t="s">
        <v>556</v>
      </c>
      <c r="F271" s="43">
        <v>20000</v>
      </c>
      <c r="G271" s="43">
        <v>0.02</v>
      </c>
      <c r="H271" s="43">
        <f t="shared" si="11"/>
        <v>400</v>
      </c>
      <c r="I271" s="43" t="s">
        <v>45</v>
      </c>
      <c r="J271" s="43" t="s">
        <v>46</v>
      </c>
      <c r="K271" s="43"/>
    </row>
    <row r="272" spans="1:11">
      <c r="A272" s="41">
        <v>45841</v>
      </c>
      <c r="B272" s="43" t="s">
        <v>138</v>
      </c>
      <c r="C272" s="43">
        <v>2025073</v>
      </c>
      <c r="D272" s="43" t="s">
        <v>1158</v>
      </c>
      <c r="E272" s="43" t="s">
        <v>1796</v>
      </c>
      <c r="F272" s="43">
        <v>17000</v>
      </c>
      <c r="G272" s="43">
        <v>0.03</v>
      </c>
      <c r="H272" s="43">
        <f t="shared" si="11"/>
        <v>510</v>
      </c>
      <c r="I272" s="43" t="s">
        <v>45</v>
      </c>
      <c r="J272" s="43" t="s">
        <v>46</v>
      </c>
      <c r="K272" s="43"/>
    </row>
    <row r="273" spans="1:11">
      <c r="A273" s="41">
        <v>45846</v>
      </c>
      <c r="B273" s="43" t="s">
        <v>138</v>
      </c>
      <c r="C273" s="43">
        <v>20250708</v>
      </c>
      <c r="D273" s="43" t="s">
        <v>59</v>
      </c>
      <c r="E273" s="43" t="s">
        <v>1797</v>
      </c>
      <c r="F273" s="43">
        <v>20000</v>
      </c>
      <c r="G273" s="43">
        <v>0.01</v>
      </c>
      <c r="H273" s="43">
        <f t="shared" si="11"/>
        <v>200</v>
      </c>
      <c r="I273" s="43" t="s">
        <v>982</v>
      </c>
      <c r="J273" s="43" t="s">
        <v>1798</v>
      </c>
      <c r="K273" s="43"/>
    </row>
    <row r="274" spans="1:11">
      <c r="A274" s="41">
        <v>45846</v>
      </c>
      <c r="B274" s="43" t="s">
        <v>138</v>
      </c>
      <c r="C274" s="43">
        <v>20250708</v>
      </c>
      <c r="D274" s="43" t="s">
        <v>183</v>
      </c>
      <c r="E274" s="43" t="s">
        <v>1799</v>
      </c>
      <c r="F274" s="43">
        <v>6500</v>
      </c>
      <c r="G274" s="43"/>
      <c r="H274" s="43">
        <v>150</v>
      </c>
      <c r="I274" s="43" t="s">
        <v>45</v>
      </c>
      <c r="J274" s="43" t="s">
        <v>46</v>
      </c>
      <c r="K274" s="43"/>
    </row>
    <row r="275" spans="1:11">
      <c r="A275" s="41">
        <v>45860</v>
      </c>
      <c r="B275" s="43" t="s">
        <v>138</v>
      </c>
      <c r="C275" s="43"/>
      <c r="D275" s="87" t="s">
        <v>1800</v>
      </c>
      <c r="E275" s="43" t="s">
        <v>561</v>
      </c>
      <c r="F275" s="43">
        <v>4000</v>
      </c>
      <c r="G275" s="43"/>
      <c r="H275" s="43">
        <v>150</v>
      </c>
      <c r="I275" s="43" t="s">
        <v>28</v>
      </c>
      <c r="J275" s="43"/>
      <c r="K275" s="43"/>
    </row>
    <row r="276" spans="1:11">
      <c r="A276" s="41">
        <v>45869</v>
      </c>
      <c r="B276" s="43" t="s">
        <v>138</v>
      </c>
      <c r="C276" s="43">
        <v>2025076</v>
      </c>
      <c r="D276" s="43" t="s">
        <v>285</v>
      </c>
      <c r="E276" s="43" t="s">
        <v>1801</v>
      </c>
      <c r="F276" s="43">
        <v>10000</v>
      </c>
      <c r="G276" s="43">
        <v>0.04</v>
      </c>
      <c r="H276" s="43">
        <v>151</v>
      </c>
      <c r="I276" s="43" t="s">
        <v>286</v>
      </c>
      <c r="J276" s="43" t="s">
        <v>46</v>
      </c>
      <c r="K276" s="43"/>
    </row>
    <row r="277" spans="1:11">
      <c r="A277" s="41">
        <v>45845</v>
      </c>
      <c r="B277" s="43" t="s">
        <v>906</v>
      </c>
      <c r="C277" s="43" t="s">
        <v>1802</v>
      </c>
      <c r="D277" s="43" t="s">
        <v>1803</v>
      </c>
      <c r="E277" s="43" t="s">
        <v>158</v>
      </c>
      <c r="F277" s="45">
        <v>130000</v>
      </c>
      <c r="G277" s="45">
        <v>0.17</v>
      </c>
      <c r="H277" s="43">
        <f t="shared" ref="H277:H289" si="12">F277*G277</f>
        <v>22100</v>
      </c>
      <c r="I277" s="43" t="s">
        <v>1429</v>
      </c>
      <c r="J277" s="43" t="s">
        <v>46</v>
      </c>
      <c r="K277" s="43"/>
    </row>
    <row r="278" spans="1:11">
      <c r="A278" s="41">
        <v>45845</v>
      </c>
      <c r="B278" s="43" t="s">
        <v>906</v>
      </c>
      <c r="C278" s="43" t="s">
        <v>1802</v>
      </c>
      <c r="D278" s="43" t="s">
        <v>1615</v>
      </c>
      <c r="E278" s="43" t="s">
        <v>158</v>
      </c>
      <c r="F278" s="45">
        <v>160000</v>
      </c>
      <c r="G278" s="45">
        <v>0.17</v>
      </c>
      <c r="H278" s="43">
        <f t="shared" si="12"/>
        <v>27200</v>
      </c>
      <c r="I278" s="43" t="s">
        <v>1804</v>
      </c>
      <c r="J278" s="43" t="s">
        <v>46</v>
      </c>
      <c r="K278" s="43"/>
    </row>
    <row r="279" spans="1:11">
      <c r="A279" s="41">
        <v>45847</v>
      </c>
      <c r="B279" s="43" t="s">
        <v>906</v>
      </c>
      <c r="C279" s="43" t="s">
        <v>1805</v>
      </c>
      <c r="D279" s="43" t="s">
        <v>1803</v>
      </c>
      <c r="E279" s="43" t="s">
        <v>158</v>
      </c>
      <c r="F279" s="45">
        <v>69170</v>
      </c>
      <c r="G279" s="45">
        <v>0.17</v>
      </c>
      <c r="H279" s="43">
        <f t="shared" si="12"/>
        <v>11758.9</v>
      </c>
      <c r="I279" s="43" t="s">
        <v>271</v>
      </c>
      <c r="J279" s="43" t="s">
        <v>46</v>
      </c>
      <c r="K279" s="43"/>
    </row>
    <row r="280" spans="1:11">
      <c r="A280" s="41">
        <v>45847</v>
      </c>
      <c r="B280" s="43" t="s">
        <v>906</v>
      </c>
      <c r="C280" s="43" t="s">
        <v>1805</v>
      </c>
      <c r="D280" s="43" t="s">
        <v>1615</v>
      </c>
      <c r="E280" s="43" t="s">
        <v>158</v>
      </c>
      <c r="F280" s="45">
        <v>39898</v>
      </c>
      <c r="G280" s="45">
        <v>0.17</v>
      </c>
      <c r="H280" s="43">
        <f t="shared" si="12"/>
        <v>6782.66</v>
      </c>
      <c r="I280" s="43" t="s">
        <v>1429</v>
      </c>
      <c r="J280" s="43" t="s">
        <v>46</v>
      </c>
      <c r="K280" s="43"/>
    </row>
    <row r="281" spans="1:11">
      <c r="A281" s="41">
        <v>45848</v>
      </c>
      <c r="B281" s="43" t="s">
        <v>906</v>
      </c>
      <c r="C281" s="43" t="s">
        <v>1806</v>
      </c>
      <c r="D281" s="43" t="s">
        <v>1619</v>
      </c>
      <c r="E281" s="43" t="s">
        <v>158</v>
      </c>
      <c r="F281" s="45">
        <v>100000</v>
      </c>
      <c r="G281" s="45">
        <v>0.17</v>
      </c>
      <c r="H281" s="43">
        <f t="shared" si="12"/>
        <v>17000</v>
      </c>
      <c r="I281" s="43" t="s">
        <v>1429</v>
      </c>
      <c r="J281" s="43" t="s">
        <v>46</v>
      </c>
      <c r="K281" s="43"/>
    </row>
    <row r="282" spans="1:11">
      <c r="A282" s="41">
        <v>45850</v>
      </c>
      <c r="B282" s="43" t="s">
        <v>906</v>
      </c>
      <c r="C282" s="43" t="s">
        <v>1807</v>
      </c>
      <c r="D282" s="43" t="s">
        <v>1808</v>
      </c>
      <c r="E282" s="43" t="s">
        <v>158</v>
      </c>
      <c r="F282" s="45">
        <v>50000</v>
      </c>
      <c r="G282" s="45">
        <v>0.2</v>
      </c>
      <c r="H282" s="43">
        <f t="shared" si="12"/>
        <v>10000</v>
      </c>
      <c r="I282" s="43" t="s">
        <v>61</v>
      </c>
      <c r="J282" s="43" t="s">
        <v>1798</v>
      </c>
      <c r="K282" s="43"/>
    </row>
    <row r="283" spans="1:11">
      <c r="A283" s="41">
        <v>45852</v>
      </c>
      <c r="B283" s="43" t="s">
        <v>906</v>
      </c>
      <c r="C283" s="43" t="s">
        <v>1809</v>
      </c>
      <c r="D283" s="43" t="s">
        <v>1808</v>
      </c>
      <c r="E283" s="43" t="s">
        <v>158</v>
      </c>
      <c r="F283" s="45">
        <v>50000</v>
      </c>
      <c r="G283" s="45">
        <v>0.2</v>
      </c>
      <c r="H283" s="43">
        <f t="shared" si="12"/>
        <v>10000</v>
      </c>
      <c r="I283" s="43" t="s">
        <v>45</v>
      </c>
      <c r="J283" s="43" t="s">
        <v>46</v>
      </c>
      <c r="K283" s="43"/>
    </row>
    <row r="284" spans="1:11">
      <c r="A284" s="41">
        <v>45853</v>
      </c>
      <c r="B284" s="43" t="s">
        <v>906</v>
      </c>
      <c r="C284" s="43" t="s">
        <v>1810</v>
      </c>
      <c r="D284" s="43" t="s">
        <v>1811</v>
      </c>
      <c r="E284" s="43" t="s">
        <v>158</v>
      </c>
      <c r="F284" s="45">
        <v>50000</v>
      </c>
      <c r="G284" s="45">
        <v>0.28</v>
      </c>
      <c r="H284" s="43">
        <f t="shared" si="12"/>
        <v>14000</v>
      </c>
      <c r="I284" s="43" t="s">
        <v>61</v>
      </c>
      <c r="J284" s="43" t="s">
        <v>46</v>
      </c>
      <c r="K284" s="43"/>
    </row>
    <row r="285" s="52" customFormat="1" spans="1:11">
      <c r="A285" s="46">
        <v>45859</v>
      </c>
      <c r="B285" s="42" t="s">
        <v>906</v>
      </c>
      <c r="C285" s="42" t="s">
        <v>1812</v>
      </c>
      <c r="D285" s="42" t="s">
        <v>1813</v>
      </c>
      <c r="E285" s="42" t="s">
        <v>158</v>
      </c>
      <c r="F285" s="45">
        <v>30000</v>
      </c>
      <c r="G285" s="45">
        <v>0.28</v>
      </c>
      <c r="H285" s="42">
        <f t="shared" si="12"/>
        <v>8400</v>
      </c>
      <c r="I285" s="42" t="s">
        <v>61</v>
      </c>
      <c r="J285" s="42" t="s">
        <v>46</v>
      </c>
      <c r="K285" s="42"/>
    </row>
    <row r="286" s="52" customFormat="1" spans="1:11">
      <c r="A286" s="46">
        <v>45860</v>
      </c>
      <c r="B286" s="42" t="s">
        <v>906</v>
      </c>
      <c r="C286" s="42" t="s">
        <v>1814</v>
      </c>
      <c r="D286" s="42" t="s">
        <v>1619</v>
      </c>
      <c r="E286" s="42" t="s">
        <v>158</v>
      </c>
      <c r="F286" s="45">
        <v>48000</v>
      </c>
      <c r="G286" s="45">
        <v>0.17</v>
      </c>
      <c r="H286" s="42">
        <f t="shared" si="12"/>
        <v>8160</v>
      </c>
      <c r="I286" s="42" t="s">
        <v>546</v>
      </c>
      <c r="J286" s="42" t="s">
        <v>46</v>
      </c>
      <c r="K286" s="42"/>
    </row>
    <row r="287" s="52" customFormat="1" spans="1:11">
      <c r="A287" s="46">
        <v>45861</v>
      </c>
      <c r="B287" s="42" t="s">
        <v>906</v>
      </c>
      <c r="C287" s="42" t="s">
        <v>1815</v>
      </c>
      <c r="D287" s="42" t="s">
        <v>1816</v>
      </c>
      <c r="E287" s="42" t="s">
        <v>158</v>
      </c>
      <c r="F287" s="45">
        <v>110</v>
      </c>
      <c r="G287" s="45">
        <v>0.44</v>
      </c>
      <c r="H287" s="42">
        <f t="shared" si="12"/>
        <v>48.4</v>
      </c>
      <c r="I287" s="42" t="s">
        <v>28</v>
      </c>
      <c r="J287" s="42"/>
      <c r="K287" s="42"/>
    </row>
    <row r="288" s="52" customFormat="1" spans="1:11">
      <c r="A288" s="46">
        <v>45862</v>
      </c>
      <c r="B288" s="42" t="s">
        <v>906</v>
      </c>
      <c r="C288" s="42" t="s">
        <v>1815</v>
      </c>
      <c r="D288" s="42" t="s">
        <v>1619</v>
      </c>
      <c r="E288" s="42" t="s">
        <v>158</v>
      </c>
      <c r="F288" s="45">
        <v>66000</v>
      </c>
      <c r="G288" s="45">
        <v>0.17</v>
      </c>
      <c r="H288" s="42">
        <f t="shared" si="12"/>
        <v>11220</v>
      </c>
      <c r="I288" s="42" t="s">
        <v>61</v>
      </c>
      <c r="J288" s="42" t="s">
        <v>46</v>
      </c>
      <c r="K288" s="42"/>
    </row>
    <row r="289" s="52" customFormat="1" spans="1:11">
      <c r="A289" s="46">
        <v>45864</v>
      </c>
      <c r="B289" s="42" t="s">
        <v>906</v>
      </c>
      <c r="C289" s="42" t="s">
        <v>1817</v>
      </c>
      <c r="D289" s="42" t="s">
        <v>1619</v>
      </c>
      <c r="E289" s="42" t="s">
        <v>158</v>
      </c>
      <c r="F289" s="45">
        <v>86000</v>
      </c>
      <c r="G289" s="45">
        <v>0.17</v>
      </c>
      <c r="H289" s="42">
        <f t="shared" si="12"/>
        <v>14620</v>
      </c>
      <c r="I289" s="42" t="s">
        <v>61</v>
      </c>
      <c r="J289" s="42" t="s">
        <v>46</v>
      </c>
      <c r="K289" s="42"/>
    </row>
    <row r="290" s="35" customFormat="1" spans="1:11">
      <c r="A290" s="44">
        <v>45839</v>
      </c>
      <c r="B290" s="45" t="s">
        <v>1818</v>
      </c>
      <c r="C290" s="45" t="s">
        <v>1819</v>
      </c>
      <c r="D290" s="45" t="s">
        <v>1820</v>
      </c>
      <c r="E290" s="45" t="s">
        <v>158</v>
      </c>
      <c r="F290" s="45">
        <v>13000</v>
      </c>
      <c r="G290" s="45">
        <v>0.28</v>
      </c>
      <c r="H290" s="45">
        <f t="shared" ref="H290:H302" si="13">F290*G290</f>
        <v>3640</v>
      </c>
      <c r="I290" s="45" t="s">
        <v>982</v>
      </c>
      <c r="J290" s="45" t="s">
        <v>46</v>
      </c>
      <c r="K290" s="45"/>
    </row>
    <row r="291" s="35" customFormat="1" spans="1:11">
      <c r="A291" s="44">
        <v>45846</v>
      </c>
      <c r="B291" s="45" t="s">
        <v>1818</v>
      </c>
      <c r="C291" s="45" t="s">
        <v>1821</v>
      </c>
      <c r="D291" s="45" t="s">
        <v>1822</v>
      </c>
      <c r="E291" s="45" t="s">
        <v>1823</v>
      </c>
      <c r="F291" s="45">
        <v>320</v>
      </c>
      <c r="G291" s="45">
        <v>0.24</v>
      </c>
      <c r="H291" s="45">
        <f t="shared" si="13"/>
        <v>76.8</v>
      </c>
      <c r="I291" s="45" t="s">
        <v>415</v>
      </c>
      <c r="J291" s="45"/>
      <c r="K291" s="45"/>
    </row>
    <row r="292" s="35" customFormat="1" spans="1:11">
      <c r="A292" s="44">
        <v>45853</v>
      </c>
      <c r="B292" s="45" t="s">
        <v>1818</v>
      </c>
      <c r="C292" s="45" t="s">
        <v>1824</v>
      </c>
      <c r="D292" s="45" t="s">
        <v>462</v>
      </c>
      <c r="E292" s="45" t="s">
        <v>1823</v>
      </c>
      <c r="F292" s="45">
        <v>5000</v>
      </c>
      <c r="G292" s="45">
        <v>0.24</v>
      </c>
      <c r="H292" s="45">
        <f t="shared" si="13"/>
        <v>1200</v>
      </c>
      <c r="I292" s="45" t="s">
        <v>1825</v>
      </c>
      <c r="J292" s="45"/>
      <c r="K292" s="45"/>
    </row>
    <row r="293" s="35" customFormat="1" spans="1:11">
      <c r="A293" s="60">
        <v>45856</v>
      </c>
      <c r="B293" s="61" t="s">
        <v>1818</v>
      </c>
      <c r="C293" s="61" t="s">
        <v>1826</v>
      </c>
      <c r="D293" s="61" t="s">
        <v>669</v>
      </c>
      <c r="E293" s="61" t="s">
        <v>158</v>
      </c>
      <c r="F293" s="61">
        <v>50000</v>
      </c>
      <c r="G293" s="61">
        <v>0.17</v>
      </c>
      <c r="H293" s="61">
        <f t="shared" si="13"/>
        <v>8500</v>
      </c>
      <c r="I293" s="61" t="s">
        <v>1827</v>
      </c>
      <c r="J293" s="45" t="s">
        <v>46</v>
      </c>
      <c r="K293" s="45"/>
    </row>
    <row r="294" s="35" customFormat="1" spans="1:11">
      <c r="A294" s="60">
        <v>45856</v>
      </c>
      <c r="B294" s="61" t="s">
        <v>1818</v>
      </c>
      <c r="C294" s="61" t="s">
        <v>1826</v>
      </c>
      <c r="D294" s="61" t="s">
        <v>170</v>
      </c>
      <c r="E294" s="61" t="s">
        <v>158</v>
      </c>
      <c r="F294" s="61">
        <v>30000</v>
      </c>
      <c r="G294" s="61">
        <v>0.17</v>
      </c>
      <c r="H294" s="61">
        <f t="shared" si="13"/>
        <v>5100</v>
      </c>
      <c r="I294" s="61" t="s">
        <v>1429</v>
      </c>
      <c r="J294" s="45" t="s">
        <v>46</v>
      </c>
      <c r="K294" s="45"/>
    </row>
    <row r="295" s="35" customFormat="1" spans="1:11">
      <c r="A295" s="60">
        <v>45856</v>
      </c>
      <c r="B295" s="61" t="s">
        <v>1818</v>
      </c>
      <c r="C295" s="61" t="s">
        <v>1826</v>
      </c>
      <c r="D295" s="61" t="s">
        <v>1828</v>
      </c>
      <c r="E295" s="61" t="s">
        <v>158</v>
      </c>
      <c r="F295" s="61">
        <v>10000</v>
      </c>
      <c r="G295" s="61">
        <v>0.28</v>
      </c>
      <c r="H295" s="61">
        <f t="shared" si="13"/>
        <v>2800</v>
      </c>
      <c r="I295" s="61" t="s">
        <v>432</v>
      </c>
      <c r="J295" s="45" t="s">
        <v>46</v>
      </c>
      <c r="K295" s="45"/>
    </row>
    <row r="296" s="35" customFormat="1" spans="1:11">
      <c r="A296" s="60">
        <v>45869</v>
      </c>
      <c r="B296" s="61" t="s">
        <v>1818</v>
      </c>
      <c r="C296" s="61" t="s">
        <v>1829</v>
      </c>
      <c r="D296" s="61" t="s">
        <v>669</v>
      </c>
      <c r="E296" s="61" t="s">
        <v>158</v>
      </c>
      <c r="F296" s="61">
        <v>1050</v>
      </c>
      <c r="G296" s="61">
        <v>0.16</v>
      </c>
      <c r="H296" s="61">
        <f t="shared" si="13"/>
        <v>168</v>
      </c>
      <c r="I296" s="61" t="s">
        <v>570</v>
      </c>
      <c r="J296" s="45" t="s">
        <v>46</v>
      </c>
      <c r="K296" s="45"/>
    </row>
    <row r="297" spans="1:11">
      <c r="A297" s="41">
        <v>45847</v>
      </c>
      <c r="B297" s="43" t="s">
        <v>121</v>
      </c>
      <c r="C297" s="43"/>
      <c r="D297" s="43" t="s">
        <v>70</v>
      </c>
      <c r="E297" s="43" t="s">
        <v>136</v>
      </c>
      <c r="F297" s="43">
        <v>40000</v>
      </c>
      <c r="G297" s="43">
        <v>0.52</v>
      </c>
      <c r="H297" s="43">
        <f t="shared" si="13"/>
        <v>20800</v>
      </c>
      <c r="I297" s="43" t="s">
        <v>45</v>
      </c>
      <c r="J297" s="43"/>
      <c r="K297" s="43"/>
    </row>
    <row r="298" spans="1:11">
      <c r="A298" s="41">
        <v>45854</v>
      </c>
      <c r="B298" s="43" t="s">
        <v>121</v>
      </c>
      <c r="C298" s="43"/>
      <c r="D298" s="43" t="s">
        <v>122</v>
      </c>
      <c r="E298" s="43" t="s">
        <v>60</v>
      </c>
      <c r="F298" s="43">
        <v>8000</v>
      </c>
      <c r="G298" s="43">
        <v>0.51</v>
      </c>
      <c r="H298" s="43">
        <f t="shared" si="13"/>
        <v>4080</v>
      </c>
      <c r="I298" s="43" t="s">
        <v>117</v>
      </c>
      <c r="J298" s="43"/>
      <c r="K298" s="43"/>
    </row>
    <row r="299" spans="1:11">
      <c r="A299" s="41">
        <v>45854</v>
      </c>
      <c r="B299" s="43" t="s">
        <v>121</v>
      </c>
      <c r="C299" s="43"/>
      <c r="D299" s="43" t="s">
        <v>122</v>
      </c>
      <c r="E299" s="43" t="s">
        <v>123</v>
      </c>
      <c r="F299" s="43">
        <v>6124</v>
      </c>
      <c r="G299" s="43">
        <v>0.56</v>
      </c>
      <c r="H299" s="43">
        <f t="shared" si="13"/>
        <v>3429.44</v>
      </c>
      <c r="I299" s="43" t="s">
        <v>117</v>
      </c>
      <c r="J299" s="43"/>
      <c r="K299" s="43"/>
    </row>
    <row r="300" spans="1:11">
      <c r="A300" s="41">
        <v>45855</v>
      </c>
      <c r="B300" s="43" t="s">
        <v>121</v>
      </c>
      <c r="C300" s="43"/>
      <c r="D300" s="43" t="s">
        <v>134</v>
      </c>
      <c r="E300" s="43" t="s">
        <v>14</v>
      </c>
      <c r="F300" s="43">
        <v>30000</v>
      </c>
      <c r="G300" s="43">
        <v>0.65</v>
      </c>
      <c r="H300" s="43">
        <f t="shared" si="13"/>
        <v>19500</v>
      </c>
      <c r="I300" s="43" t="s">
        <v>61</v>
      </c>
      <c r="J300" s="43" t="s">
        <v>46</v>
      </c>
      <c r="K300" s="43"/>
    </row>
    <row r="301" spans="1:11">
      <c r="A301" s="41">
        <v>45860</v>
      </c>
      <c r="B301" s="43" t="s">
        <v>121</v>
      </c>
      <c r="C301" s="43"/>
      <c r="D301" s="43" t="s">
        <v>122</v>
      </c>
      <c r="E301" s="43" t="s">
        <v>124</v>
      </c>
      <c r="F301" s="43">
        <v>9448</v>
      </c>
      <c r="G301" s="43">
        <v>0.54</v>
      </c>
      <c r="H301" s="43">
        <f t="shared" si="13"/>
        <v>5101.92</v>
      </c>
      <c r="I301" s="43" t="s">
        <v>117</v>
      </c>
      <c r="J301" s="43"/>
      <c r="K301" s="43"/>
    </row>
    <row r="302" spans="1:11">
      <c r="A302" s="41">
        <v>45860</v>
      </c>
      <c r="B302" s="43" t="s">
        <v>121</v>
      </c>
      <c r="C302" s="43"/>
      <c r="D302" s="43" t="s">
        <v>122</v>
      </c>
      <c r="E302" s="43" t="s">
        <v>123</v>
      </c>
      <c r="F302" s="43">
        <v>8099</v>
      </c>
      <c r="G302" s="43">
        <v>0.56</v>
      </c>
      <c r="H302" s="43">
        <f t="shared" si="13"/>
        <v>4535.44</v>
      </c>
      <c r="I302" s="43" t="s">
        <v>117</v>
      </c>
      <c r="J302" s="43"/>
      <c r="K302" s="43"/>
    </row>
    <row r="303" spans="1:11">
      <c r="A303" s="41">
        <v>45849</v>
      </c>
      <c r="B303" s="43" t="s">
        <v>1677</v>
      </c>
      <c r="C303" s="43" t="s">
        <v>1830</v>
      </c>
      <c r="D303" s="43" t="s">
        <v>242</v>
      </c>
      <c r="E303" s="43" t="s">
        <v>14</v>
      </c>
      <c r="F303" s="45">
        <v>2300</v>
      </c>
      <c r="G303" s="45">
        <v>0.42</v>
      </c>
      <c r="H303" s="43">
        <f t="shared" ref="H303:H323" si="14">F303*G303</f>
        <v>966</v>
      </c>
      <c r="I303" s="43" t="s">
        <v>330</v>
      </c>
      <c r="J303" s="43"/>
      <c r="K303" s="43"/>
    </row>
    <row r="304" spans="1:11">
      <c r="A304" s="41">
        <v>45849</v>
      </c>
      <c r="B304" s="43" t="s">
        <v>221</v>
      </c>
      <c r="C304" s="87" t="s">
        <v>1831</v>
      </c>
      <c r="D304" s="43" t="s">
        <v>1832</v>
      </c>
      <c r="E304" s="43" t="s">
        <v>1833</v>
      </c>
      <c r="F304" s="43">
        <v>1005</v>
      </c>
      <c r="G304" s="43">
        <v>1.2</v>
      </c>
      <c r="H304" s="43">
        <f t="shared" si="14"/>
        <v>1206</v>
      </c>
      <c r="I304" s="43" t="s">
        <v>330</v>
      </c>
      <c r="J304" s="43" t="s">
        <v>1834</v>
      </c>
      <c r="K304" s="43"/>
    </row>
    <row r="305" spans="1:11">
      <c r="A305" s="41">
        <v>45849</v>
      </c>
      <c r="B305" s="43" t="s">
        <v>221</v>
      </c>
      <c r="C305" s="87" t="s">
        <v>1831</v>
      </c>
      <c r="D305" s="43" t="s">
        <v>1835</v>
      </c>
      <c r="E305" s="43" t="s">
        <v>1833</v>
      </c>
      <c r="F305" s="43">
        <v>2010</v>
      </c>
      <c r="G305" s="43">
        <v>1</v>
      </c>
      <c r="H305" s="43">
        <f t="shared" si="14"/>
        <v>2010</v>
      </c>
      <c r="I305" s="43" t="s">
        <v>330</v>
      </c>
      <c r="J305" s="43" t="s">
        <v>1834</v>
      </c>
      <c r="K305" s="43"/>
    </row>
    <row r="306" spans="1:11">
      <c r="A306" s="41">
        <v>45849</v>
      </c>
      <c r="B306" s="43" t="s">
        <v>91</v>
      </c>
      <c r="C306" s="43" t="s">
        <v>1836</v>
      </c>
      <c r="D306" s="43" t="s">
        <v>95</v>
      </c>
      <c r="E306" s="43" t="s">
        <v>14</v>
      </c>
      <c r="F306" s="43">
        <v>10</v>
      </c>
      <c r="G306" s="43">
        <v>4.3</v>
      </c>
      <c r="H306" s="43">
        <f t="shared" si="14"/>
        <v>43</v>
      </c>
      <c r="I306" s="43" t="s">
        <v>1837</v>
      </c>
      <c r="J306" s="43"/>
      <c r="K306" s="43"/>
    </row>
    <row r="307" spans="1:11">
      <c r="A307" s="41">
        <v>45849</v>
      </c>
      <c r="B307" s="43" t="s">
        <v>225</v>
      </c>
      <c r="C307" s="87" t="s">
        <v>1838</v>
      </c>
      <c r="D307" s="43" t="s">
        <v>227</v>
      </c>
      <c r="E307" s="43" t="s">
        <v>123</v>
      </c>
      <c r="F307" s="43">
        <v>12050</v>
      </c>
      <c r="G307" s="43">
        <v>0.65</v>
      </c>
      <c r="H307" s="43">
        <f t="shared" si="14"/>
        <v>7832.5</v>
      </c>
      <c r="I307" s="43" t="s">
        <v>437</v>
      </c>
      <c r="J307" s="43"/>
      <c r="K307" s="43"/>
    </row>
    <row r="308" spans="1:11">
      <c r="A308" s="41">
        <v>45849</v>
      </c>
      <c r="B308" s="43" t="s">
        <v>534</v>
      </c>
      <c r="C308" s="87" t="s">
        <v>1839</v>
      </c>
      <c r="D308" s="43" t="s">
        <v>115</v>
      </c>
      <c r="E308" s="43" t="s">
        <v>62</v>
      </c>
      <c r="F308" s="43">
        <v>12110</v>
      </c>
      <c r="G308" s="43">
        <v>0.4</v>
      </c>
      <c r="H308" s="43">
        <f t="shared" si="14"/>
        <v>4844</v>
      </c>
      <c r="I308" s="43" t="s">
        <v>100</v>
      </c>
      <c r="J308" s="43"/>
      <c r="K308" s="43"/>
    </row>
    <row r="309" spans="1:11">
      <c r="A309" s="41">
        <v>45849</v>
      </c>
      <c r="B309" s="43" t="s">
        <v>118</v>
      </c>
      <c r="C309" s="43">
        <v>20250711001</v>
      </c>
      <c r="D309" s="43" t="s">
        <v>530</v>
      </c>
      <c r="E309" s="43" t="s">
        <v>14</v>
      </c>
      <c r="F309" s="43">
        <v>60000</v>
      </c>
      <c r="G309" s="43">
        <v>1.13</v>
      </c>
      <c r="H309" s="43">
        <f t="shared" si="14"/>
        <v>67800</v>
      </c>
      <c r="I309" s="43" t="s">
        <v>45</v>
      </c>
      <c r="J309" s="43" t="s">
        <v>46</v>
      </c>
      <c r="K309" s="43"/>
    </row>
    <row r="310" spans="1:11">
      <c r="A310" s="41">
        <v>45847</v>
      </c>
      <c r="B310" s="43" t="s">
        <v>156</v>
      </c>
      <c r="C310" s="43">
        <v>202507001</v>
      </c>
      <c r="D310" s="43" t="s">
        <v>670</v>
      </c>
      <c r="E310" s="43" t="s">
        <v>158</v>
      </c>
      <c r="F310" s="45">
        <v>85000</v>
      </c>
      <c r="G310" s="45">
        <v>0.17</v>
      </c>
      <c r="H310" s="43">
        <f t="shared" si="14"/>
        <v>14450</v>
      </c>
      <c r="I310" s="43" t="s">
        <v>271</v>
      </c>
      <c r="J310" s="43" t="s">
        <v>46</v>
      </c>
      <c r="K310" s="43"/>
    </row>
    <row r="311" spans="1:11">
      <c r="A311" s="41">
        <v>45848</v>
      </c>
      <c r="B311" s="43" t="s">
        <v>156</v>
      </c>
      <c r="C311" s="43">
        <v>202507002</v>
      </c>
      <c r="D311" s="43" t="s">
        <v>670</v>
      </c>
      <c r="E311" s="43" t="s">
        <v>158</v>
      </c>
      <c r="F311" s="45">
        <v>14957</v>
      </c>
      <c r="G311" s="45">
        <v>0.17</v>
      </c>
      <c r="H311" s="43">
        <f t="shared" si="14"/>
        <v>2542.69</v>
      </c>
      <c r="I311" s="43" t="s">
        <v>271</v>
      </c>
      <c r="J311" s="43" t="s">
        <v>46</v>
      </c>
      <c r="K311" s="43"/>
    </row>
    <row r="312" spans="1:11">
      <c r="A312" s="41">
        <v>45853</v>
      </c>
      <c r="B312" s="43" t="s">
        <v>156</v>
      </c>
      <c r="C312" s="43">
        <v>202507003</v>
      </c>
      <c r="D312" s="43" t="s">
        <v>170</v>
      </c>
      <c r="E312" s="43" t="s">
        <v>158</v>
      </c>
      <c r="F312" s="45">
        <v>99818</v>
      </c>
      <c r="G312" s="45">
        <v>0.17</v>
      </c>
      <c r="H312" s="43">
        <f t="shared" si="14"/>
        <v>16969.06</v>
      </c>
      <c r="I312" s="43" t="s">
        <v>271</v>
      </c>
      <c r="J312" s="43"/>
      <c r="K312" s="43"/>
    </row>
    <row r="313" spans="1:11">
      <c r="A313" s="41">
        <v>45853</v>
      </c>
      <c r="B313" s="43" t="s">
        <v>156</v>
      </c>
      <c r="C313" s="43">
        <v>202507003</v>
      </c>
      <c r="D313" s="43" t="s">
        <v>670</v>
      </c>
      <c r="E313" s="43" t="s">
        <v>158</v>
      </c>
      <c r="F313" s="45">
        <v>43</v>
      </c>
      <c r="G313" s="45">
        <v>0.17</v>
      </c>
      <c r="H313" s="43">
        <f t="shared" si="14"/>
        <v>7.31</v>
      </c>
      <c r="I313" s="43" t="s">
        <v>61</v>
      </c>
      <c r="J313" s="43"/>
      <c r="K313" s="43"/>
    </row>
    <row r="314" spans="1:11">
      <c r="A314" s="41">
        <v>45855</v>
      </c>
      <c r="B314" s="43" t="s">
        <v>156</v>
      </c>
      <c r="C314" s="43">
        <v>202507004</v>
      </c>
      <c r="D314" s="43" t="s">
        <v>1840</v>
      </c>
      <c r="E314" s="43" t="s">
        <v>463</v>
      </c>
      <c r="F314" s="45">
        <v>48000</v>
      </c>
      <c r="G314" s="45">
        <v>0.23</v>
      </c>
      <c r="H314" s="43">
        <f t="shared" si="14"/>
        <v>11040</v>
      </c>
      <c r="I314" s="43" t="s">
        <v>61</v>
      </c>
      <c r="J314" s="43" t="s">
        <v>46</v>
      </c>
      <c r="K314" s="43"/>
    </row>
    <row r="315" spans="1:11">
      <c r="A315" s="41">
        <v>45856</v>
      </c>
      <c r="B315" s="43" t="s">
        <v>156</v>
      </c>
      <c r="C315" s="43">
        <v>202507005</v>
      </c>
      <c r="D315" s="43" t="s">
        <v>1840</v>
      </c>
      <c r="E315" s="43" t="s">
        <v>463</v>
      </c>
      <c r="F315" s="45">
        <v>2000</v>
      </c>
      <c r="G315" s="45">
        <v>0.23</v>
      </c>
      <c r="H315" s="43">
        <f t="shared" si="14"/>
        <v>460</v>
      </c>
      <c r="I315" s="43" t="s">
        <v>61</v>
      </c>
      <c r="J315" s="43" t="s">
        <v>46</v>
      </c>
      <c r="K315" s="43"/>
    </row>
    <row r="316" spans="1:11">
      <c r="A316" s="41">
        <v>45845</v>
      </c>
      <c r="B316" s="43" t="s">
        <v>861</v>
      </c>
      <c r="C316" s="43" t="s">
        <v>1841</v>
      </c>
      <c r="D316" s="43" t="s">
        <v>21</v>
      </c>
      <c r="E316" s="43" t="s">
        <v>14</v>
      </c>
      <c r="F316" s="43">
        <v>45100</v>
      </c>
      <c r="G316" s="43">
        <v>1.1</v>
      </c>
      <c r="H316" s="43">
        <f t="shared" si="14"/>
        <v>49610</v>
      </c>
      <c r="I316" s="43" t="s">
        <v>1429</v>
      </c>
      <c r="J316" s="43" t="s">
        <v>46</v>
      </c>
      <c r="K316" s="43"/>
    </row>
    <row r="317" spans="1:11">
      <c r="A317" s="41">
        <v>45850</v>
      </c>
      <c r="B317" s="43" t="s">
        <v>861</v>
      </c>
      <c r="C317" s="43" t="s">
        <v>1842</v>
      </c>
      <c r="D317" s="43" t="s">
        <v>21</v>
      </c>
      <c r="E317" s="43" t="s">
        <v>14</v>
      </c>
      <c r="F317" s="43">
        <v>50000</v>
      </c>
      <c r="G317" s="43">
        <v>1.1</v>
      </c>
      <c r="H317" s="43">
        <f t="shared" si="14"/>
        <v>55000</v>
      </c>
      <c r="I317" s="43" t="s">
        <v>1429</v>
      </c>
      <c r="J317" s="43" t="s">
        <v>46</v>
      </c>
      <c r="K317" s="43"/>
    </row>
    <row r="318" spans="1:11">
      <c r="A318" s="41">
        <v>45850</v>
      </c>
      <c r="B318" s="43" t="s">
        <v>861</v>
      </c>
      <c r="C318" s="43" t="s">
        <v>1843</v>
      </c>
      <c r="D318" s="43" t="s">
        <v>21</v>
      </c>
      <c r="E318" s="43" t="s">
        <v>14</v>
      </c>
      <c r="F318" s="43">
        <v>300</v>
      </c>
      <c r="G318" s="43">
        <v>1.1</v>
      </c>
      <c r="H318" s="43">
        <f t="shared" si="14"/>
        <v>330</v>
      </c>
      <c r="I318" s="43" t="s">
        <v>1429</v>
      </c>
      <c r="J318" s="43" t="s">
        <v>46</v>
      </c>
      <c r="K318" s="43"/>
    </row>
    <row r="319" spans="1:11">
      <c r="A319" s="44">
        <v>45860</v>
      </c>
      <c r="B319" s="45" t="s">
        <v>861</v>
      </c>
      <c r="C319" s="45" t="s">
        <v>1844</v>
      </c>
      <c r="D319" s="45" t="s">
        <v>493</v>
      </c>
      <c r="E319" s="45" t="s">
        <v>14</v>
      </c>
      <c r="F319" s="45">
        <v>50000</v>
      </c>
      <c r="G319" s="45">
        <v>0.67</v>
      </c>
      <c r="H319" s="45">
        <f t="shared" si="14"/>
        <v>33500</v>
      </c>
      <c r="I319" s="45" t="s">
        <v>117</v>
      </c>
      <c r="J319" s="45" t="s">
        <v>46</v>
      </c>
      <c r="K319" s="43" t="s">
        <v>1845</v>
      </c>
    </row>
    <row r="320" spans="1:11">
      <c r="A320" s="44">
        <v>45869</v>
      </c>
      <c r="B320" s="45" t="s">
        <v>861</v>
      </c>
      <c r="C320" s="45" t="s">
        <v>1846</v>
      </c>
      <c r="D320" s="45" t="s">
        <v>256</v>
      </c>
      <c r="E320" s="45" t="s">
        <v>14</v>
      </c>
      <c r="F320" s="45">
        <v>300</v>
      </c>
      <c r="G320" s="45">
        <v>0.67</v>
      </c>
      <c r="H320" s="45">
        <f t="shared" si="14"/>
        <v>201</v>
      </c>
      <c r="I320" s="45" t="s">
        <v>330</v>
      </c>
      <c r="J320" s="45"/>
      <c r="K320" s="43"/>
    </row>
    <row r="321" spans="1:11">
      <c r="A321" s="44">
        <v>45869</v>
      </c>
      <c r="B321" s="45" t="s">
        <v>861</v>
      </c>
      <c r="C321" s="45" t="s">
        <v>1847</v>
      </c>
      <c r="D321" s="45" t="s">
        <v>256</v>
      </c>
      <c r="E321" s="45" t="s">
        <v>14</v>
      </c>
      <c r="F321" s="45">
        <v>4000</v>
      </c>
      <c r="G321" s="45">
        <v>0.67</v>
      </c>
      <c r="H321" s="45">
        <f t="shared" si="14"/>
        <v>2680</v>
      </c>
      <c r="I321" s="45" t="s">
        <v>330</v>
      </c>
      <c r="J321" s="45"/>
      <c r="K321" s="43"/>
    </row>
    <row r="322" spans="1:11">
      <c r="A322" s="41">
        <v>45845</v>
      </c>
      <c r="B322" s="43" t="s">
        <v>1525</v>
      </c>
      <c r="C322" s="43"/>
      <c r="D322" s="43" t="s">
        <v>709</v>
      </c>
      <c r="E322" s="43" t="s">
        <v>14</v>
      </c>
      <c r="F322" s="43">
        <v>8900</v>
      </c>
      <c r="G322" s="43">
        <v>0.6</v>
      </c>
      <c r="H322" s="43">
        <f t="shared" si="14"/>
        <v>5340</v>
      </c>
      <c r="I322" s="43" t="s">
        <v>1848</v>
      </c>
      <c r="J322" s="43" t="s">
        <v>46</v>
      </c>
      <c r="K322" s="43"/>
    </row>
    <row r="323" spans="1:11">
      <c r="A323" s="41">
        <v>45864</v>
      </c>
      <c r="B323" s="43" t="s">
        <v>1525</v>
      </c>
      <c r="C323" s="43"/>
      <c r="D323" s="43" t="s">
        <v>1202</v>
      </c>
      <c r="E323" s="43" t="s">
        <v>14</v>
      </c>
      <c r="F323" s="43">
        <v>785</v>
      </c>
      <c r="G323" s="43">
        <v>0.65</v>
      </c>
      <c r="H323" s="43">
        <f t="shared" si="14"/>
        <v>510.25</v>
      </c>
      <c r="I323" s="43" t="s">
        <v>89</v>
      </c>
      <c r="J323" s="43"/>
      <c r="K323" s="43"/>
    </row>
    <row r="324" spans="1:11">
      <c r="A324" s="41">
        <v>45850</v>
      </c>
      <c r="B324" s="43" t="s">
        <v>177</v>
      </c>
      <c r="C324" s="43" t="s">
        <v>1849</v>
      </c>
      <c r="D324" s="43" t="s">
        <v>1428</v>
      </c>
      <c r="E324" s="43" t="s">
        <v>14</v>
      </c>
      <c r="F324" s="43">
        <v>21570</v>
      </c>
      <c r="G324" s="43">
        <v>1.42</v>
      </c>
      <c r="H324" s="43">
        <f t="shared" ref="H324:H359" si="15">F324*G324</f>
        <v>30629.4</v>
      </c>
      <c r="I324" s="43" t="s">
        <v>1429</v>
      </c>
      <c r="J324" s="43" t="s">
        <v>46</v>
      </c>
      <c r="K324" s="43"/>
    </row>
    <row r="325" spans="1:11">
      <c r="A325" s="41">
        <v>45854</v>
      </c>
      <c r="B325" s="43" t="s">
        <v>177</v>
      </c>
      <c r="C325" s="43" t="s">
        <v>1850</v>
      </c>
      <c r="D325" s="43" t="s">
        <v>1851</v>
      </c>
      <c r="E325" s="43" t="s">
        <v>14</v>
      </c>
      <c r="F325" s="43">
        <v>105</v>
      </c>
      <c r="G325" s="43">
        <v>1.9</v>
      </c>
      <c r="H325" s="43">
        <f t="shared" si="15"/>
        <v>199.5</v>
      </c>
      <c r="I325" s="43" t="s">
        <v>28</v>
      </c>
      <c r="J325" s="43"/>
      <c r="K325" s="43"/>
    </row>
    <row r="326" spans="1:11">
      <c r="A326" s="41">
        <v>45850</v>
      </c>
      <c r="B326" s="43" t="s">
        <v>1852</v>
      </c>
      <c r="C326" s="43"/>
      <c r="D326" s="43" t="s">
        <v>1428</v>
      </c>
      <c r="E326" s="43" t="s">
        <v>14</v>
      </c>
      <c r="F326" s="43">
        <v>23150</v>
      </c>
      <c r="G326" s="43">
        <v>1.3</v>
      </c>
      <c r="H326" s="43">
        <f t="shared" si="15"/>
        <v>30095</v>
      </c>
      <c r="I326" s="43" t="s">
        <v>1429</v>
      </c>
      <c r="J326" s="43" t="s">
        <v>46</v>
      </c>
      <c r="K326" s="43"/>
    </row>
    <row r="327" spans="1:11">
      <c r="A327" s="41">
        <v>45851</v>
      </c>
      <c r="B327" s="43" t="s">
        <v>1374</v>
      </c>
      <c r="C327" s="43">
        <v>2025071301</v>
      </c>
      <c r="D327" s="43" t="s">
        <v>1166</v>
      </c>
      <c r="E327" s="43" t="s">
        <v>14</v>
      </c>
      <c r="F327" s="43">
        <v>30000</v>
      </c>
      <c r="G327" s="43">
        <v>0.65</v>
      </c>
      <c r="H327" s="43">
        <f t="shared" si="15"/>
        <v>19500</v>
      </c>
      <c r="I327" s="43" t="s">
        <v>1853</v>
      </c>
      <c r="J327" s="43" t="s">
        <v>46</v>
      </c>
      <c r="K327" s="43"/>
    </row>
    <row r="328" spans="1:11">
      <c r="A328" s="41">
        <v>45857</v>
      </c>
      <c r="B328" s="43" t="s">
        <v>1374</v>
      </c>
      <c r="C328" s="43">
        <v>997006</v>
      </c>
      <c r="D328" s="43" t="s">
        <v>1166</v>
      </c>
      <c r="E328" s="43" t="s">
        <v>14</v>
      </c>
      <c r="F328" s="43">
        <v>50000</v>
      </c>
      <c r="G328" s="43">
        <v>0.65</v>
      </c>
      <c r="H328" s="43">
        <f t="shared" si="15"/>
        <v>32500</v>
      </c>
      <c r="I328" s="43" t="s">
        <v>546</v>
      </c>
      <c r="J328" s="43" t="s">
        <v>46</v>
      </c>
      <c r="K328" s="43"/>
    </row>
    <row r="329" spans="1:11">
      <c r="A329" s="41">
        <v>45857</v>
      </c>
      <c r="B329" s="43" t="s">
        <v>1374</v>
      </c>
      <c r="C329" s="43">
        <v>997006</v>
      </c>
      <c r="D329" s="43" t="s">
        <v>1166</v>
      </c>
      <c r="E329" s="43" t="s">
        <v>14</v>
      </c>
      <c r="F329" s="43">
        <v>30000</v>
      </c>
      <c r="G329" s="43">
        <v>0.65</v>
      </c>
      <c r="H329" s="43">
        <f t="shared" si="15"/>
        <v>19500</v>
      </c>
      <c r="I329" s="43" t="s">
        <v>61</v>
      </c>
      <c r="J329" s="43" t="s">
        <v>46</v>
      </c>
      <c r="K329" s="43"/>
    </row>
    <row r="330" spans="1:11">
      <c r="A330" s="41">
        <v>45855</v>
      </c>
      <c r="B330" s="43" t="s">
        <v>1208</v>
      </c>
      <c r="C330" s="43" t="s">
        <v>1854</v>
      </c>
      <c r="D330" s="43" t="s">
        <v>968</v>
      </c>
      <c r="E330" s="43" t="s">
        <v>14</v>
      </c>
      <c r="F330" s="43">
        <v>505</v>
      </c>
      <c r="G330" s="43">
        <v>1.2</v>
      </c>
      <c r="H330" s="43">
        <f t="shared" si="15"/>
        <v>606</v>
      </c>
      <c r="I330" s="43" t="s">
        <v>61</v>
      </c>
      <c r="J330" s="43" t="s">
        <v>1855</v>
      </c>
      <c r="K330" s="43"/>
    </row>
    <row r="331" spans="1:11">
      <c r="A331" s="41">
        <v>45855</v>
      </c>
      <c r="B331" s="43" t="s">
        <v>1208</v>
      </c>
      <c r="C331" s="43" t="s">
        <v>1856</v>
      </c>
      <c r="D331" s="43" t="s">
        <v>314</v>
      </c>
      <c r="E331" s="43" t="s">
        <v>14</v>
      </c>
      <c r="F331" s="43">
        <v>33000</v>
      </c>
      <c r="G331" s="43">
        <v>1.43</v>
      </c>
      <c r="H331" s="43">
        <f t="shared" si="15"/>
        <v>47190</v>
      </c>
      <c r="I331" s="43" t="s">
        <v>271</v>
      </c>
      <c r="J331" s="43"/>
      <c r="K331" s="43"/>
    </row>
    <row r="332" spans="1:11">
      <c r="A332" s="41">
        <v>45854</v>
      </c>
      <c r="B332" s="43" t="s">
        <v>1208</v>
      </c>
      <c r="C332" s="43" t="s">
        <v>1857</v>
      </c>
      <c r="D332" s="43" t="s">
        <v>314</v>
      </c>
      <c r="E332" s="43" t="s">
        <v>14</v>
      </c>
      <c r="F332" s="43">
        <v>30700</v>
      </c>
      <c r="G332" s="43">
        <v>1.43</v>
      </c>
      <c r="H332" s="43">
        <f t="shared" si="15"/>
        <v>43901</v>
      </c>
      <c r="I332" s="43" t="s">
        <v>271</v>
      </c>
      <c r="J332" s="43"/>
      <c r="K332" s="43"/>
    </row>
    <row r="333" spans="1:11">
      <c r="A333" s="41">
        <v>45856</v>
      </c>
      <c r="B333" s="43" t="s">
        <v>74</v>
      </c>
      <c r="C333" s="43" t="s">
        <v>1858</v>
      </c>
      <c r="D333" s="43" t="s">
        <v>59</v>
      </c>
      <c r="E333" s="43" t="s">
        <v>62</v>
      </c>
      <c r="F333" s="43">
        <v>4040</v>
      </c>
      <c r="G333" s="43">
        <v>0.6</v>
      </c>
      <c r="H333" s="43">
        <f t="shared" si="15"/>
        <v>2424</v>
      </c>
      <c r="I333" s="43" t="s">
        <v>77</v>
      </c>
      <c r="J333" s="43"/>
      <c r="K333" s="43"/>
    </row>
    <row r="334" spans="1:11">
      <c r="A334" s="41">
        <v>45861</v>
      </c>
      <c r="B334" s="43" t="s">
        <v>74</v>
      </c>
      <c r="C334" s="43" t="s">
        <v>1859</v>
      </c>
      <c r="D334" s="43" t="s">
        <v>59</v>
      </c>
      <c r="E334" s="43" t="s">
        <v>62</v>
      </c>
      <c r="F334" s="43">
        <v>49</v>
      </c>
      <c r="G334" s="43">
        <v>0.58</v>
      </c>
      <c r="H334" s="43">
        <f t="shared" si="15"/>
        <v>28.42</v>
      </c>
      <c r="I334" s="43" t="s">
        <v>77</v>
      </c>
      <c r="J334" s="43"/>
      <c r="K334" s="43"/>
    </row>
    <row r="335" spans="1:11">
      <c r="A335" s="41">
        <v>45863</v>
      </c>
      <c r="B335" s="43" t="s">
        <v>74</v>
      </c>
      <c r="C335" s="43" t="s">
        <v>1860</v>
      </c>
      <c r="D335" s="43" t="s">
        <v>1861</v>
      </c>
      <c r="E335" s="43" t="s">
        <v>222</v>
      </c>
      <c r="F335" s="43">
        <v>2021</v>
      </c>
      <c r="G335" s="43">
        <v>0.75</v>
      </c>
      <c r="H335" s="43">
        <f t="shared" si="15"/>
        <v>1515.75</v>
      </c>
      <c r="I335" s="43" t="s">
        <v>864</v>
      </c>
      <c r="J335" s="43"/>
      <c r="K335" s="43"/>
    </row>
    <row r="336" spans="1:11">
      <c r="A336" s="41">
        <v>45857</v>
      </c>
      <c r="B336" s="43" t="s">
        <v>1862</v>
      </c>
      <c r="C336" s="43" t="s">
        <v>1863</v>
      </c>
      <c r="D336" s="43" t="s">
        <v>217</v>
      </c>
      <c r="E336" s="43" t="s">
        <v>1793</v>
      </c>
      <c r="F336" s="43">
        <v>200</v>
      </c>
      <c r="G336" s="43">
        <v>2.7</v>
      </c>
      <c r="H336" s="43">
        <f t="shared" si="15"/>
        <v>540</v>
      </c>
      <c r="I336" s="43" t="s">
        <v>1429</v>
      </c>
      <c r="J336" s="43"/>
      <c r="K336" s="43"/>
    </row>
    <row r="337" spans="1:11">
      <c r="A337" s="41">
        <v>45857</v>
      </c>
      <c r="B337" s="43" t="s">
        <v>1862</v>
      </c>
      <c r="C337" s="43" t="s">
        <v>1863</v>
      </c>
      <c r="D337" s="43" t="s">
        <v>217</v>
      </c>
      <c r="E337" s="43" t="s">
        <v>548</v>
      </c>
      <c r="F337" s="43">
        <v>200</v>
      </c>
      <c r="G337" s="43">
        <v>2.75</v>
      </c>
      <c r="H337" s="43">
        <f t="shared" si="15"/>
        <v>550</v>
      </c>
      <c r="I337" s="43" t="s">
        <v>1429</v>
      </c>
      <c r="J337" s="43"/>
      <c r="K337" s="43"/>
    </row>
    <row r="338" spans="1:11">
      <c r="A338" s="41">
        <v>45857</v>
      </c>
      <c r="B338" s="43" t="s">
        <v>1862</v>
      </c>
      <c r="C338" s="43" t="s">
        <v>1863</v>
      </c>
      <c r="D338" s="43" t="s">
        <v>217</v>
      </c>
      <c r="E338" s="43" t="s">
        <v>1795</v>
      </c>
      <c r="F338" s="43">
        <v>200</v>
      </c>
      <c r="G338" s="43">
        <v>2.2</v>
      </c>
      <c r="H338" s="43">
        <f t="shared" si="15"/>
        <v>440</v>
      </c>
      <c r="I338" s="43" t="s">
        <v>1429</v>
      </c>
      <c r="J338" s="43"/>
      <c r="K338" s="43"/>
    </row>
    <row r="339" spans="1:11">
      <c r="A339" s="41">
        <v>45861</v>
      </c>
      <c r="B339" s="43" t="s">
        <v>1862</v>
      </c>
      <c r="C339" s="43" t="s">
        <v>1864</v>
      </c>
      <c r="D339" s="43" t="s">
        <v>1865</v>
      </c>
      <c r="E339" s="43" t="s">
        <v>1795</v>
      </c>
      <c r="F339" s="43">
        <v>200</v>
      </c>
      <c r="G339" s="43">
        <v>2.2</v>
      </c>
      <c r="H339" s="43">
        <f t="shared" si="15"/>
        <v>440</v>
      </c>
      <c r="I339" s="43" t="s">
        <v>1429</v>
      </c>
      <c r="J339" s="43"/>
      <c r="K339" s="43"/>
    </row>
    <row r="340" customFormat="1" spans="1:11">
      <c r="A340" s="41">
        <v>45864</v>
      </c>
      <c r="B340" s="43" t="s">
        <v>1862</v>
      </c>
      <c r="C340" s="43" t="s">
        <v>1864</v>
      </c>
      <c r="D340" s="43" t="s">
        <v>217</v>
      </c>
      <c r="E340" s="45" t="s">
        <v>819</v>
      </c>
      <c r="F340" s="45">
        <v>200</v>
      </c>
      <c r="G340" s="45">
        <v>2.6</v>
      </c>
      <c r="H340" s="43">
        <f t="shared" si="15"/>
        <v>520</v>
      </c>
      <c r="I340" s="43" t="s">
        <v>61</v>
      </c>
      <c r="J340" s="43"/>
      <c r="K340" s="43"/>
    </row>
    <row r="341" customFormat="1" spans="1:11">
      <c r="A341" s="41">
        <v>45869</v>
      </c>
      <c r="B341" s="43" t="s">
        <v>1862</v>
      </c>
      <c r="C341" s="43" t="s">
        <v>1866</v>
      </c>
      <c r="D341" s="43" t="s">
        <v>217</v>
      </c>
      <c r="E341" s="45" t="s">
        <v>1867</v>
      </c>
      <c r="F341" s="45">
        <v>100</v>
      </c>
      <c r="G341" s="45">
        <v>4.85</v>
      </c>
      <c r="H341" s="43">
        <f t="shared" si="15"/>
        <v>485</v>
      </c>
      <c r="I341" s="43" t="s">
        <v>1868</v>
      </c>
      <c r="J341" s="43"/>
      <c r="K341" s="43"/>
    </row>
    <row r="342" customFormat="1" spans="1:11">
      <c r="A342" s="41">
        <v>45869</v>
      </c>
      <c r="B342" s="43" t="s">
        <v>1862</v>
      </c>
      <c r="C342" s="43" t="s">
        <v>1866</v>
      </c>
      <c r="D342" s="43" t="s">
        <v>217</v>
      </c>
      <c r="E342" s="45" t="s">
        <v>1869</v>
      </c>
      <c r="F342" s="45">
        <v>200</v>
      </c>
      <c r="G342" s="45">
        <v>2.6</v>
      </c>
      <c r="H342" s="43">
        <f t="shared" si="15"/>
        <v>520</v>
      </c>
      <c r="I342" s="43" t="s">
        <v>61</v>
      </c>
      <c r="J342" s="43"/>
      <c r="K342" s="43"/>
    </row>
    <row r="343" s="36" customFormat="1" spans="1:11">
      <c r="A343" s="41">
        <v>45857</v>
      </c>
      <c r="B343" s="43" t="s">
        <v>448</v>
      </c>
      <c r="C343" s="43" t="s">
        <v>1870</v>
      </c>
      <c r="D343" s="43" t="s">
        <v>195</v>
      </c>
      <c r="E343" s="43" t="s">
        <v>1871</v>
      </c>
      <c r="F343" s="43">
        <v>800</v>
      </c>
      <c r="G343" s="43">
        <v>0.8</v>
      </c>
      <c r="H343" s="43">
        <f t="shared" si="15"/>
        <v>640</v>
      </c>
      <c r="I343" s="43" t="s">
        <v>864</v>
      </c>
      <c r="J343" s="43"/>
      <c r="K343" s="43"/>
    </row>
    <row r="344" s="35" customFormat="1" spans="1:11">
      <c r="A344" s="44">
        <v>45857</v>
      </c>
      <c r="B344" s="45" t="s">
        <v>263</v>
      </c>
      <c r="C344" s="45" t="s">
        <v>1872</v>
      </c>
      <c r="D344" s="45" t="s">
        <v>1873</v>
      </c>
      <c r="E344" s="45" t="s">
        <v>158</v>
      </c>
      <c r="F344" s="45">
        <v>5000</v>
      </c>
      <c r="G344" s="45">
        <v>0.17</v>
      </c>
      <c r="H344" s="45">
        <f t="shared" si="15"/>
        <v>850</v>
      </c>
      <c r="I344" s="45" t="s">
        <v>432</v>
      </c>
      <c r="J344" s="45"/>
      <c r="K344" s="45"/>
    </row>
    <row r="345" s="35" customFormat="1" spans="1:11">
      <c r="A345" s="44">
        <v>45859</v>
      </c>
      <c r="B345" s="45" t="s">
        <v>263</v>
      </c>
      <c r="C345" s="45" t="s">
        <v>1874</v>
      </c>
      <c r="D345" s="45" t="s">
        <v>265</v>
      </c>
      <c r="E345" s="45" t="s">
        <v>1875</v>
      </c>
      <c r="F345" s="45">
        <v>10000</v>
      </c>
      <c r="G345" s="45">
        <v>0.13</v>
      </c>
      <c r="H345" s="45">
        <f t="shared" si="15"/>
        <v>1300</v>
      </c>
      <c r="I345" s="45" t="s">
        <v>61</v>
      </c>
      <c r="J345" s="43" t="s">
        <v>46</v>
      </c>
      <c r="K345" s="45"/>
    </row>
    <row r="346" s="35" customFormat="1" spans="1:11">
      <c r="A346" s="44">
        <v>45864</v>
      </c>
      <c r="B346" s="45" t="s">
        <v>263</v>
      </c>
      <c r="C346" s="45" t="s">
        <v>1876</v>
      </c>
      <c r="D346" s="45" t="s">
        <v>856</v>
      </c>
      <c r="E346" s="45" t="s">
        <v>158</v>
      </c>
      <c r="F346" s="45">
        <v>5000</v>
      </c>
      <c r="G346" s="45">
        <v>0.17</v>
      </c>
      <c r="H346" s="45">
        <f t="shared" si="15"/>
        <v>850</v>
      </c>
      <c r="I346" s="45" t="s">
        <v>432</v>
      </c>
      <c r="J346" s="43" t="s">
        <v>46</v>
      </c>
      <c r="K346" s="45"/>
    </row>
    <row r="347" spans="1:11">
      <c r="A347" s="41">
        <v>45853</v>
      </c>
      <c r="B347" s="43" t="s">
        <v>269</v>
      </c>
      <c r="C347" s="43">
        <v>2025715001</v>
      </c>
      <c r="D347" s="43" t="s">
        <v>1158</v>
      </c>
      <c r="E347" s="43" t="s">
        <v>14</v>
      </c>
      <c r="F347" s="43">
        <v>30240</v>
      </c>
      <c r="G347" s="43">
        <v>1.05</v>
      </c>
      <c r="H347" s="45">
        <f t="shared" si="15"/>
        <v>31752</v>
      </c>
      <c r="I347" s="43" t="s">
        <v>45</v>
      </c>
      <c r="J347" s="43" t="s">
        <v>46</v>
      </c>
      <c r="K347" s="43"/>
    </row>
    <row r="348" spans="1:11">
      <c r="A348" s="41">
        <v>45852</v>
      </c>
      <c r="B348" s="43" t="s">
        <v>439</v>
      </c>
      <c r="C348" s="43" t="s">
        <v>1877</v>
      </c>
      <c r="D348" s="43" t="s">
        <v>828</v>
      </c>
      <c r="E348" s="43" t="s">
        <v>158</v>
      </c>
      <c r="F348" s="43">
        <v>200000</v>
      </c>
      <c r="G348" s="43">
        <v>0.125</v>
      </c>
      <c r="H348" s="45">
        <f t="shared" si="15"/>
        <v>25000</v>
      </c>
      <c r="I348" s="43" t="s">
        <v>61</v>
      </c>
      <c r="J348" s="43" t="s">
        <v>46</v>
      </c>
      <c r="K348" s="43"/>
    </row>
    <row r="349" spans="1:11">
      <c r="A349" s="41">
        <v>45852</v>
      </c>
      <c r="B349" s="43" t="s">
        <v>439</v>
      </c>
      <c r="C349" s="43" t="s">
        <v>1877</v>
      </c>
      <c r="D349" s="43" t="s">
        <v>1127</v>
      </c>
      <c r="E349" s="43" t="s">
        <v>158</v>
      </c>
      <c r="F349" s="43">
        <v>200000</v>
      </c>
      <c r="G349" s="43">
        <v>0.125</v>
      </c>
      <c r="H349" s="45">
        <f t="shared" si="15"/>
        <v>25000</v>
      </c>
      <c r="I349" s="43" t="s">
        <v>61</v>
      </c>
      <c r="J349" s="43" t="s">
        <v>46</v>
      </c>
      <c r="K349" s="43"/>
    </row>
    <row r="350" customFormat="1" spans="1:11">
      <c r="A350" s="41">
        <v>45864</v>
      </c>
      <c r="B350" s="43" t="s">
        <v>439</v>
      </c>
      <c r="C350" s="43" t="s">
        <v>1878</v>
      </c>
      <c r="D350" s="43" t="s">
        <v>1879</v>
      </c>
      <c r="E350" s="43" t="s">
        <v>158</v>
      </c>
      <c r="F350" s="43">
        <v>200000</v>
      </c>
      <c r="G350" s="43">
        <v>0.125</v>
      </c>
      <c r="H350" s="45">
        <f t="shared" si="15"/>
        <v>25000</v>
      </c>
      <c r="I350" s="43" t="s">
        <v>61</v>
      </c>
      <c r="J350" s="43" t="s">
        <v>46</v>
      </c>
      <c r="K350" s="43"/>
    </row>
    <row r="351" customFormat="1" spans="1:11">
      <c r="A351" s="41">
        <v>45864</v>
      </c>
      <c r="B351" s="43" t="s">
        <v>439</v>
      </c>
      <c r="C351" s="43" t="s">
        <v>1880</v>
      </c>
      <c r="D351" s="43" t="s">
        <v>1881</v>
      </c>
      <c r="E351" s="43" t="s">
        <v>158</v>
      </c>
      <c r="F351" s="43">
        <v>197280</v>
      </c>
      <c r="G351" s="43">
        <v>0.125</v>
      </c>
      <c r="H351" s="45">
        <f t="shared" si="15"/>
        <v>24660</v>
      </c>
      <c r="I351" s="43" t="s">
        <v>61</v>
      </c>
      <c r="J351" s="43" t="s">
        <v>46</v>
      </c>
      <c r="K351" s="43"/>
    </row>
    <row r="352" customFormat="1" spans="1:11">
      <c r="A352" s="44">
        <v>45859</v>
      </c>
      <c r="B352" s="45" t="s">
        <v>521</v>
      </c>
      <c r="C352" s="45" t="s">
        <v>1882</v>
      </c>
      <c r="D352" s="45" t="s">
        <v>374</v>
      </c>
      <c r="E352" s="45" t="s">
        <v>14</v>
      </c>
      <c r="F352" s="45">
        <v>30000</v>
      </c>
      <c r="G352" s="45">
        <v>0.85</v>
      </c>
      <c r="H352" s="45">
        <f t="shared" si="15"/>
        <v>25500</v>
      </c>
      <c r="I352" s="45" t="s">
        <v>271</v>
      </c>
      <c r="J352" s="45" t="s">
        <v>46</v>
      </c>
      <c r="K352" s="43"/>
    </row>
    <row r="353" spans="1:11">
      <c r="A353" s="44">
        <v>45862</v>
      </c>
      <c r="B353" s="45" t="s">
        <v>521</v>
      </c>
      <c r="C353" s="45" t="s">
        <v>1883</v>
      </c>
      <c r="D353" s="45" t="s">
        <v>525</v>
      </c>
      <c r="E353" s="45" t="s">
        <v>14</v>
      </c>
      <c r="F353" s="45">
        <v>10000</v>
      </c>
      <c r="G353" s="45">
        <v>0.9</v>
      </c>
      <c r="H353" s="45">
        <f t="shared" si="15"/>
        <v>9000</v>
      </c>
      <c r="I353" s="45" t="s">
        <v>126</v>
      </c>
      <c r="J353" s="33" t="s">
        <v>46</v>
      </c>
      <c r="K353" s="36"/>
    </row>
    <row r="354" customFormat="1" spans="1:11">
      <c r="A354" s="44">
        <v>45857</v>
      </c>
      <c r="B354" s="45" t="s">
        <v>272</v>
      </c>
      <c r="C354" s="45">
        <v>20250719</v>
      </c>
      <c r="D354" s="45" t="s">
        <v>252</v>
      </c>
      <c r="E354" s="45" t="s">
        <v>14</v>
      </c>
      <c r="F354" s="45">
        <v>20000</v>
      </c>
      <c r="G354" s="45">
        <v>0.55</v>
      </c>
      <c r="H354" s="45">
        <f t="shared" si="15"/>
        <v>11000</v>
      </c>
      <c r="I354" s="45" t="s">
        <v>126</v>
      </c>
      <c r="J354" s="43" t="s">
        <v>46</v>
      </c>
      <c r="K354" s="43"/>
    </row>
    <row r="355" customFormat="1" spans="1:11">
      <c r="A355" s="44">
        <v>45864</v>
      </c>
      <c r="B355" s="43" t="s">
        <v>272</v>
      </c>
      <c r="C355" s="45">
        <v>20250726</v>
      </c>
      <c r="D355" s="45" t="s">
        <v>252</v>
      </c>
      <c r="E355" s="45" t="s">
        <v>14</v>
      </c>
      <c r="F355" s="45">
        <v>10000</v>
      </c>
      <c r="G355" s="45">
        <v>0.55</v>
      </c>
      <c r="H355" s="45">
        <f t="shared" si="15"/>
        <v>5500</v>
      </c>
      <c r="I355" s="45" t="s">
        <v>126</v>
      </c>
      <c r="J355" s="43" t="s">
        <v>46</v>
      </c>
      <c r="K355" s="43"/>
    </row>
    <row r="356" spans="1:11">
      <c r="A356" s="41">
        <v>45865</v>
      </c>
      <c r="B356" s="43" t="s">
        <v>272</v>
      </c>
      <c r="C356" s="43">
        <v>20250727</v>
      </c>
      <c r="D356" s="43" t="s">
        <v>252</v>
      </c>
      <c r="E356" s="43" t="s">
        <v>99</v>
      </c>
      <c r="F356" s="43">
        <v>5810</v>
      </c>
      <c r="G356" s="43">
        <v>0.8</v>
      </c>
      <c r="H356" s="45">
        <f t="shared" si="15"/>
        <v>4648</v>
      </c>
      <c r="I356" s="43" t="s">
        <v>65</v>
      </c>
      <c r="J356" s="43" t="s">
        <v>369</v>
      </c>
      <c r="K356" s="43" t="s">
        <v>1884</v>
      </c>
    </row>
    <row r="357" spans="1:11">
      <c r="A357" s="41">
        <v>45840</v>
      </c>
      <c r="B357" s="43" t="s">
        <v>1130</v>
      </c>
      <c r="C357" s="43"/>
      <c r="D357" s="43" t="s">
        <v>252</v>
      </c>
      <c r="E357" s="43" t="s">
        <v>14</v>
      </c>
      <c r="F357" s="43">
        <v>25000</v>
      </c>
      <c r="G357" s="43">
        <v>0.5</v>
      </c>
      <c r="H357" s="45">
        <f t="shared" si="15"/>
        <v>12500</v>
      </c>
      <c r="I357" s="43" t="s">
        <v>61</v>
      </c>
      <c r="J357" s="43" t="s">
        <v>46</v>
      </c>
      <c r="K357" s="43"/>
    </row>
    <row r="358" spans="1:11">
      <c r="A358" s="41">
        <v>45840</v>
      </c>
      <c r="B358" s="43" t="s">
        <v>1130</v>
      </c>
      <c r="C358" s="43"/>
      <c r="D358" s="43" t="s">
        <v>18</v>
      </c>
      <c r="E358" s="43" t="s">
        <v>99</v>
      </c>
      <c r="F358" s="43">
        <v>10040</v>
      </c>
      <c r="G358" s="43">
        <v>0.93</v>
      </c>
      <c r="H358" s="45">
        <f t="shared" si="15"/>
        <v>9337.2</v>
      </c>
      <c r="I358" s="43" t="s">
        <v>1465</v>
      </c>
      <c r="J358" s="43" t="s">
        <v>1885</v>
      </c>
      <c r="K358" s="43"/>
    </row>
    <row r="359" spans="1:11">
      <c r="A359" s="41">
        <v>45869</v>
      </c>
      <c r="B359" s="43" t="s">
        <v>825</v>
      </c>
      <c r="C359" s="87" t="s">
        <v>1886</v>
      </c>
      <c r="D359" s="43" t="s">
        <v>1887</v>
      </c>
      <c r="E359" s="43" t="s">
        <v>824</v>
      </c>
      <c r="F359" s="43">
        <v>1000</v>
      </c>
      <c r="G359" s="43">
        <v>0.36</v>
      </c>
      <c r="H359" s="45">
        <f t="shared" si="15"/>
        <v>360</v>
      </c>
      <c r="I359" s="43" t="s">
        <v>271</v>
      </c>
      <c r="J359" s="43" t="s">
        <v>46</v>
      </c>
      <c r="K359" s="43" t="s">
        <v>1888</v>
      </c>
    </row>
    <row r="360" spans="1:11">
      <c r="A360" s="43" t="s">
        <v>279</v>
      </c>
      <c r="B360" s="43"/>
      <c r="C360" s="43"/>
      <c r="D360" s="43"/>
      <c r="E360" s="43"/>
      <c r="F360" s="43"/>
      <c r="G360" s="43"/>
      <c r="H360" s="53">
        <f>SUM(H2:H359)</f>
        <v>2842933.44</v>
      </c>
      <c r="I360" s="53"/>
      <c r="J360" s="53"/>
      <c r="K360" s="53"/>
    </row>
  </sheetData>
  <mergeCells count="2">
    <mergeCell ref="A360:G360"/>
    <mergeCell ref="K233:K236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9.75" defaultRowHeight="13.5"/>
  <cols>
    <col min="1" max="2" width="19.75" style="36" customWidth="1"/>
    <col min="3" max="3" width="27.125" style="36" customWidth="1"/>
    <col min="4" max="4" width="19.75" style="36" customWidth="1"/>
    <col min="5" max="5" width="24.75" style="36" customWidth="1"/>
    <col min="6" max="8" width="19.75" style="36" customWidth="1"/>
    <col min="9" max="9" width="29.125" style="36" customWidth="1"/>
    <col min="10" max="16384" width="19.75" style="36" customWidth="1"/>
  </cols>
  <sheetData>
    <row r="1" s="32" customFormat="1" ht="19" customHeight="1" spans="1:11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9" t="s">
        <v>6</v>
      </c>
      <c r="H1" s="40" t="s">
        <v>7</v>
      </c>
      <c r="I1" s="38" t="s">
        <v>8</v>
      </c>
      <c r="J1" s="38" t="s">
        <v>9</v>
      </c>
      <c r="K1" s="38" t="s">
        <v>10</v>
      </c>
    </row>
    <row r="2" spans="1:11">
      <c r="A2" s="41">
        <v>45870</v>
      </c>
      <c r="B2" s="42" t="s">
        <v>861</v>
      </c>
      <c r="C2" s="43" t="s">
        <v>1889</v>
      </c>
      <c r="D2" s="43" t="s">
        <v>256</v>
      </c>
      <c r="E2" s="43" t="s">
        <v>14</v>
      </c>
      <c r="F2" s="43">
        <v>5000</v>
      </c>
      <c r="G2" s="43">
        <v>0.67</v>
      </c>
      <c r="H2" s="43">
        <f t="shared" ref="H2:H19" si="0">F2*G2</f>
        <v>3350</v>
      </c>
      <c r="I2" s="43" t="s">
        <v>330</v>
      </c>
      <c r="J2" s="43" t="s">
        <v>46</v>
      </c>
      <c r="K2" s="43"/>
    </row>
    <row r="3" spans="1:11">
      <c r="A3" s="41">
        <v>45880</v>
      </c>
      <c r="B3" s="42" t="s">
        <v>861</v>
      </c>
      <c r="C3" s="43" t="s">
        <v>1890</v>
      </c>
      <c r="D3" s="43" t="s">
        <v>30</v>
      </c>
      <c r="E3" s="43" t="s">
        <v>14</v>
      </c>
      <c r="F3" s="43">
        <v>155</v>
      </c>
      <c r="G3" s="43">
        <v>1.93</v>
      </c>
      <c r="H3" s="43">
        <f t="shared" si="0"/>
        <v>299.15</v>
      </c>
      <c r="I3" s="43" t="s">
        <v>28</v>
      </c>
      <c r="J3" s="43"/>
      <c r="K3" s="43"/>
    </row>
    <row r="4" spans="1:11">
      <c r="A4" s="41">
        <v>45875</v>
      </c>
      <c r="B4" s="42" t="s">
        <v>861</v>
      </c>
      <c r="C4" s="43" t="s">
        <v>1891</v>
      </c>
      <c r="D4" s="43" t="s">
        <v>282</v>
      </c>
      <c r="E4" s="43" t="s">
        <v>14</v>
      </c>
      <c r="F4" s="43">
        <v>5000</v>
      </c>
      <c r="G4" s="43">
        <v>0.88</v>
      </c>
      <c r="H4" s="43">
        <f t="shared" si="0"/>
        <v>4400</v>
      </c>
      <c r="I4" s="43" t="s">
        <v>283</v>
      </c>
      <c r="J4" s="43" t="s">
        <v>46</v>
      </c>
      <c r="K4" s="43"/>
    </row>
    <row r="5" spans="1:11">
      <c r="A5" s="41">
        <v>45876</v>
      </c>
      <c r="B5" s="42" t="s">
        <v>861</v>
      </c>
      <c r="C5" s="43" t="s">
        <v>1892</v>
      </c>
      <c r="D5" s="43" t="s">
        <v>44</v>
      </c>
      <c r="E5" s="43" t="s">
        <v>14</v>
      </c>
      <c r="F5" s="43">
        <v>6300</v>
      </c>
      <c r="G5" s="43">
        <v>0.93</v>
      </c>
      <c r="H5" s="43">
        <f t="shared" si="0"/>
        <v>5859</v>
      </c>
      <c r="I5" s="43" t="s">
        <v>45</v>
      </c>
      <c r="J5" s="43" t="s">
        <v>46</v>
      </c>
      <c r="K5" s="43"/>
    </row>
    <row r="6" spans="1:11">
      <c r="A6" s="41">
        <v>45882</v>
      </c>
      <c r="B6" s="42" t="s">
        <v>861</v>
      </c>
      <c r="C6" s="43" t="s">
        <v>1893</v>
      </c>
      <c r="D6" s="43" t="s">
        <v>304</v>
      </c>
      <c r="E6" s="43" t="s">
        <v>14</v>
      </c>
      <c r="F6" s="43">
        <v>2010</v>
      </c>
      <c r="G6" s="43">
        <v>1.9</v>
      </c>
      <c r="H6" s="43">
        <f t="shared" si="0"/>
        <v>3819</v>
      </c>
      <c r="I6" s="43" t="s">
        <v>1399</v>
      </c>
      <c r="J6" s="43"/>
      <c r="K6" s="43"/>
    </row>
    <row r="7" spans="1:11">
      <c r="A7" s="41">
        <v>45883</v>
      </c>
      <c r="B7" s="42" t="s">
        <v>861</v>
      </c>
      <c r="C7" s="43" t="s">
        <v>1894</v>
      </c>
      <c r="D7" s="43" t="s">
        <v>304</v>
      </c>
      <c r="E7" s="43" t="s">
        <v>14</v>
      </c>
      <c r="F7" s="43">
        <v>53</v>
      </c>
      <c r="G7" s="43">
        <v>1.9</v>
      </c>
      <c r="H7" s="43">
        <f t="shared" si="0"/>
        <v>100.7</v>
      </c>
      <c r="I7" s="43" t="s">
        <v>1399</v>
      </c>
      <c r="J7" s="43"/>
      <c r="K7" s="43"/>
    </row>
    <row r="8" spans="1:11">
      <c r="A8" s="41">
        <v>45883</v>
      </c>
      <c r="B8" s="42" t="s">
        <v>861</v>
      </c>
      <c r="C8" s="43" t="s">
        <v>1895</v>
      </c>
      <c r="D8" s="43" t="s">
        <v>493</v>
      </c>
      <c r="E8" s="43" t="s">
        <v>14</v>
      </c>
      <c r="F8" s="43">
        <v>50000</v>
      </c>
      <c r="G8" s="43">
        <v>0.78</v>
      </c>
      <c r="H8" s="43">
        <f t="shared" si="0"/>
        <v>39000</v>
      </c>
      <c r="I8" s="43" t="s">
        <v>61</v>
      </c>
      <c r="J8" s="43" t="s">
        <v>46</v>
      </c>
      <c r="K8" s="43"/>
    </row>
    <row r="9" spans="1:11">
      <c r="A9" s="41">
        <v>45884</v>
      </c>
      <c r="B9" s="42" t="s">
        <v>861</v>
      </c>
      <c r="C9" s="43" t="s">
        <v>1896</v>
      </c>
      <c r="D9" s="43" t="s">
        <v>586</v>
      </c>
      <c r="E9" s="43" t="s">
        <v>14</v>
      </c>
      <c r="F9" s="43">
        <v>53</v>
      </c>
      <c r="G9" s="43">
        <v>2.18</v>
      </c>
      <c r="H9" s="43">
        <f t="shared" si="0"/>
        <v>115.54</v>
      </c>
      <c r="I9" s="43" t="s">
        <v>28</v>
      </c>
      <c r="J9" s="43"/>
      <c r="K9" s="43"/>
    </row>
    <row r="10" spans="1:11">
      <c r="A10" s="41">
        <v>45884</v>
      </c>
      <c r="B10" s="42" t="s">
        <v>861</v>
      </c>
      <c r="C10" s="43" t="s">
        <v>1897</v>
      </c>
      <c r="D10" s="43" t="s">
        <v>1357</v>
      </c>
      <c r="E10" s="43" t="s">
        <v>14</v>
      </c>
      <c r="F10" s="43">
        <v>2000</v>
      </c>
      <c r="G10" s="43">
        <v>1.62</v>
      </c>
      <c r="H10" s="43">
        <f t="shared" si="0"/>
        <v>3240</v>
      </c>
      <c r="I10" s="43" t="s">
        <v>1898</v>
      </c>
      <c r="J10" s="43"/>
      <c r="K10" s="43"/>
    </row>
    <row r="11" spans="1:11">
      <c r="A11" s="41">
        <v>45887</v>
      </c>
      <c r="B11" s="42" t="s">
        <v>861</v>
      </c>
      <c r="C11" s="43" t="s">
        <v>1899</v>
      </c>
      <c r="D11" s="43" t="s">
        <v>18</v>
      </c>
      <c r="E11" s="43" t="s">
        <v>14</v>
      </c>
      <c r="F11" s="43">
        <v>12000</v>
      </c>
      <c r="G11" s="43">
        <v>0.7</v>
      </c>
      <c r="H11" s="43">
        <f t="shared" si="0"/>
        <v>8400</v>
      </c>
      <c r="I11" s="43" t="s">
        <v>61</v>
      </c>
      <c r="J11" s="43" t="s">
        <v>46</v>
      </c>
      <c r="K11" s="43"/>
    </row>
    <row r="12" spans="1:11">
      <c r="A12" s="41">
        <v>45887</v>
      </c>
      <c r="B12" s="42" t="s">
        <v>861</v>
      </c>
      <c r="C12" s="43" t="s">
        <v>1899</v>
      </c>
      <c r="D12" s="43" t="s">
        <v>1900</v>
      </c>
      <c r="E12" s="43" t="s">
        <v>14</v>
      </c>
      <c r="F12" s="43">
        <v>100</v>
      </c>
      <c r="G12" s="43">
        <v>1.3</v>
      </c>
      <c r="H12" s="43">
        <f t="shared" si="0"/>
        <v>130</v>
      </c>
      <c r="I12" s="43" t="s">
        <v>704</v>
      </c>
      <c r="J12" s="43" t="s">
        <v>46</v>
      </c>
      <c r="K12" s="43"/>
    </row>
    <row r="13" spans="1:11">
      <c r="A13" s="41">
        <v>45887</v>
      </c>
      <c r="B13" s="42" t="s">
        <v>861</v>
      </c>
      <c r="C13" s="43" t="s">
        <v>1901</v>
      </c>
      <c r="D13" s="43" t="s">
        <v>179</v>
      </c>
      <c r="E13" s="43" t="s">
        <v>14</v>
      </c>
      <c r="F13" s="43">
        <v>30000</v>
      </c>
      <c r="G13" s="43">
        <v>1.17</v>
      </c>
      <c r="H13" s="43">
        <f t="shared" si="0"/>
        <v>35100</v>
      </c>
      <c r="I13" s="43" t="s">
        <v>61</v>
      </c>
      <c r="J13" s="43" t="s">
        <v>46</v>
      </c>
      <c r="K13" s="43"/>
    </row>
    <row r="14" spans="1:11">
      <c r="A14" s="41">
        <v>45888</v>
      </c>
      <c r="B14" s="42" t="s">
        <v>861</v>
      </c>
      <c r="C14" s="43" t="s">
        <v>1902</v>
      </c>
      <c r="D14" s="43" t="s">
        <v>680</v>
      </c>
      <c r="E14" s="43" t="s">
        <v>14</v>
      </c>
      <c r="F14" s="43">
        <v>23920</v>
      </c>
      <c r="G14" s="43">
        <v>1.25</v>
      </c>
      <c r="H14" s="43">
        <f t="shared" si="0"/>
        <v>29900</v>
      </c>
      <c r="I14" s="43" t="s">
        <v>1903</v>
      </c>
      <c r="J14" s="43" t="s">
        <v>46</v>
      </c>
      <c r="K14" s="43"/>
    </row>
    <row r="15" spans="1:11">
      <c r="A15" s="41">
        <v>45898</v>
      </c>
      <c r="B15" s="42" t="s">
        <v>861</v>
      </c>
      <c r="C15" s="43" t="s">
        <v>1904</v>
      </c>
      <c r="D15" s="43" t="s">
        <v>282</v>
      </c>
      <c r="E15" s="43" t="s">
        <v>14</v>
      </c>
      <c r="F15" s="43">
        <v>2005</v>
      </c>
      <c r="G15" s="43">
        <v>0.88</v>
      </c>
      <c r="H15" s="43">
        <f t="shared" si="0"/>
        <v>1764.4</v>
      </c>
      <c r="I15" s="43" t="s">
        <v>283</v>
      </c>
      <c r="J15" s="43"/>
      <c r="K15" s="43"/>
    </row>
    <row r="16" spans="1:11">
      <c r="A16" s="41">
        <v>45873</v>
      </c>
      <c r="B16" s="43" t="s">
        <v>1905</v>
      </c>
      <c r="C16" s="43" t="s">
        <v>1906</v>
      </c>
      <c r="D16" s="43" t="s">
        <v>1074</v>
      </c>
      <c r="E16" s="43" t="s">
        <v>158</v>
      </c>
      <c r="F16" s="43">
        <v>4943</v>
      </c>
      <c r="G16" s="43">
        <v>0.17</v>
      </c>
      <c r="H16" s="43">
        <f t="shared" si="0"/>
        <v>840.31</v>
      </c>
      <c r="I16" s="43" t="s">
        <v>61</v>
      </c>
      <c r="J16" s="43" t="s">
        <v>46</v>
      </c>
      <c r="K16" s="43"/>
    </row>
    <row r="17" spans="1:11">
      <c r="A17" s="44">
        <v>45875</v>
      </c>
      <c r="B17" s="43" t="s">
        <v>1905</v>
      </c>
      <c r="C17" s="45">
        <v>20250806001</v>
      </c>
      <c r="D17" s="45" t="s">
        <v>1907</v>
      </c>
      <c r="E17" s="45" t="s">
        <v>1908</v>
      </c>
      <c r="F17" s="45">
        <v>40100</v>
      </c>
      <c r="G17" s="45">
        <v>0.24</v>
      </c>
      <c r="H17" s="45">
        <f t="shared" si="0"/>
        <v>9624</v>
      </c>
      <c r="I17" s="45" t="s">
        <v>1909</v>
      </c>
      <c r="J17" s="43" t="s">
        <v>46</v>
      </c>
      <c r="K17" s="43"/>
    </row>
    <row r="18" spans="1:11">
      <c r="A18" s="44">
        <v>45880</v>
      </c>
      <c r="B18" s="43" t="s">
        <v>1905</v>
      </c>
      <c r="C18" s="45">
        <v>2025081101</v>
      </c>
      <c r="D18" s="45" t="s">
        <v>1907</v>
      </c>
      <c r="E18" s="45" t="s">
        <v>1908</v>
      </c>
      <c r="F18" s="45">
        <v>50000</v>
      </c>
      <c r="G18" s="45">
        <v>0.2024</v>
      </c>
      <c r="H18" s="45">
        <f t="shared" si="0"/>
        <v>10120</v>
      </c>
      <c r="I18" s="45" t="s">
        <v>1909</v>
      </c>
      <c r="J18" s="43" t="s">
        <v>1910</v>
      </c>
      <c r="K18" s="43"/>
    </row>
    <row r="19" spans="1:11">
      <c r="A19" s="44">
        <v>45888</v>
      </c>
      <c r="B19" s="43" t="s">
        <v>1905</v>
      </c>
      <c r="C19" s="45">
        <v>2025081901</v>
      </c>
      <c r="D19" s="45" t="s">
        <v>670</v>
      </c>
      <c r="E19" s="45" t="s">
        <v>158</v>
      </c>
      <c r="F19" s="45">
        <v>99750</v>
      </c>
      <c r="G19" s="45">
        <v>0.15</v>
      </c>
      <c r="H19" s="45">
        <f t="shared" si="0"/>
        <v>14962.5</v>
      </c>
      <c r="I19" s="45" t="s">
        <v>1911</v>
      </c>
      <c r="J19" s="43" t="s">
        <v>46</v>
      </c>
      <c r="K19" s="43" t="s">
        <v>701</v>
      </c>
    </row>
    <row r="20" spans="1:11">
      <c r="A20" s="41">
        <v>45873</v>
      </c>
      <c r="B20" s="43" t="s">
        <v>274</v>
      </c>
      <c r="C20" s="43" t="s">
        <v>1906</v>
      </c>
      <c r="D20" s="87" t="s">
        <v>1912</v>
      </c>
      <c r="E20" s="43" t="s">
        <v>1913</v>
      </c>
      <c r="F20" s="43">
        <v>2659</v>
      </c>
      <c r="G20" s="43">
        <v>0.4</v>
      </c>
      <c r="H20" s="43">
        <f t="shared" ref="H20:H28" si="1">F20*G20</f>
        <v>1063.6</v>
      </c>
      <c r="I20" s="43" t="s">
        <v>61</v>
      </c>
      <c r="J20" s="43" t="s">
        <v>46</v>
      </c>
      <c r="K20" s="43"/>
    </row>
    <row r="21" spans="1:11">
      <c r="A21" s="41">
        <v>45871</v>
      </c>
      <c r="B21" s="43" t="s">
        <v>1914</v>
      </c>
      <c r="C21" s="43"/>
      <c r="D21" s="43" t="s">
        <v>59</v>
      </c>
      <c r="E21" s="43" t="s">
        <v>123</v>
      </c>
      <c r="F21" s="43">
        <v>8130</v>
      </c>
      <c r="G21" s="43">
        <v>0.52</v>
      </c>
      <c r="H21" s="43">
        <f t="shared" si="1"/>
        <v>4227.6</v>
      </c>
      <c r="I21" s="43" t="s">
        <v>35</v>
      </c>
      <c r="J21" s="43"/>
      <c r="K21" s="43"/>
    </row>
    <row r="22" spans="1:11">
      <c r="A22" s="41">
        <v>45871</v>
      </c>
      <c r="B22" s="43" t="s">
        <v>184</v>
      </c>
      <c r="C22" s="43" t="s">
        <v>1915</v>
      </c>
      <c r="D22" s="43" t="s">
        <v>1916</v>
      </c>
      <c r="E22" s="42" t="s">
        <v>14</v>
      </c>
      <c r="F22" s="43">
        <v>20</v>
      </c>
      <c r="G22" s="43">
        <v>1.42</v>
      </c>
      <c r="H22" s="43">
        <f t="shared" si="1"/>
        <v>28.4</v>
      </c>
      <c r="I22" s="43" t="s">
        <v>1429</v>
      </c>
      <c r="J22" s="43"/>
      <c r="K22" s="43"/>
    </row>
    <row r="23" spans="1:11">
      <c r="A23" s="41">
        <v>45871</v>
      </c>
      <c r="B23" s="43" t="s">
        <v>184</v>
      </c>
      <c r="C23" s="43" t="s">
        <v>1915</v>
      </c>
      <c r="D23" s="43" t="s">
        <v>1917</v>
      </c>
      <c r="E23" s="42" t="s">
        <v>14</v>
      </c>
      <c r="F23" s="43">
        <v>10</v>
      </c>
      <c r="G23" s="43">
        <v>1.45</v>
      </c>
      <c r="H23" s="43">
        <f t="shared" si="1"/>
        <v>14.5</v>
      </c>
      <c r="I23" s="43" t="s">
        <v>271</v>
      </c>
      <c r="J23" s="43"/>
      <c r="K23" s="43"/>
    </row>
    <row r="24" spans="1:11">
      <c r="A24" s="44">
        <v>45875</v>
      </c>
      <c r="B24" s="45" t="s">
        <v>184</v>
      </c>
      <c r="C24" s="45" t="s">
        <v>1918</v>
      </c>
      <c r="D24" s="45" t="s">
        <v>38</v>
      </c>
      <c r="E24" s="42" t="s">
        <v>14</v>
      </c>
      <c r="F24" s="45">
        <v>10000</v>
      </c>
      <c r="G24" s="45">
        <v>1.3</v>
      </c>
      <c r="H24" s="45">
        <f t="shared" si="1"/>
        <v>13000</v>
      </c>
      <c r="I24" s="45" t="s">
        <v>432</v>
      </c>
      <c r="J24" s="45" t="s">
        <v>46</v>
      </c>
      <c r="K24" s="43"/>
    </row>
    <row r="25" s="33" customFormat="1" spans="1:11">
      <c r="A25" s="44">
        <v>45875</v>
      </c>
      <c r="B25" s="45" t="s">
        <v>184</v>
      </c>
      <c r="C25" s="45" t="s">
        <v>1919</v>
      </c>
      <c r="D25" s="45" t="s">
        <v>285</v>
      </c>
      <c r="E25" s="42" t="s">
        <v>14</v>
      </c>
      <c r="F25" s="45">
        <v>5040</v>
      </c>
      <c r="G25" s="45">
        <v>1.95</v>
      </c>
      <c r="H25" s="45">
        <f t="shared" si="1"/>
        <v>9828</v>
      </c>
      <c r="I25" s="45" t="s">
        <v>1920</v>
      </c>
      <c r="J25" s="45" t="s">
        <v>46</v>
      </c>
      <c r="K25" s="45"/>
    </row>
    <row r="26" s="33" customFormat="1" spans="1:11">
      <c r="A26" s="44">
        <v>45875</v>
      </c>
      <c r="B26" s="45" t="s">
        <v>184</v>
      </c>
      <c r="C26" s="45" t="s">
        <v>1921</v>
      </c>
      <c r="D26" s="45" t="s">
        <v>321</v>
      </c>
      <c r="E26" s="42" t="s">
        <v>14</v>
      </c>
      <c r="F26" s="45">
        <v>40200</v>
      </c>
      <c r="G26" s="45">
        <v>1.38</v>
      </c>
      <c r="H26" s="45">
        <f t="shared" si="1"/>
        <v>55476</v>
      </c>
      <c r="I26" s="45" t="s">
        <v>1909</v>
      </c>
      <c r="J26" s="45" t="s">
        <v>46</v>
      </c>
      <c r="K26" s="45"/>
    </row>
    <row r="27" s="34" customFormat="1" spans="1:11">
      <c r="A27" s="46">
        <v>45870</v>
      </c>
      <c r="B27" s="42" t="s">
        <v>184</v>
      </c>
      <c r="C27" s="42" t="s">
        <v>1922</v>
      </c>
      <c r="D27" s="42" t="s">
        <v>399</v>
      </c>
      <c r="E27" s="42" t="s">
        <v>14</v>
      </c>
      <c r="F27" s="42">
        <v>3715</v>
      </c>
      <c r="G27" s="42">
        <v>1.2</v>
      </c>
      <c r="H27" s="42">
        <f t="shared" si="1"/>
        <v>4458</v>
      </c>
      <c r="I27" s="42" t="s">
        <v>982</v>
      </c>
      <c r="J27" s="42" t="s">
        <v>46</v>
      </c>
      <c r="K27" s="42"/>
    </row>
    <row r="28" s="33" customFormat="1" spans="1:11">
      <c r="A28" s="46">
        <v>45877</v>
      </c>
      <c r="B28" s="42" t="s">
        <v>184</v>
      </c>
      <c r="C28" s="42" t="s">
        <v>1923</v>
      </c>
      <c r="D28" s="42" t="s">
        <v>38</v>
      </c>
      <c r="E28" s="42" t="s">
        <v>14</v>
      </c>
      <c r="F28" s="42">
        <v>100</v>
      </c>
      <c r="G28" s="42">
        <v>1.3</v>
      </c>
      <c r="H28" s="42">
        <f t="shared" si="1"/>
        <v>130</v>
      </c>
      <c r="I28" s="42" t="s">
        <v>579</v>
      </c>
      <c r="J28" s="42"/>
      <c r="K28" s="45"/>
    </row>
    <row r="29" s="33" customFormat="1" spans="1:11">
      <c r="A29" s="46">
        <v>45875</v>
      </c>
      <c r="B29" s="42" t="s">
        <v>184</v>
      </c>
      <c r="C29" s="42" t="s">
        <v>1924</v>
      </c>
      <c r="D29" s="42" t="s">
        <v>399</v>
      </c>
      <c r="E29" s="42" t="s">
        <v>14</v>
      </c>
      <c r="F29" s="42">
        <v>8000</v>
      </c>
      <c r="G29" s="42">
        <v>1.2</v>
      </c>
      <c r="H29" s="42">
        <f t="shared" ref="H29:H41" si="2">F29*G29</f>
        <v>9600</v>
      </c>
      <c r="I29" s="42" t="s">
        <v>982</v>
      </c>
      <c r="J29" s="42" t="s">
        <v>46</v>
      </c>
      <c r="K29" s="45"/>
    </row>
    <row r="30" s="33" customFormat="1" spans="1:11">
      <c r="A30" s="46">
        <v>45875</v>
      </c>
      <c r="B30" s="42" t="s">
        <v>184</v>
      </c>
      <c r="C30" s="42" t="s">
        <v>1924</v>
      </c>
      <c r="D30" s="42" t="s">
        <v>823</v>
      </c>
      <c r="E30" s="42" t="s">
        <v>14</v>
      </c>
      <c r="F30" s="42">
        <v>4500</v>
      </c>
      <c r="G30" s="42">
        <v>1.45</v>
      </c>
      <c r="H30" s="42">
        <f t="shared" si="2"/>
        <v>6525</v>
      </c>
      <c r="I30" s="43" t="s">
        <v>271</v>
      </c>
      <c r="J30" s="42" t="s">
        <v>46</v>
      </c>
      <c r="K30" s="45"/>
    </row>
    <row r="31" s="33" customFormat="1" spans="1:11">
      <c r="A31" s="46">
        <v>45875</v>
      </c>
      <c r="B31" s="42" t="s">
        <v>184</v>
      </c>
      <c r="C31" s="42" t="s">
        <v>1924</v>
      </c>
      <c r="D31" s="42" t="s">
        <v>27</v>
      </c>
      <c r="E31" s="42" t="s">
        <v>14</v>
      </c>
      <c r="F31" s="42">
        <v>5000</v>
      </c>
      <c r="G31" s="42">
        <v>1.8</v>
      </c>
      <c r="H31" s="42">
        <f t="shared" si="2"/>
        <v>9000</v>
      </c>
      <c r="I31" s="42" t="s">
        <v>982</v>
      </c>
      <c r="J31" s="42" t="s">
        <v>46</v>
      </c>
      <c r="K31" s="45"/>
    </row>
    <row r="32" s="33" customFormat="1" spans="1:11">
      <c r="A32" s="46">
        <v>45876</v>
      </c>
      <c r="B32" s="42" t="s">
        <v>184</v>
      </c>
      <c r="C32" s="42" t="s">
        <v>1925</v>
      </c>
      <c r="D32" s="42" t="s">
        <v>823</v>
      </c>
      <c r="E32" s="42" t="s">
        <v>14</v>
      </c>
      <c r="F32" s="42">
        <v>32000</v>
      </c>
      <c r="G32" s="42">
        <v>1.45</v>
      </c>
      <c r="H32" s="42">
        <f t="shared" si="2"/>
        <v>46400</v>
      </c>
      <c r="I32" s="43" t="s">
        <v>271</v>
      </c>
      <c r="J32" s="42" t="s">
        <v>46</v>
      </c>
      <c r="K32" s="45"/>
    </row>
    <row r="33" s="33" customFormat="1" spans="1:11">
      <c r="A33" s="46">
        <v>45876</v>
      </c>
      <c r="B33" s="42" t="s">
        <v>184</v>
      </c>
      <c r="C33" s="42" t="s">
        <v>1925</v>
      </c>
      <c r="D33" s="42" t="s">
        <v>321</v>
      </c>
      <c r="E33" s="42" t="s">
        <v>14</v>
      </c>
      <c r="F33" s="42">
        <v>21000</v>
      </c>
      <c r="G33" s="42">
        <v>1.38</v>
      </c>
      <c r="H33" s="42">
        <f t="shared" si="2"/>
        <v>28980</v>
      </c>
      <c r="I33" s="47" t="s">
        <v>1909</v>
      </c>
      <c r="J33" s="42" t="s">
        <v>46</v>
      </c>
      <c r="K33" s="45"/>
    </row>
    <row r="34" s="33" customFormat="1" spans="1:11">
      <c r="A34" s="46">
        <v>45877</v>
      </c>
      <c r="B34" s="42" t="s">
        <v>184</v>
      </c>
      <c r="C34" s="42" t="s">
        <v>1926</v>
      </c>
      <c r="D34" s="42" t="s">
        <v>38</v>
      </c>
      <c r="E34" s="42" t="s">
        <v>14</v>
      </c>
      <c r="F34" s="42">
        <v>19900</v>
      </c>
      <c r="G34" s="42">
        <v>1.3</v>
      </c>
      <c r="H34" s="42">
        <f t="shared" si="2"/>
        <v>25870</v>
      </c>
      <c r="I34" s="42" t="s">
        <v>579</v>
      </c>
      <c r="J34" s="42" t="s">
        <v>46</v>
      </c>
      <c r="K34" s="45"/>
    </row>
    <row r="35" s="33" customFormat="1" spans="1:11">
      <c r="A35" s="46">
        <v>45877</v>
      </c>
      <c r="B35" s="42" t="s">
        <v>184</v>
      </c>
      <c r="C35" s="42" t="s">
        <v>1926</v>
      </c>
      <c r="D35" s="42" t="s">
        <v>188</v>
      </c>
      <c r="E35" s="42" t="s">
        <v>14</v>
      </c>
      <c r="F35" s="42">
        <v>10000</v>
      </c>
      <c r="G35" s="42">
        <v>1.17</v>
      </c>
      <c r="H35" s="42">
        <f t="shared" si="2"/>
        <v>11700</v>
      </c>
      <c r="I35" s="42" t="s">
        <v>189</v>
      </c>
      <c r="J35" s="42" t="s">
        <v>46</v>
      </c>
      <c r="K35" s="45"/>
    </row>
    <row r="36" s="33" customFormat="1" spans="1:11">
      <c r="A36" s="46">
        <v>45878</v>
      </c>
      <c r="B36" s="42" t="s">
        <v>184</v>
      </c>
      <c r="C36" s="42" t="s">
        <v>1927</v>
      </c>
      <c r="D36" s="42" t="s">
        <v>321</v>
      </c>
      <c r="E36" s="42" t="s">
        <v>14</v>
      </c>
      <c r="F36" s="42">
        <v>29000</v>
      </c>
      <c r="G36" s="42">
        <v>1.38</v>
      </c>
      <c r="H36" s="42">
        <f t="shared" si="2"/>
        <v>40020</v>
      </c>
      <c r="I36" s="47" t="s">
        <v>1909</v>
      </c>
      <c r="J36" s="42" t="s">
        <v>46</v>
      </c>
      <c r="K36" s="45"/>
    </row>
    <row r="37" s="33" customFormat="1" spans="1:11">
      <c r="A37" s="46">
        <v>45878</v>
      </c>
      <c r="B37" s="42" t="s">
        <v>184</v>
      </c>
      <c r="C37" s="42" t="s">
        <v>1927</v>
      </c>
      <c r="D37" s="42" t="s">
        <v>1188</v>
      </c>
      <c r="E37" s="42" t="s">
        <v>14</v>
      </c>
      <c r="F37" s="42">
        <v>5015</v>
      </c>
      <c r="G37" s="42">
        <v>1.1</v>
      </c>
      <c r="H37" s="42">
        <f t="shared" si="2"/>
        <v>5516.5</v>
      </c>
      <c r="I37" s="42" t="s">
        <v>805</v>
      </c>
      <c r="J37" s="42" t="s">
        <v>46</v>
      </c>
      <c r="K37" s="45"/>
    </row>
    <row r="38" s="33" customFormat="1" spans="1:11">
      <c r="A38" s="46">
        <v>45881</v>
      </c>
      <c r="B38" s="42" t="s">
        <v>184</v>
      </c>
      <c r="C38" s="42" t="s">
        <v>1928</v>
      </c>
      <c r="D38" s="42" t="s">
        <v>399</v>
      </c>
      <c r="E38" s="42" t="s">
        <v>14</v>
      </c>
      <c r="F38" s="42">
        <v>10010</v>
      </c>
      <c r="G38" s="42">
        <v>1.2</v>
      </c>
      <c r="H38" s="42">
        <f t="shared" si="2"/>
        <v>12012</v>
      </c>
      <c r="I38" s="42" t="s">
        <v>982</v>
      </c>
      <c r="J38" s="42" t="s">
        <v>46</v>
      </c>
      <c r="K38" s="45"/>
    </row>
    <row r="39" s="33" customFormat="1" spans="1:11">
      <c r="A39" s="46">
        <v>45881</v>
      </c>
      <c r="B39" s="42" t="s">
        <v>184</v>
      </c>
      <c r="C39" s="42" t="s">
        <v>1928</v>
      </c>
      <c r="D39" s="42" t="s">
        <v>183</v>
      </c>
      <c r="E39" s="42" t="s">
        <v>14</v>
      </c>
      <c r="F39" s="42">
        <v>30000</v>
      </c>
      <c r="G39" s="42">
        <v>1.2</v>
      </c>
      <c r="H39" s="42">
        <f t="shared" si="2"/>
        <v>36000</v>
      </c>
      <c r="I39" s="42" t="s">
        <v>1929</v>
      </c>
      <c r="J39" s="42" t="s">
        <v>46</v>
      </c>
      <c r="K39" s="45"/>
    </row>
    <row r="40" s="33" customFormat="1" spans="1:11">
      <c r="A40" s="46">
        <v>45882</v>
      </c>
      <c r="B40" s="42" t="s">
        <v>184</v>
      </c>
      <c r="C40" s="42" t="s">
        <v>1930</v>
      </c>
      <c r="D40" s="42" t="s">
        <v>1188</v>
      </c>
      <c r="E40" s="42" t="s">
        <v>14</v>
      </c>
      <c r="F40" s="42">
        <v>1500</v>
      </c>
      <c r="G40" s="42">
        <v>1.1</v>
      </c>
      <c r="H40" s="42">
        <f t="shared" si="2"/>
        <v>1650</v>
      </c>
      <c r="I40" s="42" t="s">
        <v>805</v>
      </c>
      <c r="J40" s="42" t="s">
        <v>46</v>
      </c>
      <c r="K40" s="45"/>
    </row>
    <row r="41" s="33" customFormat="1" spans="1:11">
      <c r="A41" s="46">
        <v>45882</v>
      </c>
      <c r="B41" s="42" t="s">
        <v>184</v>
      </c>
      <c r="C41" s="42" t="s">
        <v>1930</v>
      </c>
      <c r="D41" s="42" t="s">
        <v>823</v>
      </c>
      <c r="E41" s="42" t="s">
        <v>14</v>
      </c>
      <c r="F41" s="42">
        <v>26000</v>
      </c>
      <c r="G41" s="42">
        <v>1.45</v>
      </c>
      <c r="H41" s="42">
        <f t="shared" si="2"/>
        <v>37700</v>
      </c>
      <c r="I41" s="42" t="s">
        <v>271</v>
      </c>
      <c r="J41" s="42" t="s">
        <v>46</v>
      </c>
      <c r="K41" s="45"/>
    </row>
    <row r="42" s="34" customFormat="1" spans="1:11">
      <c r="A42" s="46">
        <v>45871</v>
      </c>
      <c r="B42" s="42" t="s">
        <v>113</v>
      </c>
      <c r="C42" s="42" t="s">
        <v>1732</v>
      </c>
      <c r="D42" s="42" t="s">
        <v>59</v>
      </c>
      <c r="E42" s="42" t="s">
        <v>60</v>
      </c>
      <c r="F42" s="45">
        <v>14323</v>
      </c>
      <c r="G42" s="45">
        <v>0.43</v>
      </c>
      <c r="H42" s="42">
        <f t="shared" ref="H42:H51" si="3">F42*G42</f>
        <v>6158.89</v>
      </c>
      <c r="I42" s="42" t="s">
        <v>1931</v>
      </c>
      <c r="J42" s="42"/>
      <c r="K42" s="42"/>
    </row>
    <row r="43" s="34" customFormat="1" spans="1:11">
      <c r="A43" s="46">
        <v>45875</v>
      </c>
      <c r="B43" s="42" t="s">
        <v>113</v>
      </c>
      <c r="C43" s="42" t="s">
        <v>1932</v>
      </c>
      <c r="D43" s="42" t="s">
        <v>122</v>
      </c>
      <c r="E43" s="42" t="s">
        <v>123</v>
      </c>
      <c r="F43" s="45">
        <v>370</v>
      </c>
      <c r="G43" s="45">
        <v>0.55</v>
      </c>
      <c r="H43" s="42">
        <f t="shared" si="3"/>
        <v>203.5</v>
      </c>
      <c r="I43" s="42" t="s">
        <v>126</v>
      </c>
      <c r="J43" s="42"/>
      <c r="K43" s="42"/>
    </row>
    <row r="44" s="34" customFormat="1" spans="1:11">
      <c r="A44" s="46">
        <v>45875</v>
      </c>
      <c r="B44" s="42" t="s">
        <v>113</v>
      </c>
      <c r="C44" s="42" t="s">
        <v>1932</v>
      </c>
      <c r="D44" s="42" t="s">
        <v>122</v>
      </c>
      <c r="E44" s="42" t="s">
        <v>127</v>
      </c>
      <c r="F44" s="42">
        <v>10</v>
      </c>
      <c r="G44" s="42">
        <v>0</v>
      </c>
      <c r="H44" s="42">
        <f t="shared" si="3"/>
        <v>0</v>
      </c>
      <c r="I44" s="42" t="s">
        <v>32</v>
      </c>
      <c r="J44" s="42"/>
      <c r="K44" s="42"/>
    </row>
    <row r="45" s="34" customFormat="1" spans="1:11">
      <c r="A45" s="46">
        <v>45873</v>
      </c>
      <c r="B45" s="42" t="s">
        <v>113</v>
      </c>
      <c r="C45" s="42" t="s">
        <v>1933</v>
      </c>
      <c r="D45" s="42" t="s">
        <v>130</v>
      </c>
      <c r="E45" s="42" t="s">
        <v>339</v>
      </c>
      <c r="F45" s="45">
        <v>80</v>
      </c>
      <c r="G45" s="45">
        <v>0.45</v>
      </c>
      <c r="H45" s="42">
        <f t="shared" si="3"/>
        <v>36</v>
      </c>
      <c r="I45" s="42" t="s">
        <v>117</v>
      </c>
      <c r="J45" s="42"/>
      <c r="K45" s="42"/>
    </row>
    <row r="46" s="34" customFormat="1" spans="1:11">
      <c r="A46" s="46">
        <v>45875</v>
      </c>
      <c r="B46" s="42" t="s">
        <v>113</v>
      </c>
      <c r="C46" s="42" t="s">
        <v>1934</v>
      </c>
      <c r="D46" s="42" t="s">
        <v>76</v>
      </c>
      <c r="E46" s="42" t="s">
        <v>124</v>
      </c>
      <c r="F46" s="45">
        <v>18355</v>
      </c>
      <c r="G46" s="45">
        <v>0.46</v>
      </c>
      <c r="H46" s="42">
        <f t="shared" ref="H46:H65" si="4">F46*G46</f>
        <v>8443.3</v>
      </c>
      <c r="I46" s="42" t="s">
        <v>340</v>
      </c>
      <c r="J46" s="42"/>
      <c r="K46" s="42"/>
    </row>
    <row r="47" s="34" customFormat="1" spans="1:11">
      <c r="A47" s="46">
        <v>45875</v>
      </c>
      <c r="B47" s="42" t="s">
        <v>113</v>
      </c>
      <c r="C47" s="42" t="s">
        <v>1934</v>
      </c>
      <c r="D47" s="42" t="s">
        <v>76</v>
      </c>
      <c r="E47" s="42" t="s">
        <v>124</v>
      </c>
      <c r="F47" s="45">
        <v>6110</v>
      </c>
      <c r="G47" s="45">
        <v>0.46</v>
      </c>
      <c r="H47" s="42">
        <f t="shared" si="4"/>
        <v>2810.6</v>
      </c>
      <c r="I47" s="42" t="s">
        <v>340</v>
      </c>
      <c r="J47" s="42"/>
      <c r="K47" s="42"/>
    </row>
    <row r="48" s="34" customFormat="1" spans="1:11">
      <c r="A48" s="46">
        <v>45876</v>
      </c>
      <c r="B48" s="42" t="s">
        <v>113</v>
      </c>
      <c r="C48" s="42" t="s">
        <v>1935</v>
      </c>
      <c r="D48" s="42" t="s">
        <v>332</v>
      </c>
      <c r="E48" s="42" t="s">
        <v>60</v>
      </c>
      <c r="F48" s="42">
        <v>10</v>
      </c>
      <c r="G48" s="42">
        <v>0</v>
      </c>
      <c r="H48" s="42">
        <f t="shared" si="4"/>
        <v>0</v>
      </c>
      <c r="I48" s="42" t="s">
        <v>32</v>
      </c>
      <c r="J48" s="42"/>
      <c r="K48" s="42"/>
    </row>
    <row r="49" s="34" customFormat="1" spans="1:11">
      <c r="A49" s="46">
        <v>45877</v>
      </c>
      <c r="B49" s="42" t="s">
        <v>113</v>
      </c>
      <c r="C49" s="42" t="s">
        <v>1936</v>
      </c>
      <c r="D49" s="42" t="s">
        <v>115</v>
      </c>
      <c r="E49" s="42" t="s">
        <v>339</v>
      </c>
      <c r="F49" s="45">
        <v>18110</v>
      </c>
      <c r="G49" s="45">
        <v>0.48</v>
      </c>
      <c r="H49" s="42">
        <f t="shared" si="4"/>
        <v>8692.8</v>
      </c>
      <c r="I49" s="42" t="s">
        <v>100</v>
      </c>
      <c r="J49" s="42"/>
      <c r="K49" s="42"/>
    </row>
    <row r="50" s="34" customFormat="1" spans="1:11">
      <c r="A50" s="46">
        <v>45877</v>
      </c>
      <c r="B50" s="42" t="s">
        <v>113</v>
      </c>
      <c r="C50" s="42" t="s">
        <v>1936</v>
      </c>
      <c r="D50" s="42" t="s">
        <v>195</v>
      </c>
      <c r="E50" s="42" t="s">
        <v>60</v>
      </c>
      <c r="F50" s="45">
        <v>1710</v>
      </c>
      <c r="G50" s="45">
        <v>0.6</v>
      </c>
      <c r="H50" s="42">
        <f t="shared" si="4"/>
        <v>1026</v>
      </c>
      <c r="I50" s="42" t="s">
        <v>982</v>
      </c>
      <c r="J50" s="42"/>
      <c r="K50" s="42"/>
    </row>
    <row r="51" s="34" customFormat="1" spans="1:11">
      <c r="A51" s="46">
        <v>45877</v>
      </c>
      <c r="B51" s="42" t="s">
        <v>113</v>
      </c>
      <c r="C51" s="42" t="s">
        <v>1936</v>
      </c>
      <c r="D51" s="42" t="s">
        <v>115</v>
      </c>
      <c r="E51" s="42" t="s">
        <v>62</v>
      </c>
      <c r="F51" s="45">
        <v>20260</v>
      </c>
      <c r="G51" s="45">
        <v>0.45</v>
      </c>
      <c r="H51" s="42">
        <f t="shared" si="4"/>
        <v>9117</v>
      </c>
      <c r="I51" s="42" t="s">
        <v>189</v>
      </c>
      <c r="J51" s="42"/>
      <c r="K51" s="42"/>
    </row>
    <row r="52" s="34" customFormat="1" spans="1:11">
      <c r="A52" s="46">
        <v>45879</v>
      </c>
      <c r="B52" s="42" t="s">
        <v>113</v>
      </c>
      <c r="C52" s="42" t="s">
        <v>1937</v>
      </c>
      <c r="D52" s="42" t="s">
        <v>115</v>
      </c>
      <c r="E52" s="42" t="s">
        <v>60</v>
      </c>
      <c r="F52" s="45">
        <v>20210</v>
      </c>
      <c r="G52" s="45">
        <v>0.43</v>
      </c>
      <c r="H52" s="42">
        <f t="shared" si="4"/>
        <v>8690.3</v>
      </c>
      <c r="I52" s="42" t="s">
        <v>100</v>
      </c>
      <c r="J52" s="42"/>
      <c r="K52" s="42"/>
    </row>
    <row r="53" s="34" customFormat="1" spans="1:11">
      <c r="A53" s="46">
        <v>45879</v>
      </c>
      <c r="B53" s="42" t="s">
        <v>113</v>
      </c>
      <c r="C53" s="42" t="s">
        <v>1937</v>
      </c>
      <c r="D53" s="42" t="s">
        <v>122</v>
      </c>
      <c r="E53" s="42" t="s">
        <v>60</v>
      </c>
      <c r="F53" s="45">
        <v>16800</v>
      </c>
      <c r="G53" s="45">
        <v>0.5</v>
      </c>
      <c r="H53" s="42">
        <f t="shared" si="4"/>
        <v>8400</v>
      </c>
      <c r="I53" s="42" t="s">
        <v>278</v>
      </c>
      <c r="J53" s="42"/>
      <c r="K53" s="42"/>
    </row>
    <row r="54" s="34" customFormat="1" spans="1:11">
      <c r="A54" s="46">
        <v>45878</v>
      </c>
      <c r="B54" s="42" t="s">
        <v>113</v>
      </c>
      <c r="C54" s="42" t="s">
        <v>1938</v>
      </c>
      <c r="D54" s="42" t="s">
        <v>130</v>
      </c>
      <c r="E54" s="42" t="s">
        <v>339</v>
      </c>
      <c r="F54" s="45">
        <v>14040</v>
      </c>
      <c r="G54" s="45">
        <v>0.45</v>
      </c>
      <c r="H54" s="42">
        <f t="shared" si="4"/>
        <v>6318</v>
      </c>
      <c r="I54" s="42" t="s">
        <v>1931</v>
      </c>
      <c r="J54" s="42"/>
      <c r="K54" s="42"/>
    </row>
    <row r="55" s="34" customFormat="1" spans="1:11">
      <c r="A55" s="46">
        <v>45878</v>
      </c>
      <c r="B55" s="42" t="s">
        <v>113</v>
      </c>
      <c r="C55" s="42" t="s">
        <v>1938</v>
      </c>
      <c r="D55" s="42" t="s">
        <v>128</v>
      </c>
      <c r="E55" s="42" t="s">
        <v>231</v>
      </c>
      <c r="F55" s="45">
        <v>7206</v>
      </c>
      <c r="G55" s="45">
        <v>0.57</v>
      </c>
      <c r="H55" s="42">
        <f t="shared" si="4"/>
        <v>4107.42</v>
      </c>
      <c r="I55" s="42" t="s">
        <v>1939</v>
      </c>
      <c r="J55" s="42"/>
      <c r="K55" s="42"/>
    </row>
    <row r="56" s="34" customFormat="1" spans="1:11">
      <c r="A56" s="46">
        <v>45878</v>
      </c>
      <c r="B56" s="42" t="s">
        <v>113</v>
      </c>
      <c r="C56" s="42" t="s">
        <v>1938</v>
      </c>
      <c r="D56" s="42" t="s">
        <v>130</v>
      </c>
      <c r="E56" s="42" t="s">
        <v>339</v>
      </c>
      <c r="F56" s="45">
        <v>5090</v>
      </c>
      <c r="G56" s="45">
        <v>0.45</v>
      </c>
      <c r="H56" s="42">
        <f t="shared" si="4"/>
        <v>2290.5</v>
      </c>
      <c r="I56" s="42" t="s">
        <v>117</v>
      </c>
      <c r="J56" s="42"/>
      <c r="K56" s="42"/>
    </row>
    <row r="57" s="34" customFormat="1" spans="1:11">
      <c r="A57" s="46">
        <v>45878</v>
      </c>
      <c r="B57" s="42" t="s">
        <v>113</v>
      </c>
      <c r="C57" s="42" t="s">
        <v>1938</v>
      </c>
      <c r="D57" s="42" t="s">
        <v>59</v>
      </c>
      <c r="E57" s="42" t="s">
        <v>60</v>
      </c>
      <c r="F57" s="45">
        <v>1350</v>
      </c>
      <c r="G57" s="45">
        <v>0.43</v>
      </c>
      <c r="H57" s="42">
        <f t="shared" si="4"/>
        <v>580.5</v>
      </c>
      <c r="I57" s="42" t="s">
        <v>149</v>
      </c>
      <c r="J57" s="42"/>
      <c r="K57" s="42"/>
    </row>
    <row r="58" s="34" customFormat="1" spans="1:11">
      <c r="A58" s="46">
        <v>45876</v>
      </c>
      <c r="B58" s="42" t="s">
        <v>113</v>
      </c>
      <c r="C58" s="42" t="s">
        <v>1940</v>
      </c>
      <c r="D58" s="42" t="s">
        <v>76</v>
      </c>
      <c r="E58" s="42" t="s">
        <v>60</v>
      </c>
      <c r="F58" s="45">
        <v>12100</v>
      </c>
      <c r="G58" s="45">
        <v>0.43</v>
      </c>
      <c r="H58" s="42">
        <f t="shared" si="4"/>
        <v>5203</v>
      </c>
      <c r="I58" s="42" t="s">
        <v>126</v>
      </c>
      <c r="J58" s="42"/>
      <c r="K58" s="42"/>
    </row>
    <row r="59" s="34" customFormat="1" spans="1:11">
      <c r="A59" s="46">
        <v>45876</v>
      </c>
      <c r="B59" s="42" t="s">
        <v>113</v>
      </c>
      <c r="C59" s="42" t="s">
        <v>1940</v>
      </c>
      <c r="D59" s="42" t="s">
        <v>115</v>
      </c>
      <c r="E59" s="42" t="s">
        <v>1941</v>
      </c>
      <c r="F59" s="45">
        <v>10000</v>
      </c>
      <c r="G59" s="45">
        <v>0.41</v>
      </c>
      <c r="H59" s="42">
        <f t="shared" si="4"/>
        <v>4100</v>
      </c>
      <c r="I59" s="42" t="s">
        <v>340</v>
      </c>
      <c r="J59" s="42"/>
      <c r="K59" s="42"/>
    </row>
    <row r="60" s="34" customFormat="1" spans="1:11">
      <c r="A60" s="46">
        <v>45876</v>
      </c>
      <c r="B60" s="42" t="s">
        <v>113</v>
      </c>
      <c r="C60" s="42" t="s">
        <v>1940</v>
      </c>
      <c r="D60" s="42" t="s">
        <v>59</v>
      </c>
      <c r="E60" s="42" t="s">
        <v>231</v>
      </c>
      <c r="F60" s="45">
        <v>100</v>
      </c>
      <c r="G60" s="45">
        <v>0.48</v>
      </c>
      <c r="H60" s="42">
        <f t="shared" si="4"/>
        <v>48</v>
      </c>
      <c r="I60" s="42" t="s">
        <v>35</v>
      </c>
      <c r="J60" s="42"/>
      <c r="K60" s="42"/>
    </row>
    <row r="61" s="34" customFormat="1" spans="1:11">
      <c r="A61" s="46">
        <v>45874</v>
      </c>
      <c r="B61" s="42" t="s">
        <v>113</v>
      </c>
      <c r="C61" s="42" t="s">
        <v>1942</v>
      </c>
      <c r="D61" s="42" t="s">
        <v>115</v>
      </c>
      <c r="E61" s="42" t="s">
        <v>339</v>
      </c>
      <c r="F61" s="45">
        <v>28400</v>
      </c>
      <c r="G61" s="45">
        <v>0.48</v>
      </c>
      <c r="H61" s="42">
        <f t="shared" si="4"/>
        <v>13632</v>
      </c>
      <c r="I61" s="42" t="s">
        <v>126</v>
      </c>
      <c r="J61" s="42"/>
      <c r="K61" s="42"/>
    </row>
    <row r="62" s="34" customFormat="1" spans="1:11">
      <c r="A62" s="46">
        <v>45879</v>
      </c>
      <c r="B62" s="42" t="s">
        <v>113</v>
      </c>
      <c r="C62" s="42" t="s">
        <v>1943</v>
      </c>
      <c r="D62" s="42" t="s">
        <v>76</v>
      </c>
      <c r="E62" s="42" t="s">
        <v>1019</v>
      </c>
      <c r="F62" s="45">
        <v>4010</v>
      </c>
      <c r="G62" s="45">
        <v>0.48</v>
      </c>
      <c r="H62" s="42">
        <f t="shared" si="4"/>
        <v>1924.8</v>
      </c>
      <c r="I62" s="42" t="s">
        <v>644</v>
      </c>
      <c r="J62" s="42"/>
      <c r="K62" s="42"/>
    </row>
    <row r="63" s="34" customFormat="1" spans="1:11">
      <c r="A63" s="46">
        <v>45881</v>
      </c>
      <c r="B63" s="42" t="s">
        <v>113</v>
      </c>
      <c r="C63" s="42" t="s">
        <v>1944</v>
      </c>
      <c r="D63" s="42" t="s">
        <v>122</v>
      </c>
      <c r="E63" s="42" t="s">
        <v>124</v>
      </c>
      <c r="F63" s="45">
        <v>7410</v>
      </c>
      <c r="G63" s="45">
        <v>0.51</v>
      </c>
      <c r="H63" s="42">
        <f t="shared" ref="H63:H115" si="5">F63*G63</f>
        <v>3779.1</v>
      </c>
      <c r="I63" s="42" t="s">
        <v>340</v>
      </c>
      <c r="J63" s="42"/>
      <c r="K63" s="42"/>
    </row>
    <row r="64" s="34" customFormat="1" spans="1:11">
      <c r="A64" s="46">
        <v>45881</v>
      </c>
      <c r="B64" s="42" t="s">
        <v>113</v>
      </c>
      <c r="C64" s="42" t="s">
        <v>1944</v>
      </c>
      <c r="D64" s="42" t="s">
        <v>76</v>
      </c>
      <c r="E64" s="42" t="s">
        <v>124</v>
      </c>
      <c r="F64" s="45">
        <v>6160</v>
      </c>
      <c r="G64" s="45">
        <v>0.46</v>
      </c>
      <c r="H64" s="42">
        <f t="shared" si="5"/>
        <v>2833.6</v>
      </c>
      <c r="I64" s="42" t="s">
        <v>340</v>
      </c>
      <c r="J64" s="42"/>
      <c r="K64" s="42"/>
    </row>
    <row r="65" s="34" customFormat="1" spans="1:11">
      <c r="A65" s="46">
        <v>45881</v>
      </c>
      <c r="B65" s="42" t="s">
        <v>113</v>
      </c>
      <c r="C65" s="42" t="s">
        <v>1944</v>
      </c>
      <c r="D65" s="42" t="s">
        <v>76</v>
      </c>
      <c r="E65" s="42" t="s">
        <v>124</v>
      </c>
      <c r="F65" s="45">
        <v>6160</v>
      </c>
      <c r="G65" s="45">
        <v>0.46</v>
      </c>
      <c r="H65" s="42">
        <f t="shared" si="5"/>
        <v>2833.6</v>
      </c>
      <c r="I65" s="42" t="s">
        <v>340</v>
      </c>
      <c r="J65" s="42"/>
      <c r="K65" s="42"/>
    </row>
    <row r="66" s="34" customFormat="1" spans="1:11">
      <c r="A66" s="46">
        <v>45881</v>
      </c>
      <c r="B66" s="42" t="s">
        <v>113</v>
      </c>
      <c r="C66" s="42" t="s">
        <v>1944</v>
      </c>
      <c r="D66" s="42" t="s">
        <v>76</v>
      </c>
      <c r="E66" s="42" t="s">
        <v>231</v>
      </c>
      <c r="F66" s="45">
        <v>3060</v>
      </c>
      <c r="G66" s="45">
        <v>0.5</v>
      </c>
      <c r="H66" s="42">
        <f t="shared" si="5"/>
        <v>1530</v>
      </c>
      <c r="I66" s="42" t="s">
        <v>1945</v>
      </c>
      <c r="J66" s="42"/>
      <c r="K66" s="42"/>
    </row>
    <row r="67" s="34" customFormat="1" spans="1:11">
      <c r="A67" s="46">
        <v>45881</v>
      </c>
      <c r="B67" s="42" t="s">
        <v>113</v>
      </c>
      <c r="C67" s="42" t="s">
        <v>1944</v>
      </c>
      <c r="D67" s="42" t="s">
        <v>130</v>
      </c>
      <c r="E67" s="42" t="s">
        <v>339</v>
      </c>
      <c r="F67" s="45">
        <v>20120</v>
      </c>
      <c r="G67" s="45">
        <v>0.45</v>
      </c>
      <c r="H67" s="42">
        <f t="shared" si="5"/>
        <v>9054</v>
      </c>
      <c r="I67" s="42" t="s">
        <v>117</v>
      </c>
      <c r="J67" s="42"/>
      <c r="K67" s="42"/>
    </row>
    <row r="68" s="34" customFormat="1" spans="1:11">
      <c r="A68" s="46">
        <v>45881</v>
      </c>
      <c r="B68" s="42" t="s">
        <v>113</v>
      </c>
      <c r="C68" s="42" t="s">
        <v>1944</v>
      </c>
      <c r="D68" s="42" t="s">
        <v>195</v>
      </c>
      <c r="E68" s="42" t="s">
        <v>222</v>
      </c>
      <c r="F68" s="45">
        <v>13700</v>
      </c>
      <c r="G68" s="45">
        <v>0.6</v>
      </c>
      <c r="H68" s="42">
        <f t="shared" si="5"/>
        <v>8220</v>
      </c>
      <c r="I68" s="42" t="s">
        <v>982</v>
      </c>
      <c r="J68" s="42"/>
      <c r="K68" s="42"/>
    </row>
    <row r="69" s="34" customFormat="1" spans="1:11">
      <c r="A69" s="46">
        <v>45881</v>
      </c>
      <c r="B69" s="42" t="s">
        <v>113</v>
      </c>
      <c r="C69" s="42" t="s">
        <v>1946</v>
      </c>
      <c r="D69" s="42" t="s">
        <v>195</v>
      </c>
      <c r="E69" s="42" t="s">
        <v>222</v>
      </c>
      <c r="F69" s="45">
        <v>400</v>
      </c>
      <c r="G69" s="45">
        <v>0.6</v>
      </c>
      <c r="H69" s="42">
        <f t="shared" si="5"/>
        <v>240</v>
      </c>
      <c r="I69" s="42" t="s">
        <v>982</v>
      </c>
      <c r="J69" s="42"/>
      <c r="K69" s="42"/>
    </row>
    <row r="70" s="34" customFormat="1" spans="1:11">
      <c r="A70" s="46">
        <v>45881</v>
      </c>
      <c r="B70" s="42" t="s">
        <v>113</v>
      </c>
      <c r="C70" s="42" t="s">
        <v>1946</v>
      </c>
      <c r="D70" s="42" t="s">
        <v>76</v>
      </c>
      <c r="E70" s="42" t="s">
        <v>339</v>
      </c>
      <c r="F70" s="45">
        <v>4010</v>
      </c>
      <c r="G70" s="45">
        <v>0.48</v>
      </c>
      <c r="H70" s="42">
        <f t="shared" si="5"/>
        <v>1924.8</v>
      </c>
      <c r="I70" s="42" t="s">
        <v>1945</v>
      </c>
      <c r="J70" s="42"/>
      <c r="K70" s="42"/>
    </row>
    <row r="71" s="34" customFormat="1" spans="1:11">
      <c r="A71" s="46">
        <v>45881</v>
      </c>
      <c r="B71" s="42" t="s">
        <v>113</v>
      </c>
      <c r="C71" s="42" t="s">
        <v>1946</v>
      </c>
      <c r="D71" s="42" t="s">
        <v>76</v>
      </c>
      <c r="E71" s="42" t="s">
        <v>339</v>
      </c>
      <c r="F71" s="45">
        <v>6910</v>
      </c>
      <c r="G71" s="45">
        <v>0.48</v>
      </c>
      <c r="H71" s="42">
        <f t="shared" si="5"/>
        <v>3316.8</v>
      </c>
      <c r="I71" s="42" t="s">
        <v>1945</v>
      </c>
      <c r="J71" s="42"/>
      <c r="K71" s="42"/>
    </row>
    <row r="72" s="34" customFormat="1" spans="1:11">
      <c r="A72" s="46">
        <v>45881</v>
      </c>
      <c r="B72" s="42" t="s">
        <v>113</v>
      </c>
      <c r="C72" s="42" t="s">
        <v>1946</v>
      </c>
      <c r="D72" s="42" t="s">
        <v>115</v>
      </c>
      <c r="E72" s="42" t="s">
        <v>1941</v>
      </c>
      <c r="F72" s="45">
        <v>20310</v>
      </c>
      <c r="G72" s="45">
        <v>0.41</v>
      </c>
      <c r="H72" s="42">
        <f t="shared" si="5"/>
        <v>8327.1</v>
      </c>
      <c r="I72" s="42" t="s">
        <v>340</v>
      </c>
      <c r="J72" s="42"/>
      <c r="K72" s="42"/>
    </row>
    <row r="73" s="34" customFormat="1" spans="1:11">
      <c r="A73" s="46">
        <v>45881</v>
      </c>
      <c r="B73" s="42" t="s">
        <v>113</v>
      </c>
      <c r="C73" s="42" t="s">
        <v>1946</v>
      </c>
      <c r="D73" s="42" t="s">
        <v>59</v>
      </c>
      <c r="E73" s="42" t="s">
        <v>60</v>
      </c>
      <c r="F73" s="45">
        <v>310</v>
      </c>
      <c r="G73" s="45">
        <v>0.43</v>
      </c>
      <c r="H73" s="42">
        <f t="shared" si="5"/>
        <v>133.3</v>
      </c>
      <c r="I73" s="42" t="s">
        <v>570</v>
      </c>
      <c r="J73" s="42"/>
      <c r="K73" s="42"/>
    </row>
    <row r="74" s="34" customFormat="1" spans="1:11">
      <c r="A74" s="46">
        <v>45881</v>
      </c>
      <c r="B74" s="42" t="s">
        <v>113</v>
      </c>
      <c r="C74" s="42" t="s">
        <v>1947</v>
      </c>
      <c r="D74" s="42" t="s">
        <v>76</v>
      </c>
      <c r="E74" s="42" t="s">
        <v>339</v>
      </c>
      <c r="F74" s="42">
        <v>20</v>
      </c>
      <c r="G74" s="42">
        <v>0</v>
      </c>
      <c r="H74" s="42">
        <f t="shared" si="5"/>
        <v>0</v>
      </c>
      <c r="I74" s="42" t="s">
        <v>32</v>
      </c>
      <c r="J74" s="42"/>
      <c r="K74" s="42"/>
    </row>
    <row r="75" s="34" customFormat="1" spans="1:11">
      <c r="A75" s="46">
        <v>45882</v>
      </c>
      <c r="B75" s="42" t="s">
        <v>113</v>
      </c>
      <c r="C75" s="42" t="s">
        <v>1948</v>
      </c>
      <c r="D75" s="42" t="s">
        <v>1949</v>
      </c>
      <c r="E75" s="42" t="s">
        <v>60</v>
      </c>
      <c r="F75" s="45">
        <v>6002</v>
      </c>
      <c r="G75" s="45">
        <v>0.5</v>
      </c>
      <c r="H75" s="42">
        <f t="shared" si="5"/>
        <v>3001</v>
      </c>
      <c r="I75" s="42" t="s">
        <v>1950</v>
      </c>
      <c r="J75" s="42"/>
      <c r="K75" s="42"/>
    </row>
    <row r="76" s="34" customFormat="1" spans="1:11">
      <c r="A76" s="46">
        <v>45882</v>
      </c>
      <c r="B76" s="42" t="s">
        <v>113</v>
      </c>
      <c r="C76" s="42" t="s">
        <v>1948</v>
      </c>
      <c r="D76" s="42" t="s">
        <v>130</v>
      </c>
      <c r="E76" s="42" t="s">
        <v>339</v>
      </c>
      <c r="F76" s="42">
        <v>40</v>
      </c>
      <c r="G76" s="42">
        <v>0</v>
      </c>
      <c r="H76" s="42">
        <f t="shared" si="5"/>
        <v>0</v>
      </c>
      <c r="I76" s="42" t="s">
        <v>32</v>
      </c>
      <c r="J76" s="42"/>
      <c r="K76" s="42"/>
    </row>
    <row r="77" s="34" customFormat="1" spans="1:11">
      <c r="A77" s="46">
        <v>45882</v>
      </c>
      <c r="B77" s="42" t="s">
        <v>113</v>
      </c>
      <c r="C77" s="42" t="s">
        <v>1948</v>
      </c>
      <c r="D77" s="42" t="s">
        <v>76</v>
      </c>
      <c r="E77" s="42" t="s">
        <v>339</v>
      </c>
      <c r="F77" s="42">
        <v>40</v>
      </c>
      <c r="G77" s="42">
        <v>0</v>
      </c>
      <c r="H77" s="42">
        <f t="shared" si="5"/>
        <v>0</v>
      </c>
      <c r="I77" s="42" t="s">
        <v>32</v>
      </c>
      <c r="J77" s="42"/>
      <c r="K77" s="42"/>
    </row>
    <row r="78" s="34" customFormat="1" spans="1:11">
      <c r="A78" s="46">
        <v>45882</v>
      </c>
      <c r="B78" s="42" t="s">
        <v>113</v>
      </c>
      <c r="C78" s="42" t="s">
        <v>1948</v>
      </c>
      <c r="D78" s="42" t="s">
        <v>76</v>
      </c>
      <c r="E78" s="42" t="s">
        <v>339</v>
      </c>
      <c r="F78" s="42">
        <v>20</v>
      </c>
      <c r="G78" s="42">
        <v>0</v>
      </c>
      <c r="H78" s="42">
        <f t="shared" si="5"/>
        <v>0</v>
      </c>
      <c r="I78" s="42" t="s">
        <v>32</v>
      </c>
      <c r="J78" s="42"/>
      <c r="K78" s="42"/>
    </row>
    <row r="79" s="34" customFormat="1" spans="1:11">
      <c r="A79" s="46">
        <v>45883</v>
      </c>
      <c r="B79" s="42" t="s">
        <v>113</v>
      </c>
      <c r="C79" s="42" t="s">
        <v>1951</v>
      </c>
      <c r="D79" s="42" t="s">
        <v>1949</v>
      </c>
      <c r="E79" s="42" t="s">
        <v>60</v>
      </c>
      <c r="F79" s="45">
        <v>300</v>
      </c>
      <c r="G79" s="45">
        <v>0.5</v>
      </c>
      <c r="H79" s="42">
        <f t="shared" si="5"/>
        <v>150</v>
      </c>
      <c r="I79" s="42" t="s">
        <v>149</v>
      </c>
      <c r="J79" s="42"/>
      <c r="K79" s="42"/>
    </row>
    <row r="80" s="34" customFormat="1" spans="1:11">
      <c r="A80" s="46">
        <v>45883</v>
      </c>
      <c r="B80" s="42" t="s">
        <v>113</v>
      </c>
      <c r="C80" s="42" t="s">
        <v>1952</v>
      </c>
      <c r="D80" s="42" t="s">
        <v>1949</v>
      </c>
      <c r="E80" s="42" t="s">
        <v>60</v>
      </c>
      <c r="F80" s="42">
        <v>30</v>
      </c>
      <c r="G80" s="42">
        <v>0</v>
      </c>
      <c r="H80" s="42">
        <f t="shared" si="5"/>
        <v>0</v>
      </c>
      <c r="I80" s="42" t="s">
        <v>32</v>
      </c>
      <c r="J80" s="42"/>
      <c r="K80" s="42"/>
    </row>
    <row r="81" s="34" customFormat="1" spans="1:11">
      <c r="A81" s="46">
        <v>45885</v>
      </c>
      <c r="B81" s="42" t="s">
        <v>113</v>
      </c>
      <c r="C81" s="42" t="s">
        <v>1953</v>
      </c>
      <c r="D81" s="42" t="s">
        <v>115</v>
      </c>
      <c r="E81" s="42" t="s">
        <v>339</v>
      </c>
      <c r="F81" s="45">
        <v>5635</v>
      </c>
      <c r="G81" s="45">
        <v>0.48</v>
      </c>
      <c r="H81" s="42">
        <f t="shared" si="5"/>
        <v>2704.8</v>
      </c>
      <c r="I81" s="42" t="s">
        <v>126</v>
      </c>
      <c r="J81" s="42"/>
      <c r="K81" s="42"/>
    </row>
    <row r="82" s="34" customFormat="1" spans="1:11">
      <c r="A82" s="46">
        <v>45885</v>
      </c>
      <c r="B82" s="42" t="s">
        <v>113</v>
      </c>
      <c r="C82" s="42" t="s">
        <v>1953</v>
      </c>
      <c r="D82" s="42" t="s">
        <v>59</v>
      </c>
      <c r="E82" s="42" t="s">
        <v>60</v>
      </c>
      <c r="F82" s="45">
        <v>6035</v>
      </c>
      <c r="G82" s="45">
        <v>0.49</v>
      </c>
      <c r="H82" s="42">
        <f t="shared" si="5"/>
        <v>2957.15</v>
      </c>
      <c r="I82" s="42" t="s">
        <v>982</v>
      </c>
      <c r="J82" s="42"/>
      <c r="K82" s="42"/>
    </row>
    <row r="83" s="34" customFormat="1" spans="1:11">
      <c r="A83" s="46">
        <v>45885</v>
      </c>
      <c r="B83" s="42" t="s">
        <v>113</v>
      </c>
      <c r="C83" s="42" t="s">
        <v>1953</v>
      </c>
      <c r="D83" s="42" t="s">
        <v>1954</v>
      </c>
      <c r="E83" s="42" t="s">
        <v>60</v>
      </c>
      <c r="F83" s="45">
        <v>605</v>
      </c>
      <c r="G83" s="45">
        <v>0.75</v>
      </c>
      <c r="H83" s="42">
        <f t="shared" si="5"/>
        <v>453.75</v>
      </c>
      <c r="I83" s="42" t="s">
        <v>56</v>
      </c>
      <c r="J83" s="42"/>
      <c r="K83" s="42"/>
    </row>
    <row r="84" s="34" customFormat="1" spans="1:11">
      <c r="A84" s="46">
        <v>45886</v>
      </c>
      <c r="B84" s="42" t="s">
        <v>113</v>
      </c>
      <c r="C84" s="42" t="s">
        <v>1955</v>
      </c>
      <c r="D84" s="42" t="s">
        <v>1956</v>
      </c>
      <c r="E84" s="42" t="s">
        <v>62</v>
      </c>
      <c r="F84" s="45">
        <v>24875</v>
      </c>
      <c r="G84" s="45">
        <v>0.52</v>
      </c>
      <c r="H84" s="42">
        <f t="shared" si="5"/>
        <v>12935</v>
      </c>
      <c r="I84" s="42" t="s">
        <v>65</v>
      </c>
      <c r="J84" s="42"/>
      <c r="K84" s="42"/>
    </row>
    <row r="85" s="34" customFormat="1" spans="1:11">
      <c r="A85" s="46">
        <v>45886</v>
      </c>
      <c r="B85" s="42" t="s">
        <v>113</v>
      </c>
      <c r="C85" s="42" t="s">
        <v>1955</v>
      </c>
      <c r="D85" s="42" t="s">
        <v>122</v>
      </c>
      <c r="E85" s="42" t="s">
        <v>60</v>
      </c>
      <c r="F85" s="45">
        <v>4050</v>
      </c>
      <c r="G85" s="45">
        <v>0.48</v>
      </c>
      <c r="H85" s="42">
        <f t="shared" si="5"/>
        <v>1944</v>
      </c>
      <c r="I85" s="42" t="s">
        <v>1465</v>
      </c>
      <c r="J85" s="42"/>
      <c r="K85" s="42"/>
    </row>
    <row r="86" s="34" customFormat="1" spans="1:11">
      <c r="A86" s="46">
        <v>45886</v>
      </c>
      <c r="B86" s="42" t="s">
        <v>113</v>
      </c>
      <c r="C86" s="42" t="s">
        <v>1955</v>
      </c>
      <c r="D86" s="42" t="s">
        <v>115</v>
      </c>
      <c r="E86" s="42" t="s">
        <v>1941</v>
      </c>
      <c r="F86" s="45">
        <v>24420</v>
      </c>
      <c r="G86" s="45">
        <v>0.41</v>
      </c>
      <c r="H86" s="42">
        <f t="shared" si="5"/>
        <v>10012.2</v>
      </c>
      <c r="I86" s="42" t="s">
        <v>340</v>
      </c>
      <c r="J86" s="42"/>
      <c r="K86" s="42"/>
    </row>
    <row r="87" s="34" customFormat="1" spans="1:11">
      <c r="A87" s="46">
        <v>45884</v>
      </c>
      <c r="B87" s="42" t="s">
        <v>113</v>
      </c>
      <c r="C87" s="42" t="s">
        <v>1957</v>
      </c>
      <c r="D87" s="42" t="s">
        <v>1958</v>
      </c>
      <c r="E87" s="42" t="s">
        <v>14</v>
      </c>
      <c r="F87" s="42">
        <v>50</v>
      </c>
      <c r="G87" s="42">
        <v>0</v>
      </c>
      <c r="H87" s="42">
        <f t="shared" si="5"/>
        <v>0</v>
      </c>
      <c r="I87" s="42"/>
      <c r="J87" s="42"/>
      <c r="K87" s="42"/>
    </row>
    <row r="88" s="34" customFormat="1" spans="1:11">
      <c r="A88" s="46">
        <v>45886</v>
      </c>
      <c r="B88" s="42" t="s">
        <v>113</v>
      </c>
      <c r="C88" s="42" t="s">
        <v>1959</v>
      </c>
      <c r="D88" s="42" t="s">
        <v>76</v>
      </c>
      <c r="E88" s="42" t="s">
        <v>339</v>
      </c>
      <c r="F88" s="45">
        <v>6140</v>
      </c>
      <c r="G88" s="45">
        <v>0.48</v>
      </c>
      <c r="H88" s="42">
        <f t="shared" si="5"/>
        <v>2947.2</v>
      </c>
      <c r="I88" s="42" t="s">
        <v>1960</v>
      </c>
      <c r="J88" s="42"/>
      <c r="K88" s="42"/>
    </row>
    <row r="89" s="34" customFormat="1" spans="1:11">
      <c r="A89" s="46">
        <v>45886</v>
      </c>
      <c r="B89" s="42" t="s">
        <v>113</v>
      </c>
      <c r="C89" s="42" t="s">
        <v>1959</v>
      </c>
      <c r="D89" s="42" t="s">
        <v>1749</v>
      </c>
      <c r="E89" s="42" t="s">
        <v>339</v>
      </c>
      <c r="F89" s="45">
        <v>6030</v>
      </c>
      <c r="G89" s="45">
        <v>0.45</v>
      </c>
      <c r="H89" s="42">
        <f t="shared" si="5"/>
        <v>2713.5</v>
      </c>
      <c r="I89" s="42" t="s">
        <v>1960</v>
      </c>
      <c r="J89" s="42"/>
      <c r="K89" s="42"/>
    </row>
    <row r="90" s="34" customFormat="1" spans="1:11">
      <c r="A90" s="46">
        <v>45887</v>
      </c>
      <c r="B90" s="42" t="s">
        <v>113</v>
      </c>
      <c r="C90" s="42" t="s">
        <v>1961</v>
      </c>
      <c r="D90" s="42" t="s">
        <v>128</v>
      </c>
      <c r="E90" s="42" t="s">
        <v>231</v>
      </c>
      <c r="F90" s="45">
        <v>150</v>
      </c>
      <c r="G90" s="45">
        <v>0.57</v>
      </c>
      <c r="H90" s="42">
        <f t="shared" si="5"/>
        <v>85.5</v>
      </c>
      <c r="I90" s="42" t="s">
        <v>1939</v>
      </c>
      <c r="J90" s="42"/>
      <c r="K90" s="42"/>
    </row>
    <row r="91" s="34" customFormat="1" spans="1:11">
      <c r="A91" s="46">
        <v>45887</v>
      </c>
      <c r="B91" s="42" t="s">
        <v>113</v>
      </c>
      <c r="C91" s="42" t="s">
        <v>1961</v>
      </c>
      <c r="D91" s="42" t="s">
        <v>1962</v>
      </c>
      <c r="E91" s="42" t="s">
        <v>231</v>
      </c>
      <c r="F91" s="42">
        <v>10</v>
      </c>
      <c r="G91" s="42">
        <v>0</v>
      </c>
      <c r="H91" s="42">
        <f t="shared" si="5"/>
        <v>0</v>
      </c>
      <c r="I91" s="42" t="s">
        <v>32</v>
      </c>
      <c r="J91" s="42"/>
      <c r="K91" s="42"/>
    </row>
    <row r="92" s="34" customFormat="1" spans="1:11">
      <c r="A92" s="46">
        <v>45888</v>
      </c>
      <c r="B92" s="42" t="s">
        <v>113</v>
      </c>
      <c r="C92" s="42" t="s">
        <v>1963</v>
      </c>
      <c r="D92" s="42" t="s">
        <v>70</v>
      </c>
      <c r="E92" s="42" t="s">
        <v>339</v>
      </c>
      <c r="F92" s="45">
        <v>4010</v>
      </c>
      <c r="G92" s="45">
        <v>0.56</v>
      </c>
      <c r="H92" s="42">
        <f t="shared" si="5"/>
        <v>2245.6</v>
      </c>
      <c r="I92" s="42" t="s">
        <v>373</v>
      </c>
      <c r="J92" s="42"/>
      <c r="K92" s="42"/>
    </row>
    <row r="93" s="34" customFormat="1" spans="1:11">
      <c r="A93" s="46">
        <v>45888</v>
      </c>
      <c r="B93" s="42" t="s">
        <v>113</v>
      </c>
      <c r="C93" s="42" t="s">
        <v>1963</v>
      </c>
      <c r="D93" s="42" t="s">
        <v>76</v>
      </c>
      <c r="E93" s="42" t="s">
        <v>231</v>
      </c>
      <c r="F93" s="45">
        <v>3060</v>
      </c>
      <c r="G93" s="45">
        <v>0.5</v>
      </c>
      <c r="H93" s="42">
        <f t="shared" si="5"/>
        <v>1530</v>
      </c>
      <c r="I93" s="42" t="s">
        <v>1960</v>
      </c>
      <c r="J93" s="42"/>
      <c r="K93" s="42"/>
    </row>
    <row r="94" s="34" customFormat="1" spans="1:11">
      <c r="A94" s="46">
        <v>45889</v>
      </c>
      <c r="B94" s="42" t="s">
        <v>113</v>
      </c>
      <c r="C94" s="42" t="s">
        <v>1964</v>
      </c>
      <c r="D94" s="42" t="s">
        <v>128</v>
      </c>
      <c r="E94" s="42" t="s">
        <v>60</v>
      </c>
      <c r="F94" s="42">
        <v>20</v>
      </c>
      <c r="G94" s="42">
        <v>0</v>
      </c>
      <c r="H94" s="42">
        <f t="shared" si="5"/>
        <v>0</v>
      </c>
      <c r="I94" s="42" t="s">
        <v>32</v>
      </c>
      <c r="J94" s="42"/>
      <c r="K94" s="42"/>
    </row>
    <row r="95" s="34" customFormat="1" spans="1:11">
      <c r="A95" s="46">
        <v>45889</v>
      </c>
      <c r="B95" s="42" t="s">
        <v>113</v>
      </c>
      <c r="C95" s="42" t="s">
        <v>1964</v>
      </c>
      <c r="D95" s="42" t="s">
        <v>115</v>
      </c>
      <c r="E95" s="42" t="s">
        <v>123</v>
      </c>
      <c r="F95" s="45">
        <v>13020</v>
      </c>
      <c r="G95" s="45">
        <v>0.48</v>
      </c>
      <c r="H95" s="42">
        <f t="shared" si="5"/>
        <v>6249.6</v>
      </c>
      <c r="I95" s="42" t="s">
        <v>805</v>
      </c>
      <c r="J95" s="42"/>
      <c r="K95" s="42"/>
    </row>
    <row r="96" s="34" customFormat="1" spans="1:11">
      <c r="A96" s="46">
        <v>45890</v>
      </c>
      <c r="B96" s="42" t="s">
        <v>113</v>
      </c>
      <c r="C96" s="42" t="s">
        <v>1965</v>
      </c>
      <c r="D96" s="42" t="s">
        <v>76</v>
      </c>
      <c r="E96" s="42" t="s">
        <v>760</v>
      </c>
      <c r="F96" s="45">
        <v>16120</v>
      </c>
      <c r="G96" s="45">
        <v>0.5</v>
      </c>
      <c r="H96" s="42">
        <f t="shared" si="5"/>
        <v>8060</v>
      </c>
      <c r="I96" s="42" t="s">
        <v>117</v>
      </c>
      <c r="J96" s="42"/>
      <c r="K96" s="42"/>
    </row>
    <row r="97" s="33" customFormat="1" spans="1:11">
      <c r="A97" s="44">
        <v>45891</v>
      </c>
      <c r="B97" s="45" t="s">
        <v>113</v>
      </c>
      <c r="C97" s="45" t="s">
        <v>1966</v>
      </c>
      <c r="D97" s="45" t="s">
        <v>70</v>
      </c>
      <c r="E97" s="45" t="s">
        <v>1967</v>
      </c>
      <c r="F97" s="45">
        <v>4010</v>
      </c>
      <c r="G97" s="45">
        <v>0.54</v>
      </c>
      <c r="H97" s="45">
        <f t="shared" si="5"/>
        <v>2165.4</v>
      </c>
      <c r="I97" s="45" t="s">
        <v>373</v>
      </c>
      <c r="J97" s="45"/>
      <c r="K97" s="45"/>
    </row>
    <row r="98" s="34" customFormat="1" spans="1:11">
      <c r="A98" s="46">
        <v>45892</v>
      </c>
      <c r="B98" s="42" t="s">
        <v>113</v>
      </c>
      <c r="C98" s="42" t="s">
        <v>1968</v>
      </c>
      <c r="D98" s="42" t="s">
        <v>59</v>
      </c>
      <c r="E98" s="42" t="s">
        <v>62</v>
      </c>
      <c r="F98" s="45">
        <v>20660</v>
      </c>
      <c r="G98" s="45">
        <v>0.43</v>
      </c>
      <c r="H98" s="42">
        <f t="shared" si="5"/>
        <v>8883.8</v>
      </c>
      <c r="I98" s="42" t="s">
        <v>433</v>
      </c>
      <c r="J98" s="42"/>
      <c r="K98" s="42"/>
    </row>
    <row r="99" s="34" customFormat="1" spans="1:11">
      <c r="A99" s="46">
        <v>45892</v>
      </c>
      <c r="B99" s="42" t="s">
        <v>113</v>
      </c>
      <c r="C99" s="42" t="s">
        <v>1968</v>
      </c>
      <c r="D99" s="42" t="s">
        <v>1749</v>
      </c>
      <c r="E99" s="42" t="s">
        <v>339</v>
      </c>
      <c r="F99" s="45">
        <v>510</v>
      </c>
      <c r="G99" s="45">
        <v>0.45</v>
      </c>
      <c r="H99" s="42">
        <f t="shared" si="5"/>
        <v>229.5</v>
      </c>
      <c r="I99" s="42" t="s">
        <v>117</v>
      </c>
      <c r="J99" s="42"/>
      <c r="K99" s="42"/>
    </row>
    <row r="100" s="34" customFormat="1" spans="1:11">
      <c r="A100" s="46">
        <v>45892</v>
      </c>
      <c r="B100" s="42" t="s">
        <v>113</v>
      </c>
      <c r="C100" s="42" t="s">
        <v>1968</v>
      </c>
      <c r="D100" s="42" t="s">
        <v>1962</v>
      </c>
      <c r="E100" s="42" t="s">
        <v>62</v>
      </c>
      <c r="F100" s="45">
        <v>260</v>
      </c>
      <c r="G100" s="45">
        <v>0.6</v>
      </c>
      <c r="H100" s="42">
        <f t="shared" si="5"/>
        <v>156</v>
      </c>
      <c r="I100" s="42" t="s">
        <v>982</v>
      </c>
      <c r="J100" s="42"/>
      <c r="K100" s="42"/>
    </row>
    <row r="101" s="34" customFormat="1" spans="1:11">
      <c r="A101" s="46">
        <v>45892</v>
      </c>
      <c r="B101" s="42" t="s">
        <v>113</v>
      </c>
      <c r="C101" s="42" t="s">
        <v>1968</v>
      </c>
      <c r="D101" s="42" t="s">
        <v>1962</v>
      </c>
      <c r="E101" s="42" t="s">
        <v>60</v>
      </c>
      <c r="F101" s="45">
        <v>10</v>
      </c>
      <c r="G101" s="45">
        <v>0</v>
      </c>
      <c r="H101" s="42">
        <f t="shared" si="5"/>
        <v>0</v>
      </c>
      <c r="I101" s="42" t="s">
        <v>32</v>
      </c>
      <c r="J101" s="42"/>
      <c r="K101" s="42"/>
    </row>
    <row r="102" s="34" customFormat="1" spans="1:11">
      <c r="A102" s="46">
        <v>45892</v>
      </c>
      <c r="B102" s="42" t="s">
        <v>113</v>
      </c>
      <c r="C102" s="42" t="s">
        <v>1968</v>
      </c>
      <c r="D102" s="42" t="s">
        <v>1749</v>
      </c>
      <c r="E102" s="42" t="s">
        <v>14</v>
      </c>
      <c r="F102" s="45">
        <v>10</v>
      </c>
      <c r="G102" s="45">
        <v>0</v>
      </c>
      <c r="H102" s="42">
        <f t="shared" si="5"/>
        <v>0</v>
      </c>
      <c r="I102" s="42" t="s">
        <v>32</v>
      </c>
      <c r="J102" s="42"/>
      <c r="K102" s="42"/>
    </row>
    <row r="103" s="34" customFormat="1" spans="1:11">
      <c r="A103" s="46">
        <v>45893</v>
      </c>
      <c r="B103" s="42" t="s">
        <v>113</v>
      </c>
      <c r="C103" s="42" t="s">
        <v>1969</v>
      </c>
      <c r="D103" s="42" t="s">
        <v>115</v>
      </c>
      <c r="E103" s="42" t="s">
        <v>339</v>
      </c>
      <c r="F103" s="45">
        <v>56350</v>
      </c>
      <c r="G103" s="45">
        <v>0.45</v>
      </c>
      <c r="H103" s="42">
        <f t="shared" si="5"/>
        <v>25357.5</v>
      </c>
      <c r="I103" s="42" t="s">
        <v>126</v>
      </c>
      <c r="J103" s="42"/>
      <c r="K103" s="42"/>
    </row>
    <row r="104" s="34" customFormat="1" spans="1:11">
      <c r="A104" s="46">
        <v>45894</v>
      </c>
      <c r="B104" s="42" t="s">
        <v>113</v>
      </c>
      <c r="C104" s="42" t="s">
        <v>1970</v>
      </c>
      <c r="D104" s="42" t="s">
        <v>196</v>
      </c>
      <c r="E104" s="42" t="s">
        <v>60</v>
      </c>
      <c r="F104" s="45">
        <v>5000</v>
      </c>
      <c r="G104" s="45">
        <v>0.75</v>
      </c>
      <c r="H104" s="42">
        <f t="shared" si="5"/>
        <v>3750</v>
      </c>
      <c r="I104" s="42" t="s">
        <v>56</v>
      </c>
      <c r="J104" s="42"/>
      <c r="K104" s="42"/>
    </row>
    <row r="105" s="34" customFormat="1" spans="1:11">
      <c r="A105" s="46">
        <v>45894</v>
      </c>
      <c r="B105" s="42" t="s">
        <v>113</v>
      </c>
      <c r="C105" s="42" t="s">
        <v>1970</v>
      </c>
      <c r="D105" s="42" t="s">
        <v>115</v>
      </c>
      <c r="E105" s="42" t="s">
        <v>62</v>
      </c>
      <c r="F105" s="45">
        <v>15416</v>
      </c>
      <c r="G105" s="45">
        <v>0.45</v>
      </c>
      <c r="H105" s="42">
        <f t="shared" si="5"/>
        <v>6937.2</v>
      </c>
      <c r="I105" s="42" t="s">
        <v>65</v>
      </c>
      <c r="J105" s="42"/>
      <c r="K105" s="42"/>
    </row>
    <row r="106" s="34" customFormat="1" spans="1:11">
      <c r="A106" s="46">
        <v>45894</v>
      </c>
      <c r="B106" s="42" t="s">
        <v>113</v>
      </c>
      <c r="C106" s="42" t="s">
        <v>1970</v>
      </c>
      <c r="D106" s="42" t="s">
        <v>130</v>
      </c>
      <c r="E106" s="42" t="s">
        <v>60</v>
      </c>
      <c r="F106" s="45">
        <v>6030</v>
      </c>
      <c r="G106" s="45">
        <v>0.38</v>
      </c>
      <c r="H106" s="42">
        <f t="shared" si="5"/>
        <v>2291.4</v>
      </c>
      <c r="I106" s="42" t="s">
        <v>982</v>
      </c>
      <c r="J106" s="42"/>
      <c r="K106" s="42"/>
    </row>
    <row r="107" s="34" customFormat="1" spans="1:11">
      <c r="A107" s="46">
        <v>45895</v>
      </c>
      <c r="B107" s="42" t="s">
        <v>113</v>
      </c>
      <c r="C107" s="42" t="s">
        <v>1971</v>
      </c>
      <c r="D107" s="42" t="s">
        <v>76</v>
      </c>
      <c r="E107" s="42" t="s">
        <v>60</v>
      </c>
      <c r="F107" s="45">
        <v>6010</v>
      </c>
      <c r="G107" s="45">
        <v>0.43</v>
      </c>
      <c r="H107" s="42">
        <f t="shared" si="5"/>
        <v>2584.3</v>
      </c>
      <c r="I107" s="42" t="s">
        <v>1465</v>
      </c>
      <c r="J107" s="42"/>
      <c r="K107" s="42"/>
    </row>
    <row r="108" s="34" customFormat="1" spans="1:11">
      <c r="A108" s="46">
        <v>45895</v>
      </c>
      <c r="B108" s="42" t="s">
        <v>113</v>
      </c>
      <c r="C108" s="42" t="s">
        <v>1971</v>
      </c>
      <c r="D108" s="42" t="s">
        <v>122</v>
      </c>
      <c r="E108" s="42" t="s">
        <v>60</v>
      </c>
      <c r="F108" s="45">
        <v>40320</v>
      </c>
      <c r="G108" s="45">
        <v>0.46</v>
      </c>
      <c r="H108" s="42">
        <f t="shared" si="5"/>
        <v>18547.2</v>
      </c>
      <c r="I108" s="42" t="s">
        <v>126</v>
      </c>
      <c r="J108" s="42"/>
      <c r="K108" s="42"/>
    </row>
    <row r="109" s="34" customFormat="1" spans="1:11">
      <c r="A109" s="46">
        <v>45895</v>
      </c>
      <c r="B109" s="42" t="s">
        <v>113</v>
      </c>
      <c r="C109" s="42" t="s">
        <v>1971</v>
      </c>
      <c r="D109" s="42" t="s">
        <v>59</v>
      </c>
      <c r="E109" s="42" t="s">
        <v>60</v>
      </c>
      <c r="F109" s="45">
        <v>4125</v>
      </c>
      <c r="G109" s="45">
        <v>0.43</v>
      </c>
      <c r="H109" s="42">
        <f t="shared" si="5"/>
        <v>1773.75</v>
      </c>
      <c r="I109" s="42" t="s">
        <v>35</v>
      </c>
      <c r="J109" s="42"/>
      <c r="K109" s="42"/>
    </row>
    <row r="110" s="34" customFormat="1" spans="1:11">
      <c r="A110" s="46">
        <v>45895</v>
      </c>
      <c r="B110" s="42" t="s">
        <v>113</v>
      </c>
      <c r="C110" s="42" t="s">
        <v>1971</v>
      </c>
      <c r="D110" s="42" t="s">
        <v>59</v>
      </c>
      <c r="E110" s="42" t="s">
        <v>123</v>
      </c>
      <c r="F110" s="45">
        <v>200</v>
      </c>
      <c r="G110" s="45">
        <v>0.45</v>
      </c>
      <c r="H110" s="42">
        <f t="shared" si="5"/>
        <v>90</v>
      </c>
      <c r="I110" s="42" t="s">
        <v>35</v>
      </c>
      <c r="J110" s="42"/>
      <c r="K110" s="42"/>
    </row>
    <row r="111" spans="1:11">
      <c r="A111" s="44">
        <v>45881</v>
      </c>
      <c r="B111" s="45" t="s">
        <v>260</v>
      </c>
      <c r="C111" s="45" t="s">
        <v>1972</v>
      </c>
      <c r="D111" s="45" t="s">
        <v>18</v>
      </c>
      <c r="E111" s="45" t="s">
        <v>14</v>
      </c>
      <c r="F111" s="45">
        <v>102</v>
      </c>
      <c r="G111" s="45">
        <v>0.72</v>
      </c>
      <c r="H111" s="45">
        <f t="shared" si="5"/>
        <v>73.44</v>
      </c>
      <c r="I111" s="45" t="s">
        <v>126</v>
      </c>
      <c r="J111" s="43" t="s">
        <v>16</v>
      </c>
      <c r="K111" s="43"/>
    </row>
    <row r="112" spans="1:11">
      <c r="A112" s="44">
        <v>45891</v>
      </c>
      <c r="B112" s="45" t="s">
        <v>260</v>
      </c>
      <c r="C112" s="45" t="s">
        <v>1973</v>
      </c>
      <c r="D112" s="45" t="s">
        <v>21</v>
      </c>
      <c r="E112" s="45" t="s">
        <v>14</v>
      </c>
      <c r="F112" s="45">
        <v>60</v>
      </c>
      <c r="G112" s="45">
        <v>1</v>
      </c>
      <c r="H112" s="45">
        <f t="shared" si="5"/>
        <v>60</v>
      </c>
      <c r="I112" s="45" t="s">
        <v>1429</v>
      </c>
      <c r="J112" s="43" t="s">
        <v>16</v>
      </c>
      <c r="K112" s="43"/>
    </row>
    <row r="113" spans="1:11">
      <c r="A113" s="44">
        <v>45872</v>
      </c>
      <c r="B113" s="45" t="s">
        <v>521</v>
      </c>
      <c r="C113" s="45" t="s">
        <v>1974</v>
      </c>
      <c r="D113" s="45" t="s">
        <v>374</v>
      </c>
      <c r="E113" s="45" t="s">
        <v>14</v>
      </c>
      <c r="F113" s="45">
        <v>24985</v>
      </c>
      <c r="G113" s="45">
        <v>0.85</v>
      </c>
      <c r="H113" s="45">
        <f t="shared" si="5"/>
        <v>21237.25</v>
      </c>
      <c r="I113" s="45" t="s">
        <v>117</v>
      </c>
      <c r="J113" s="43" t="s">
        <v>46</v>
      </c>
      <c r="K113" s="43"/>
    </row>
    <row r="114" spans="1:11">
      <c r="A114" s="44">
        <v>45875</v>
      </c>
      <c r="B114" s="45" t="s">
        <v>521</v>
      </c>
      <c r="C114" s="45" t="s">
        <v>1975</v>
      </c>
      <c r="D114" s="45" t="s">
        <v>47</v>
      </c>
      <c r="E114" s="45" t="s">
        <v>14</v>
      </c>
      <c r="F114" s="45">
        <v>100000</v>
      </c>
      <c r="G114" s="45">
        <v>0.85</v>
      </c>
      <c r="H114" s="45">
        <f t="shared" si="5"/>
        <v>85000</v>
      </c>
      <c r="I114" s="45" t="s">
        <v>117</v>
      </c>
      <c r="J114" s="43"/>
      <c r="K114" s="43"/>
    </row>
    <row r="115" spans="1:11">
      <c r="A115" s="41">
        <v>45870</v>
      </c>
      <c r="B115" s="45" t="s">
        <v>879</v>
      </c>
      <c r="C115" s="45" t="s">
        <v>1976</v>
      </c>
      <c r="D115" s="45" t="s">
        <v>881</v>
      </c>
      <c r="E115" s="45" t="s">
        <v>14</v>
      </c>
      <c r="F115" s="45">
        <v>3010</v>
      </c>
      <c r="G115" s="45">
        <v>2.2</v>
      </c>
      <c r="H115" s="45">
        <f t="shared" si="5"/>
        <v>6622</v>
      </c>
      <c r="I115" s="45" t="s">
        <v>437</v>
      </c>
      <c r="J115" s="45" t="s">
        <v>46</v>
      </c>
      <c r="K115" s="43"/>
    </row>
    <row r="116" spans="1:11">
      <c r="A116" s="41">
        <v>45873</v>
      </c>
      <c r="B116" s="43" t="s">
        <v>1588</v>
      </c>
      <c r="C116" s="43">
        <v>2025080401</v>
      </c>
      <c r="D116" s="43" t="s">
        <v>1977</v>
      </c>
      <c r="E116" s="43" t="s">
        <v>447</v>
      </c>
      <c r="F116" s="45">
        <v>10</v>
      </c>
      <c r="G116" s="45">
        <v>4.3</v>
      </c>
      <c r="H116" s="43">
        <f t="shared" ref="H116:H123" si="6">F116*G116</f>
        <v>43</v>
      </c>
      <c r="I116" s="43" t="s">
        <v>32</v>
      </c>
      <c r="J116" s="43"/>
      <c r="K116" s="43"/>
    </row>
    <row r="117" spans="1:11">
      <c r="A117" s="41">
        <v>45882</v>
      </c>
      <c r="B117" s="43" t="s">
        <v>1588</v>
      </c>
      <c r="C117" s="43" t="s">
        <v>1978</v>
      </c>
      <c r="D117" s="43" t="s">
        <v>875</v>
      </c>
      <c r="E117" s="43" t="s">
        <v>447</v>
      </c>
      <c r="F117" s="45">
        <v>1010</v>
      </c>
      <c r="G117" s="45">
        <v>1.95</v>
      </c>
      <c r="H117" s="45">
        <f t="shared" si="6"/>
        <v>1969.5</v>
      </c>
      <c r="I117" s="43" t="s">
        <v>406</v>
      </c>
      <c r="J117" s="43"/>
      <c r="K117" s="43"/>
    </row>
    <row r="118" spans="1:11">
      <c r="A118" s="41">
        <v>45883</v>
      </c>
      <c r="B118" s="43" t="s">
        <v>1588</v>
      </c>
      <c r="C118" s="43" t="s">
        <v>1979</v>
      </c>
      <c r="D118" s="43" t="s">
        <v>871</v>
      </c>
      <c r="E118" s="43" t="s">
        <v>1601</v>
      </c>
      <c r="F118" s="45">
        <v>4025</v>
      </c>
      <c r="G118" s="45">
        <v>3.5</v>
      </c>
      <c r="H118" s="45">
        <f t="shared" si="6"/>
        <v>14087.5</v>
      </c>
      <c r="I118" s="43" t="s">
        <v>872</v>
      </c>
      <c r="J118" s="43"/>
      <c r="K118" s="43"/>
    </row>
    <row r="119" spans="1:11">
      <c r="A119" s="41">
        <v>45883</v>
      </c>
      <c r="B119" s="43" t="s">
        <v>1588</v>
      </c>
      <c r="C119" s="43" t="s">
        <v>1979</v>
      </c>
      <c r="D119" s="43" t="s">
        <v>871</v>
      </c>
      <c r="E119" s="43" t="s">
        <v>1601</v>
      </c>
      <c r="F119" s="45">
        <v>6050</v>
      </c>
      <c r="G119" s="45">
        <v>3.5</v>
      </c>
      <c r="H119" s="45">
        <f t="shared" si="6"/>
        <v>21175</v>
      </c>
      <c r="I119" s="43" t="s">
        <v>872</v>
      </c>
      <c r="J119" s="43"/>
      <c r="K119" s="43"/>
    </row>
    <row r="120" spans="1:11">
      <c r="A120" s="41">
        <v>45883</v>
      </c>
      <c r="B120" s="43" t="s">
        <v>1588</v>
      </c>
      <c r="C120" s="43" t="s">
        <v>1979</v>
      </c>
      <c r="D120" s="43" t="s">
        <v>871</v>
      </c>
      <c r="E120" s="43" t="s">
        <v>1601</v>
      </c>
      <c r="F120" s="45">
        <v>25</v>
      </c>
      <c r="G120" s="45">
        <v>3.5</v>
      </c>
      <c r="H120" s="45">
        <f t="shared" si="6"/>
        <v>87.5</v>
      </c>
      <c r="I120" s="43" t="s">
        <v>872</v>
      </c>
      <c r="J120" s="43"/>
      <c r="K120" s="43"/>
    </row>
    <row r="121" spans="1:11">
      <c r="A121" s="41">
        <v>45887</v>
      </c>
      <c r="B121" s="43" t="s">
        <v>1588</v>
      </c>
      <c r="C121" s="43" t="s">
        <v>1980</v>
      </c>
      <c r="D121" s="43" t="s">
        <v>875</v>
      </c>
      <c r="E121" s="43" t="s">
        <v>447</v>
      </c>
      <c r="F121" s="45">
        <v>60</v>
      </c>
      <c r="G121" s="45">
        <v>1.95</v>
      </c>
      <c r="H121" s="45">
        <f t="shared" si="6"/>
        <v>117</v>
      </c>
      <c r="I121" s="43" t="s">
        <v>406</v>
      </c>
      <c r="J121" s="43"/>
      <c r="K121" s="43"/>
    </row>
    <row r="122" spans="1:11">
      <c r="A122" s="41">
        <v>45889</v>
      </c>
      <c r="B122" s="43" t="s">
        <v>1588</v>
      </c>
      <c r="C122" s="43" t="s">
        <v>1981</v>
      </c>
      <c r="D122" s="43" t="s">
        <v>478</v>
      </c>
      <c r="E122" s="43" t="s">
        <v>99</v>
      </c>
      <c r="F122" s="45">
        <v>32</v>
      </c>
      <c r="G122" s="45">
        <v>5.8</v>
      </c>
      <c r="H122" s="45">
        <f t="shared" si="6"/>
        <v>185.6</v>
      </c>
      <c r="I122" s="43" t="s">
        <v>28</v>
      </c>
      <c r="J122" s="43"/>
      <c r="K122" s="43"/>
    </row>
    <row r="123" spans="1:11">
      <c r="A123" s="41">
        <v>45896</v>
      </c>
      <c r="B123" s="43" t="s">
        <v>1588</v>
      </c>
      <c r="C123" s="43" t="s">
        <v>1982</v>
      </c>
      <c r="D123" s="43" t="s">
        <v>875</v>
      </c>
      <c r="E123" s="43" t="s">
        <v>447</v>
      </c>
      <c r="F123" s="45">
        <v>605</v>
      </c>
      <c r="G123" s="45">
        <v>2.2</v>
      </c>
      <c r="H123" s="45">
        <f t="shared" si="6"/>
        <v>1331</v>
      </c>
      <c r="I123" s="43" t="s">
        <v>587</v>
      </c>
      <c r="J123" s="43"/>
      <c r="K123" s="43"/>
    </row>
    <row r="124" spans="1:11">
      <c r="A124" s="41">
        <v>45875</v>
      </c>
      <c r="B124" s="43" t="s">
        <v>821</v>
      </c>
      <c r="C124" s="87" t="s">
        <v>1983</v>
      </c>
      <c r="D124" s="43" t="s">
        <v>1984</v>
      </c>
      <c r="E124" s="43" t="s">
        <v>1629</v>
      </c>
      <c r="F124" s="43">
        <v>2000</v>
      </c>
      <c r="G124" s="43">
        <v>0.43</v>
      </c>
      <c r="H124" s="43">
        <f t="shared" ref="H124:H154" si="7">F124*G124</f>
        <v>860</v>
      </c>
      <c r="I124" s="43" t="s">
        <v>1429</v>
      </c>
      <c r="J124" s="43" t="s">
        <v>46</v>
      </c>
      <c r="K124" s="43" t="s">
        <v>1985</v>
      </c>
    </row>
    <row r="125" customFormat="1" spans="1:11">
      <c r="A125" s="41">
        <v>45877</v>
      </c>
      <c r="B125" s="43" t="s">
        <v>821</v>
      </c>
      <c r="C125" s="87" t="s">
        <v>1986</v>
      </c>
      <c r="D125" s="43" t="s">
        <v>314</v>
      </c>
      <c r="E125" s="43" t="s">
        <v>1987</v>
      </c>
      <c r="F125" s="43">
        <v>2700</v>
      </c>
      <c r="G125" s="43">
        <v>0.38</v>
      </c>
      <c r="H125" s="43">
        <f t="shared" si="7"/>
        <v>1026</v>
      </c>
      <c r="I125" s="43" t="s">
        <v>271</v>
      </c>
      <c r="J125" s="43" t="s">
        <v>46</v>
      </c>
      <c r="K125" s="43"/>
    </row>
    <row r="126" s="33" customFormat="1" spans="1:11">
      <c r="A126" s="44">
        <v>45875</v>
      </c>
      <c r="B126" s="45" t="s">
        <v>101</v>
      </c>
      <c r="C126" s="45">
        <v>20250801</v>
      </c>
      <c r="D126" s="45" t="s">
        <v>107</v>
      </c>
      <c r="E126" s="45" t="s">
        <v>222</v>
      </c>
      <c r="F126" s="45">
        <v>205</v>
      </c>
      <c r="G126" s="45">
        <v>0.8</v>
      </c>
      <c r="H126" s="45">
        <f t="shared" si="7"/>
        <v>164</v>
      </c>
      <c r="I126" s="33" t="s">
        <v>1988</v>
      </c>
      <c r="J126" s="45"/>
      <c r="K126" s="45"/>
    </row>
    <row r="127" s="33" customFormat="1" spans="1:11">
      <c r="A127" s="46">
        <v>45877</v>
      </c>
      <c r="B127" s="42" t="s">
        <v>101</v>
      </c>
      <c r="C127" s="42">
        <v>20250808</v>
      </c>
      <c r="D127" s="42" t="s">
        <v>84</v>
      </c>
      <c r="E127" s="42" t="s">
        <v>1405</v>
      </c>
      <c r="F127" s="45">
        <v>2010</v>
      </c>
      <c r="G127" s="45">
        <v>1.2</v>
      </c>
      <c r="H127" s="42">
        <f t="shared" si="7"/>
        <v>2412</v>
      </c>
      <c r="I127" s="42" t="s">
        <v>106</v>
      </c>
      <c r="J127" s="45"/>
      <c r="K127" s="45"/>
    </row>
    <row r="128" s="33" customFormat="1" spans="1:11">
      <c r="A128" s="46">
        <v>45877</v>
      </c>
      <c r="B128" s="42" t="s">
        <v>101</v>
      </c>
      <c r="C128" s="42">
        <v>20250808</v>
      </c>
      <c r="D128" s="42" t="s">
        <v>1989</v>
      </c>
      <c r="E128" s="42" t="s">
        <v>1405</v>
      </c>
      <c r="F128" s="45">
        <v>1010</v>
      </c>
      <c r="G128" s="45">
        <v>1.1</v>
      </c>
      <c r="H128" s="42">
        <f t="shared" si="7"/>
        <v>1111</v>
      </c>
      <c r="I128" s="42" t="s">
        <v>106</v>
      </c>
      <c r="J128" s="45"/>
      <c r="K128" s="45"/>
    </row>
    <row r="129" s="33" customFormat="1" spans="1:11">
      <c r="A129" s="46">
        <v>45874</v>
      </c>
      <c r="B129" s="42" t="s">
        <v>101</v>
      </c>
      <c r="C129" s="42">
        <v>20250805</v>
      </c>
      <c r="D129" s="42" t="s">
        <v>1989</v>
      </c>
      <c r="E129" s="42" t="s">
        <v>1405</v>
      </c>
      <c r="F129" s="45">
        <v>1010</v>
      </c>
      <c r="G129" s="45">
        <v>1.1</v>
      </c>
      <c r="H129" s="42">
        <f t="shared" si="7"/>
        <v>1111</v>
      </c>
      <c r="I129" s="42" t="s">
        <v>106</v>
      </c>
      <c r="J129" s="45"/>
      <c r="K129" s="45"/>
    </row>
    <row r="130" s="33" customFormat="1" spans="1:11">
      <c r="A130" s="46">
        <v>45878</v>
      </c>
      <c r="B130" s="42" t="s">
        <v>101</v>
      </c>
      <c r="C130" s="42">
        <v>20250809</v>
      </c>
      <c r="D130" s="42" t="s">
        <v>368</v>
      </c>
      <c r="E130" s="42" t="s">
        <v>14</v>
      </c>
      <c r="F130" s="45">
        <v>26100</v>
      </c>
      <c r="G130" s="45">
        <v>0.78</v>
      </c>
      <c r="H130" s="42">
        <f t="shared" si="7"/>
        <v>20358</v>
      </c>
      <c r="I130" s="42" t="s">
        <v>61</v>
      </c>
      <c r="J130" s="43" t="s">
        <v>46</v>
      </c>
      <c r="K130" s="45"/>
    </row>
    <row r="131" s="33" customFormat="1" spans="1:11">
      <c r="A131" s="46">
        <v>45882</v>
      </c>
      <c r="B131" s="42" t="s">
        <v>101</v>
      </c>
      <c r="C131" s="42">
        <v>20250813</v>
      </c>
      <c r="D131" s="42" t="s">
        <v>107</v>
      </c>
      <c r="E131" s="45" t="s">
        <v>62</v>
      </c>
      <c r="F131" s="45">
        <v>8230</v>
      </c>
      <c r="G131" s="45">
        <v>0.75</v>
      </c>
      <c r="H131" s="42">
        <f t="shared" si="7"/>
        <v>6172.5</v>
      </c>
      <c r="I131" s="42" t="s">
        <v>45</v>
      </c>
      <c r="J131" s="43"/>
      <c r="K131" s="45"/>
    </row>
    <row r="132" s="33" customFormat="1" spans="1:11">
      <c r="A132" s="46">
        <v>45885</v>
      </c>
      <c r="B132" s="42" t="s">
        <v>101</v>
      </c>
      <c r="C132" s="42">
        <v>20250806</v>
      </c>
      <c r="D132" s="42" t="s">
        <v>115</v>
      </c>
      <c r="E132" s="45" t="s">
        <v>60</v>
      </c>
      <c r="F132" s="45">
        <v>6090</v>
      </c>
      <c r="G132" s="45">
        <v>0.5</v>
      </c>
      <c r="H132" s="42">
        <f t="shared" si="7"/>
        <v>3045</v>
      </c>
      <c r="I132" s="42" t="s">
        <v>65</v>
      </c>
      <c r="J132" s="43"/>
      <c r="K132" s="45"/>
    </row>
    <row r="133" s="33" customFormat="1" spans="1:11">
      <c r="A133" s="46">
        <v>45885</v>
      </c>
      <c r="B133" s="42" t="s">
        <v>101</v>
      </c>
      <c r="C133" s="42">
        <v>20250806</v>
      </c>
      <c r="D133" s="42" t="s">
        <v>1299</v>
      </c>
      <c r="E133" s="45" t="s">
        <v>123</v>
      </c>
      <c r="F133" s="45">
        <v>10430</v>
      </c>
      <c r="G133" s="45">
        <v>0.93</v>
      </c>
      <c r="H133" s="42">
        <f t="shared" si="7"/>
        <v>9699.9</v>
      </c>
      <c r="I133" s="42" t="s">
        <v>1990</v>
      </c>
      <c r="J133" s="43"/>
      <c r="K133" s="45"/>
    </row>
    <row r="134" s="33" customFormat="1" spans="1:11">
      <c r="A134" s="46">
        <v>45885</v>
      </c>
      <c r="B134" s="42" t="s">
        <v>101</v>
      </c>
      <c r="C134" s="42">
        <v>20250806</v>
      </c>
      <c r="D134" s="42" t="s">
        <v>362</v>
      </c>
      <c r="E134" s="45" t="s">
        <v>123</v>
      </c>
      <c r="F134" s="45">
        <v>6055</v>
      </c>
      <c r="G134" s="45">
        <v>0.95</v>
      </c>
      <c r="H134" s="42">
        <f t="shared" si="7"/>
        <v>5752.25</v>
      </c>
      <c r="I134" s="42" t="s">
        <v>503</v>
      </c>
      <c r="J134" s="43"/>
      <c r="K134" s="45"/>
    </row>
    <row r="135" s="33" customFormat="1" spans="1:11">
      <c r="A135" s="46">
        <v>45885</v>
      </c>
      <c r="B135" s="42" t="s">
        <v>101</v>
      </c>
      <c r="C135" s="42">
        <v>20250806</v>
      </c>
      <c r="D135" s="42" t="s">
        <v>1299</v>
      </c>
      <c r="E135" s="45" t="s">
        <v>123</v>
      </c>
      <c r="F135" s="45">
        <v>6605</v>
      </c>
      <c r="G135" s="45">
        <v>0.93</v>
      </c>
      <c r="H135" s="42">
        <f t="shared" si="7"/>
        <v>6142.65</v>
      </c>
      <c r="I135" s="42" t="s">
        <v>1990</v>
      </c>
      <c r="J135" s="43"/>
      <c r="K135" s="45"/>
    </row>
    <row r="136" s="33" customFormat="1" spans="1:11">
      <c r="A136" s="46">
        <v>45886</v>
      </c>
      <c r="B136" s="42" t="s">
        <v>101</v>
      </c>
      <c r="C136" s="42">
        <v>20250807</v>
      </c>
      <c r="D136" s="42" t="s">
        <v>84</v>
      </c>
      <c r="E136" s="42" t="s">
        <v>1405</v>
      </c>
      <c r="F136" s="45">
        <v>3060</v>
      </c>
      <c r="G136" s="45">
        <v>1.2</v>
      </c>
      <c r="H136" s="42">
        <f t="shared" si="7"/>
        <v>3672</v>
      </c>
      <c r="I136" s="42" t="s">
        <v>466</v>
      </c>
      <c r="J136" s="43"/>
      <c r="K136" s="45"/>
    </row>
    <row r="137" s="33" customFormat="1" spans="1:11">
      <c r="A137" s="46">
        <v>45887</v>
      </c>
      <c r="B137" s="42" t="s">
        <v>101</v>
      </c>
      <c r="C137" s="42">
        <v>20250808</v>
      </c>
      <c r="D137" s="42" t="s">
        <v>115</v>
      </c>
      <c r="E137" s="45" t="s">
        <v>60</v>
      </c>
      <c r="F137" s="45">
        <v>8235</v>
      </c>
      <c r="G137" s="45">
        <v>0.5</v>
      </c>
      <c r="H137" s="42">
        <f t="shared" si="7"/>
        <v>4117.5</v>
      </c>
      <c r="I137" s="42" t="s">
        <v>71</v>
      </c>
      <c r="J137" s="43"/>
      <c r="K137" s="45"/>
    </row>
    <row r="138" s="33" customFormat="1" spans="1:11">
      <c r="A138" s="46">
        <v>45890</v>
      </c>
      <c r="B138" s="42" t="s">
        <v>101</v>
      </c>
      <c r="C138" s="42">
        <v>20250809</v>
      </c>
      <c r="D138" s="42" t="s">
        <v>84</v>
      </c>
      <c r="E138" s="45" t="s">
        <v>85</v>
      </c>
      <c r="F138" s="45">
        <v>3060</v>
      </c>
      <c r="G138" s="45">
        <v>1.05</v>
      </c>
      <c r="H138" s="42">
        <f t="shared" si="7"/>
        <v>3213</v>
      </c>
      <c r="I138" s="42" t="s">
        <v>466</v>
      </c>
      <c r="J138" s="43" t="s">
        <v>90</v>
      </c>
      <c r="K138" s="45">
        <v>1.22</v>
      </c>
    </row>
    <row r="139" s="33" customFormat="1" spans="1:11">
      <c r="A139" s="46">
        <v>45891</v>
      </c>
      <c r="B139" s="42" t="s">
        <v>101</v>
      </c>
      <c r="C139" s="42">
        <v>20250810</v>
      </c>
      <c r="D139" s="42" t="s">
        <v>104</v>
      </c>
      <c r="E139" s="45" t="s">
        <v>99</v>
      </c>
      <c r="F139" s="45">
        <v>20010</v>
      </c>
      <c r="G139" s="45">
        <v>0.93</v>
      </c>
      <c r="H139" s="42">
        <f t="shared" si="7"/>
        <v>18609.3</v>
      </c>
      <c r="I139" s="42" t="s">
        <v>105</v>
      </c>
      <c r="J139" s="43"/>
      <c r="K139" s="45"/>
    </row>
    <row r="140" s="33" customFormat="1" spans="1:11">
      <c r="A140" s="46">
        <v>45891</v>
      </c>
      <c r="B140" s="42" t="s">
        <v>101</v>
      </c>
      <c r="C140" s="42">
        <v>20250810</v>
      </c>
      <c r="D140" s="42" t="s">
        <v>754</v>
      </c>
      <c r="E140" s="45" t="s">
        <v>85</v>
      </c>
      <c r="F140" s="45">
        <v>1005</v>
      </c>
      <c r="G140" s="45">
        <v>1.1</v>
      </c>
      <c r="H140" s="42">
        <f t="shared" si="7"/>
        <v>1105.5</v>
      </c>
      <c r="I140" s="42" t="s">
        <v>1991</v>
      </c>
      <c r="J140" s="43"/>
      <c r="K140" s="45"/>
    </row>
    <row r="141" s="33" customFormat="1" spans="1:11">
      <c r="A141" s="46">
        <v>45894</v>
      </c>
      <c r="B141" s="42" t="s">
        <v>101</v>
      </c>
      <c r="C141" s="42">
        <v>20250811</v>
      </c>
      <c r="D141" s="42" t="s">
        <v>84</v>
      </c>
      <c r="E141" s="45" t="s">
        <v>85</v>
      </c>
      <c r="F141" s="45">
        <v>1075</v>
      </c>
      <c r="G141" s="45">
        <v>1.2</v>
      </c>
      <c r="H141" s="42">
        <f t="shared" si="7"/>
        <v>1290</v>
      </c>
      <c r="I141" s="42" t="s">
        <v>684</v>
      </c>
      <c r="J141" s="43"/>
      <c r="K141" s="45"/>
    </row>
    <row r="142" s="33" customFormat="1" spans="1:11">
      <c r="A142" s="46">
        <v>45894</v>
      </c>
      <c r="B142" s="42" t="s">
        <v>101</v>
      </c>
      <c r="C142" s="42">
        <v>20250811</v>
      </c>
      <c r="D142" s="42" t="s">
        <v>362</v>
      </c>
      <c r="E142" s="42" t="s">
        <v>85</v>
      </c>
      <c r="F142" s="48">
        <v>2505</v>
      </c>
      <c r="G142" s="48">
        <v>0.95</v>
      </c>
      <c r="H142" s="42">
        <f t="shared" si="7"/>
        <v>2379.75</v>
      </c>
      <c r="I142" s="42" t="s">
        <v>503</v>
      </c>
      <c r="J142" s="43"/>
      <c r="K142" s="45"/>
    </row>
    <row r="143" s="33" customFormat="1" spans="1:11">
      <c r="A143" s="44">
        <v>45875</v>
      </c>
      <c r="B143" s="45" t="s">
        <v>237</v>
      </c>
      <c r="C143" s="45" t="s">
        <v>1992</v>
      </c>
      <c r="D143" s="45" t="s">
        <v>413</v>
      </c>
      <c r="E143" s="45" t="s">
        <v>124</v>
      </c>
      <c r="F143" s="45">
        <v>95056</v>
      </c>
      <c r="G143" s="45">
        <v>0.56</v>
      </c>
      <c r="H143" s="45">
        <f t="shared" si="7"/>
        <v>53231.36</v>
      </c>
      <c r="I143" s="45" t="s">
        <v>396</v>
      </c>
      <c r="J143" s="45"/>
      <c r="K143" s="45"/>
    </row>
    <row r="144" s="33" customFormat="1" spans="1:11">
      <c r="A144" s="44">
        <v>45880</v>
      </c>
      <c r="B144" s="45" t="s">
        <v>237</v>
      </c>
      <c r="C144" s="45" t="s">
        <v>1993</v>
      </c>
      <c r="D144" s="45" t="s">
        <v>413</v>
      </c>
      <c r="E144" s="45" t="s">
        <v>124</v>
      </c>
      <c r="F144" s="45">
        <v>500</v>
      </c>
      <c r="G144" s="45">
        <v>0.56</v>
      </c>
      <c r="H144" s="45">
        <f t="shared" si="7"/>
        <v>280</v>
      </c>
      <c r="I144" s="45" t="s">
        <v>396</v>
      </c>
      <c r="J144" s="45"/>
      <c r="K144" s="45"/>
    </row>
    <row r="145" s="33" customFormat="1" spans="1:11">
      <c r="A145" s="44">
        <v>45877</v>
      </c>
      <c r="B145" s="45" t="s">
        <v>237</v>
      </c>
      <c r="C145" s="45" t="s">
        <v>1994</v>
      </c>
      <c r="D145" s="45" t="s">
        <v>1995</v>
      </c>
      <c r="E145" s="45" t="s">
        <v>1996</v>
      </c>
      <c r="F145" s="45">
        <v>50130</v>
      </c>
      <c r="G145" s="45">
        <v>0.85</v>
      </c>
      <c r="H145" s="45">
        <f t="shared" si="7"/>
        <v>42610.5</v>
      </c>
      <c r="I145" s="45" t="s">
        <v>1546</v>
      </c>
      <c r="J145" s="43" t="s">
        <v>46</v>
      </c>
      <c r="K145" s="45"/>
    </row>
    <row r="146" s="33" customFormat="1" spans="1:11">
      <c r="A146" s="44">
        <v>45891</v>
      </c>
      <c r="B146" s="45" t="s">
        <v>237</v>
      </c>
      <c r="C146" s="45" t="s">
        <v>1997</v>
      </c>
      <c r="D146" s="45" t="s">
        <v>413</v>
      </c>
      <c r="E146" s="45" t="s">
        <v>124</v>
      </c>
      <c r="F146" s="45">
        <v>30000</v>
      </c>
      <c r="G146" s="45">
        <v>0.56</v>
      </c>
      <c r="H146" s="45">
        <f t="shared" si="7"/>
        <v>16800</v>
      </c>
      <c r="I146" s="45" t="s">
        <v>396</v>
      </c>
      <c r="J146" s="43"/>
      <c r="K146" s="45"/>
    </row>
    <row r="147" s="33" customFormat="1" spans="1:11">
      <c r="A147" s="44">
        <v>45891</v>
      </c>
      <c r="B147" s="45" t="s">
        <v>237</v>
      </c>
      <c r="C147" s="45" t="s">
        <v>1998</v>
      </c>
      <c r="D147" s="45" t="s">
        <v>1771</v>
      </c>
      <c r="E147" s="45" t="s">
        <v>14</v>
      </c>
      <c r="F147" s="45">
        <v>21465</v>
      </c>
      <c r="G147" s="45">
        <v>0.85</v>
      </c>
      <c r="H147" s="45">
        <f t="shared" si="7"/>
        <v>18245.25</v>
      </c>
      <c r="I147" s="45" t="s">
        <v>1546</v>
      </c>
      <c r="J147" s="43" t="s">
        <v>46</v>
      </c>
      <c r="K147" s="45"/>
    </row>
    <row r="148" s="33" customFormat="1" spans="1:11">
      <c r="A148" s="44">
        <v>45891</v>
      </c>
      <c r="B148" s="45" t="s">
        <v>237</v>
      </c>
      <c r="C148" s="45" t="s">
        <v>1999</v>
      </c>
      <c r="D148" s="45" t="s">
        <v>1351</v>
      </c>
      <c r="E148" s="45" t="s">
        <v>14</v>
      </c>
      <c r="F148" s="45">
        <v>20669</v>
      </c>
      <c r="G148" s="45">
        <v>1.1</v>
      </c>
      <c r="H148" s="45">
        <f t="shared" si="7"/>
        <v>22735.9</v>
      </c>
      <c r="I148" s="45" t="s">
        <v>864</v>
      </c>
      <c r="J148" s="43" t="s">
        <v>46</v>
      </c>
      <c r="K148" s="45"/>
    </row>
    <row r="149" s="33" customFormat="1" spans="1:11">
      <c r="A149" s="44">
        <v>45894</v>
      </c>
      <c r="B149" s="45" t="s">
        <v>237</v>
      </c>
      <c r="C149" s="45" t="s">
        <v>2000</v>
      </c>
      <c r="D149" s="45" t="s">
        <v>413</v>
      </c>
      <c r="E149" s="45" t="s">
        <v>124</v>
      </c>
      <c r="F149" s="45">
        <v>120000</v>
      </c>
      <c r="G149" s="45">
        <v>0.56</v>
      </c>
      <c r="H149" s="45">
        <f t="shared" si="7"/>
        <v>67200</v>
      </c>
      <c r="I149" s="45" t="s">
        <v>396</v>
      </c>
      <c r="J149" s="43"/>
      <c r="K149" s="45"/>
    </row>
    <row r="150" s="33" customFormat="1" spans="1:11">
      <c r="A150" s="44">
        <v>45896</v>
      </c>
      <c r="B150" s="45" t="s">
        <v>237</v>
      </c>
      <c r="C150" s="45" t="s">
        <v>2001</v>
      </c>
      <c r="D150" s="45" t="s">
        <v>413</v>
      </c>
      <c r="E150" s="45" t="s">
        <v>124</v>
      </c>
      <c r="F150" s="45">
        <v>59739</v>
      </c>
      <c r="G150" s="45">
        <v>0.56</v>
      </c>
      <c r="H150" s="45">
        <f t="shared" si="7"/>
        <v>33453.84</v>
      </c>
      <c r="I150" s="45" t="s">
        <v>396</v>
      </c>
      <c r="J150" s="43"/>
      <c r="K150" s="45"/>
    </row>
    <row r="151" s="33" customFormat="1" spans="1:11">
      <c r="A151" s="44">
        <v>45875</v>
      </c>
      <c r="B151" s="45" t="s">
        <v>74</v>
      </c>
      <c r="C151" s="45" t="s">
        <v>2002</v>
      </c>
      <c r="D151" s="45" t="s">
        <v>128</v>
      </c>
      <c r="E151" s="45" t="s">
        <v>212</v>
      </c>
      <c r="F151" s="45">
        <v>3166</v>
      </c>
      <c r="G151" s="45">
        <v>0.75</v>
      </c>
      <c r="H151" s="45">
        <f t="shared" ref="H151:H157" si="8">F151*G151</f>
        <v>2374.5</v>
      </c>
      <c r="I151" s="45" t="s">
        <v>2003</v>
      </c>
      <c r="J151" s="45" t="s">
        <v>90</v>
      </c>
      <c r="K151" s="45">
        <v>0.92</v>
      </c>
    </row>
    <row r="152" s="33" customFormat="1" spans="1:11">
      <c r="A152" s="44">
        <v>45875</v>
      </c>
      <c r="B152" s="45" t="s">
        <v>74</v>
      </c>
      <c r="C152" s="45" t="s">
        <v>2002</v>
      </c>
      <c r="D152" s="45" t="s">
        <v>130</v>
      </c>
      <c r="E152" s="45" t="s">
        <v>60</v>
      </c>
      <c r="F152" s="45">
        <v>571</v>
      </c>
      <c r="G152" s="45">
        <v>0.1</v>
      </c>
      <c r="H152" s="45">
        <f t="shared" si="8"/>
        <v>57.1</v>
      </c>
      <c r="I152" s="45" t="s">
        <v>61</v>
      </c>
      <c r="J152" s="45"/>
      <c r="K152" s="45"/>
    </row>
    <row r="153" s="33" customFormat="1" spans="1:11">
      <c r="A153" s="44">
        <v>45886</v>
      </c>
      <c r="B153" s="45" t="s">
        <v>74</v>
      </c>
      <c r="C153" s="45" t="s">
        <v>2004</v>
      </c>
      <c r="D153" s="45" t="s">
        <v>59</v>
      </c>
      <c r="E153" s="45" t="s">
        <v>60</v>
      </c>
      <c r="F153" s="45">
        <v>10086</v>
      </c>
      <c r="G153" s="45">
        <v>0.58</v>
      </c>
      <c r="H153" s="45">
        <f t="shared" si="8"/>
        <v>5849.88</v>
      </c>
      <c r="I153" s="45" t="s">
        <v>78</v>
      </c>
      <c r="J153" s="43"/>
      <c r="K153" s="45"/>
    </row>
    <row r="154" s="33" customFormat="1" spans="1:11">
      <c r="A154" s="44">
        <v>45886</v>
      </c>
      <c r="B154" s="45" t="s">
        <v>74</v>
      </c>
      <c r="C154" s="45" t="s">
        <v>2004</v>
      </c>
      <c r="D154" s="45" t="s">
        <v>76</v>
      </c>
      <c r="E154" s="45" t="s">
        <v>62</v>
      </c>
      <c r="F154" s="45">
        <v>4220</v>
      </c>
      <c r="G154" s="45">
        <v>0.58</v>
      </c>
      <c r="H154" s="45">
        <f t="shared" si="8"/>
        <v>2447.6</v>
      </c>
      <c r="I154" s="45" t="s">
        <v>45</v>
      </c>
      <c r="J154" s="43"/>
      <c r="K154" s="45"/>
    </row>
    <row r="155" s="33" customFormat="1" spans="1:11">
      <c r="A155" s="44">
        <v>45886</v>
      </c>
      <c r="B155" s="45" t="s">
        <v>74</v>
      </c>
      <c r="C155" s="45" t="s">
        <v>2004</v>
      </c>
      <c r="D155" s="45" t="s">
        <v>76</v>
      </c>
      <c r="E155" s="45" t="s">
        <v>62</v>
      </c>
      <c r="F155" s="45">
        <v>12547</v>
      </c>
      <c r="G155" s="45">
        <v>0.58</v>
      </c>
      <c r="H155" s="45">
        <f t="shared" si="8"/>
        <v>7277.26</v>
      </c>
      <c r="I155" s="45" t="s">
        <v>45</v>
      </c>
      <c r="J155" s="43"/>
      <c r="K155" s="45"/>
    </row>
    <row r="156" s="33" customFormat="1" spans="1:11">
      <c r="A156" s="44">
        <v>45889</v>
      </c>
      <c r="B156" s="45" t="s">
        <v>74</v>
      </c>
      <c r="C156" s="45" t="s">
        <v>2005</v>
      </c>
      <c r="D156" s="45" t="s">
        <v>59</v>
      </c>
      <c r="E156" s="45" t="s">
        <v>60</v>
      </c>
      <c r="F156" s="45">
        <v>2532</v>
      </c>
      <c r="G156" s="45">
        <v>0.58</v>
      </c>
      <c r="H156" s="45">
        <f t="shared" si="8"/>
        <v>1468.56</v>
      </c>
      <c r="I156" s="45" t="s">
        <v>78</v>
      </c>
      <c r="J156" s="43"/>
      <c r="K156" s="45"/>
    </row>
    <row r="157" s="33" customFormat="1" spans="1:11">
      <c r="A157" s="44">
        <v>45894</v>
      </c>
      <c r="B157" s="45" t="s">
        <v>74</v>
      </c>
      <c r="C157" s="45" t="s">
        <v>2006</v>
      </c>
      <c r="D157" s="45" t="s">
        <v>59</v>
      </c>
      <c r="E157" s="45" t="s">
        <v>60</v>
      </c>
      <c r="F157" s="45">
        <v>14024</v>
      </c>
      <c r="G157" s="45">
        <v>0.58</v>
      </c>
      <c r="H157" s="45">
        <f t="shared" si="8"/>
        <v>8133.92</v>
      </c>
      <c r="I157" s="45" t="s">
        <v>78</v>
      </c>
      <c r="J157" s="43"/>
      <c r="K157" s="45"/>
    </row>
    <row r="158" s="33" customFormat="1" spans="1:11">
      <c r="A158" s="44">
        <v>45875</v>
      </c>
      <c r="B158" s="45" t="s">
        <v>11</v>
      </c>
      <c r="C158" s="45" t="s">
        <v>1667</v>
      </c>
      <c r="D158" s="45" t="s">
        <v>314</v>
      </c>
      <c r="E158" s="45" t="s">
        <v>14</v>
      </c>
      <c r="F158" s="45">
        <v>56000</v>
      </c>
      <c r="G158" s="45">
        <v>1.45</v>
      </c>
      <c r="H158" s="45">
        <f t="shared" ref="H158:H190" si="9">F158*G158</f>
        <v>81200</v>
      </c>
      <c r="I158" s="45" t="s">
        <v>271</v>
      </c>
      <c r="J158" s="45" t="s">
        <v>46</v>
      </c>
      <c r="K158" s="45" t="s">
        <v>701</v>
      </c>
    </row>
    <row r="159" spans="1:11">
      <c r="A159" s="41">
        <v>45875</v>
      </c>
      <c r="B159" s="43" t="s">
        <v>11</v>
      </c>
      <c r="C159" s="43" t="s">
        <v>1667</v>
      </c>
      <c r="D159" s="43" t="s">
        <v>314</v>
      </c>
      <c r="E159" s="43" t="s">
        <v>14</v>
      </c>
      <c r="F159" s="43">
        <v>77</v>
      </c>
      <c r="G159" s="43">
        <v>0</v>
      </c>
      <c r="H159" s="45">
        <f t="shared" si="9"/>
        <v>0</v>
      </c>
      <c r="I159" s="43" t="s">
        <v>271</v>
      </c>
      <c r="J159" s="43" t="s">
        <v>46</v>
      </c>
      <c r="K159" s="43"/>
    </row>
    <row r="160" spans="1:11">
      <c r="A160" s="41">
        <v>45871</v>
      </c>
      <c r="B160" s="43" t="s">
        <v>11</v>
      </c>
      <c r="C160" s="43" t="s">
        <v>2007</v>
      </c>
      <c r="D160" s="43" t="s">
        <v>36</v>
      </c>
      <c r="E160" s="43" t="s">
        <v>14</v>
      </c>
      <c r="F160" s="43">
        <v>2000</v>
      </c>
      <c r="G160" s="43">
        <v>0.9</v>
      </c>
      <c r="H160" s="45">
        <f t="shared" si="9"/>
        <v>1800</v>
      </c>
      <c r="I160" s="43" t="s">
        <v>137</v>
      </c>
      <c r="J160" s="43"/>
      <c r="K160" s="43"/>
    </row>
    <row r="161" spans="1:11">
      <c r="A161" s="41">
        <v>45871</v>
      </c>
      <c r="B161" s="43" t="s">
        <v>11</v>
      </c>
      <c r="C161" s="43" t="s">
        <v>2007</v>
      </c>
      <c r="D161" s="43" t="s">
        <v>179</v>
      </c>
      <c r="E161" s="43" t="s">
        <v>14</v>
      </c>
      <c r="F161" s="43">
        <v>50000</v>
      </c>
      <c r="G161" s="43">
        <v>1</v>
      </c>
      <c r="H161" s="45">
        <f t="shared" si="9"/>
        <v>50000</v>
      </c>
      <c r="I161" s="43" t="s">
        <v>166</v>
      </c>
      <c r="J161" s="43"/>
      <c r="K161" s="43"/>
    </row>
    <row r="162" spans="1:11">
      <c r="A162" s="41">
        <v>45871</v>
      </c>
      <c r="B162" s="43" t="s">
        <v>11</v>
      </c>
      <c r="C162" s="43" t="s">
        <v>2007</v>
      </c>
      <c r="D162" s="43" t="s">
        <v>1428</v>
      </c>
      <c r="E162" s="43" t="s">
        <v>14</v>
      </c>
      <c r="F162" s="43">
        <v>20100</v>
      </c>
      <c r="G162" s="43">
        <v>1.25</v>
      </c>
      <c r="H162" s="45">
        <f t="shared" si="9"/>
        <v>25125</v>
      </c>
      <c r="I162" s="43" t="s">
        <v>1429</v>
      </c>
      <c r="J162" s="43" t="s">
        <v>46</v>
      </c>
      <c r="K162" s="43"/>
    </row>
    <row r="163" spans="1:11">
      <c r="A163" s="41">
        <v>45871</v>
      </c>
      <c r="B163" s="43" t="s">
        <v>11</v>
      </c>
      <c r="C163" s="43" t="s">
        <v>2007</v>
      </c>
      <c r="D163" s="43" t="s">
        <v>493</v>
      </c>
      <c r="E163" s="43" t="s">
        <v>14</v>
      </c>
      <c r="F163" s="43">
        <v>42000</v>
      </c>
      <c r="G163" s="43">
        <v>0.8</v>
      </c>
      <c r="H163" s="45">
        <f t="shared" si="9"/>
        <v>33600</v>
      </c>
      <c r="I163" s="43" t="s">
        <v>271</v>
      </c>
      <c r="J163" s="43" t="s">
        <v>46</v>
      </c>
      <c r="K163" s="43"/>
    </row>
    <row r="164" spans="1:11">
      <c r="A164" s="41">
        <v>45871</v>
      </c>
      <c r="B164" s="43" t="s">
        <v>11</v>
      </c>
      <c r="C164" s="43" t="s">
        <v>2007</v>
      </c>
      <c r="D164" s="43" t="s">
        <v>680</v>
      </c>
      <c r="E164" s="43" t="s">
        <v>14</v>
      </c>
      <c r="F164" s="43">
        <v>60000</v>
      </c>
      <c r="G164" s="43">
        <v>1.1</v>
      </c>
      <c r="H164" s="45">
        <f t="shared" si="9"/>
        <v>66000</v>
      </c>
      <c r="I164" s="43" t="s">
        <v>271</v>
      </c>
      <c r="J164" s="43" t="s">
        <v>46</v>
      </c>
      <c r="K164" s="43"/>
    </row>
    <row r="165" spans="1:11">
      <c r="A165" s="41">
        <v>45875</v>
      </c>
      <c r="B165" s="43" t="s">
        <v>11</v>
      </c>
      <c r="C165" s="43" t="s">
        <v>2008</v>
      </c>
      <c r="D165" s="43" t="s">
        <v>680</v>
      </c>
      <c r="E165" s="43" t="s">
        <v>14</v>
      </c>
      <c r="F165" s="43">
        <v>11300</v>
      </c>
      <c r="G165" s="43">
        <v>1.1</v>
      </c>
      <c r="H165" s="45">
        <f t="shared" si="9"/>
        <v>12430</v>
      </c>
      <c r="I165" s="43" t="s">
        <v>1718</v>
      </c>
      <c r="J165" s="43" t="s">
        <v>46</v>
      </c>
      <c r="K165" s="43"/>
    </row>
    <row r="166" spans="1:11">
      <c r="A166" s="41">
        <v>45875</v>
      </c>
      <c r="B166" s="43" t="s">
        <v>11</v>
      </c>
      <c r="C166" s="43" t="s">
        <v>2008</v>
      </c>
      <c r="D166" s="43" t="s">
        <v>696</v>
      </c>
      <c r="E166" s="43" t="s">
        <v>14</v>
      </c>
      <c r="F166" s="43">
        <v>40</v>
      </c>
      <c r="G166" s="43">
        <v>1.1</v>
      </c>
      <c r="H166" s="45">
        <f t="shared" si="9"/>
        <v>44</v>
      </c>
      <c r="I166" s="43" t="s">
        <v>2009</v>
      </c>
      <c r="K166" s="43"/>
    </row>
    <row r="167" spans="1:11">
      <c r="A167" s="41">
        <v>45875</v>
      </c>
      <c r="B167" s="43" t="s">
        <v>11</v>
      </c>
      <c r="C167" s="43" t="s">
        <v>2008</v>
      </c>
      <c r="D167" s="43" t="s">
        <v>27</v>
      </c>
      <c r="E167" s="43" t="s">
        <v>14</v>
      </c>
      <c r="F167" s="43">
        <v>1630</v>
      </c>
      <c r="G167" s="43">
        <v>1.7</v>
      </c>
      <c r="H167" s="45">
        <f t="shared" si="9"/>
        <v>2771</v>
      </c>
      <c r="I167" s="43" t="s">
        <v>982</v>
      </c>
      <c r="J167" s="43" t="s">
        <v>46</v>
      </c>
      <c r="K167" s="43"/>
    </row>
    <row r="168" spans="1:11">
      <c r="A168" s="41">
        <v>45875</v>
      </c>
      <c r="B168" s="43" t="s">
        <v>11</v>
      </c>
      <c r="C168" s="43" t="s">
        <v>2008</v>
      </c>
      <c r="D168" s="43" t="s">
        <v>1428</v>
      </c>
      <c r="E168" s="43" t="s">
        <v>14</v>
      </c>
      <c r="F168" s="43">
        <v>33580</v>
      </c>
      <c r="G168" s="43">
        <v>1.25</v>
      </c>
      <c r="H168" s="45">
        <f t="shared" si="9"/>
        <v>41975</v>
      </c>
      <c r="I168" s="43" t="s">
        <v>1429</v>
      </c>
      <c r="J168" s="43" t="s">
        <v>46</v>
      </c>
      <c r="K168" s="43"/>
    </row>
    <row r="169" spans="1:11">
      <c r="A169" s="41">
        <v>45875</v>
      </c>
      <c r="B169" s="43" t="s">
        <v>11</v>
      </c>
      <c r="C169" s="43" t="s">
        <v>2010</v>
      </c>
      <c r="D169" s="43" t="s">
        <v>314</v>
      </c>
      <c r="E169" s="43" t="s">
        <v>14</v>
      </c>
      <c r="F169" s="43">
        <v>1000</v>
      </c>
      <c r="G169" s="43">
        <v>1.44</v>
      </c>
      <c r="H169" s="45">
        <f t="shared" si="9"/>
        <v>1440</v>
      </c>
      <c r="I169" s="43" t="s">
        <v>1429</v>
      </c>
      <c r="J169" s="43" t="s">
        <v>46</v>
      </c>
      <c r="K169" s="43"/>
    </row>
    <row r="170" spans="1:11">
      <c r="A170" s="44">
        <v>45877</v>
      </c>
      <c r="B170" s="45" t="s">
        <v>11</v>
      </c>
      <c r="C170" s="45" t="s">
        <v>2011</v>
      </c>
      <c r="D170" s="45" t="s">
        <v>21</v>
      </c>
      <c r="E170" s="45" t="s">
        <v>14</v>
      </c>
      <c r="F170" s="45">
        <v>61500</v>
      </c>
      <c r="G170" s="45">
        <v>0.95</v>
      </c>
      <c r="H170" s="45">
        <f t="shared" si="9"/>
        <v>58425</v>
      </c>
      <c r="I170" s="43" t="s">
        <v>1429</v>
      </c>
      <c r="J170" s="43" t="s">
        <v>46</v>
      </c>
      <c r="K170" s="43"/>
    </row>
    <row r="171" spans="1:11">
      <c r="A171" s="41">
        <v>45880</v>
      </c>
      <c r="B171" s="43" t="s">
        <v>11</v>
      </c>
      <c r="C171" s="43" t="s">
        <v>2012</v>
      </c>
      <c r="D171" s="43" t="s">
        <v>310</v>
      </c>
      <c r="E171" s="43" t="s">
        <v>14</v>
      </c>
      <c r="F171" s="43">
        <v>1050</v>
      </c>
      <c r="G171" s="43">
        <v>1.2</v>
      </c>
      <c r="H171" s="45">
        <f t="shared" si="9"/>
        <v>1260</v>
      </c>
      <c r="I171" s="43" t="s">
        <v>2009</v>
      </c>
      <c r="J171" s="43"/>
      <c r="K171" s="43"/>
    </row>
    <row r="172" spans="1:11">
      <c r="A172" s="41">
        <v>45880</v>
      </c>
      <c r="B172" s="43" t="s">
        <v>11</v>
      </c>
      <c r="C172" s="43" t="s">
        <v>2012</v>
      </c>
      <c r="D172" s="43" t="s">
        <v>680</v>
      </c>
      <c r="E172" s="43" t="s">
        <v>14</v>
      </c>
      <c r="F172" s="43">
        <v>20</v>
      </c>
      <c r="G172" s="43">
        <v>1.1</v>
      </c>
      <c r="H172" s="45">
        <f t="shared" si="9"/>
        <v>22</v>
      </c>
      <c r="I172" s="43" t="s">
        <v>1429</v>
      </c>
      <c r="J172" s="43"/>
      <c r="K172" s="43"/>
    </row>
    <row r="173" spans="1:11">
      <c r="A173" s="41">
        <v>45880</v>
      </c>
      <c r="B173" s="43" t="s">
        <v>11</v>
      </c>
      <c r="C173" s="43" t="s">
        <v>2012</v>
      </c>
      <c r="D173" s="43" t="s">
        <v>2013</v>
      </c>
      <c r="E173" s="43" t="s">
        <v>14</v>
      </c>
      <c r="F173" s="43">
        <v>10</v>
      </c>
      <c r="G173" s="43">
        <v>1</v>
      </c>
      <c r="H173" s="45">
        <f t="shared" si="9"/>
        <v>10</v>
      </c>
      <c r="I173" s="43" t="s">
        <v>2014</v>
      </c>
      <c r="J173" s="43"/>
      <c r="K173" s="43"/>
    </row>
    <row r="174" spans="1:11">
      <c r="A174" s="41">
        <v>45880</v>
      </c>
      <c r="B174" s="43" t="s">
        <v>11</v>
      </c>
      <c r="C174" s="43" t="s">
        <v>2015</v>
      </c>
      <c r="D174" s="43" t="s">
        <v>696</v>
      </c>
      <c r="E174" s="43" t="s">
        <v>14</v>
      </c>
      <c r="F174" s="43">
        <v>20</v>
      </c>
      <c r="G174" s="43">
        <v>1.1</v>
      </c>
      <c r="H174" s="45">
        <f t="shared" si="9"/>
        <v>22</v>
      </c>
      <c r="I174" s="43" t="s">
        <v>2009</v>
      </c>
      <c r="J174" s="43"/>
      <c r="K174" s="43"/>
    </row>
    <row r="175" spans="1:11">
      <c r="A175" s="41">
        <v>45880</v>
      </c>
      <c r="B175" s="43" t="s">
        <v>11</v>
      </c>
      <c r="C175" s="43" t="s">
        <v>2016</v>
      </c>
      <c r="D175" s="43" t="s">
        <v>680</v>
      </c>
      <c r="E175" s="43" t="s">
        <v>14</v>
      </c>
      <c r="F175" s="43">
        <v>100</v>
      </c>
      <c r="G175" s="43">
        <v>1.1</v>
      </c>
      <c r="H175" s="45">
        <f t="shared" si="9"/>
        <v>110</v>
      </c>
      <c r="I175" s="43" t="s">
        <v>271</v>
      </c>
      <c r="J175" s="43"/>
      <c r="K175" s="43"/>
    </row>
    <row r="176" spans="1:11">
      <c r="A176" s="41">
        <v>45883</v>
      </c>
      <c r="B176" s="43" t="s">
        <v>11</v>
      </c>
      <c r="C176" s="43" t="s">
        <v>2017</v>
      </c>
      <c r="D176" s="43" t="s">
        <v>1428</v>
      </c>
      <c r="E176" s="43" t="s">
        <v>14</v>
      </c>
      <c r="F176" s="43">
        <v>20000</v>
      </c>
      <c r="G176" s="43">
        <v>1.25</v>
      </c>
      <c r="H176" s="45">
        <f t="shared" si="9"/>
        <v>25000</v>
      </c>
      <c r="I176" s="43" t="s">
        <v>1429</v>
      </c>
      <c r="J176" s="43"/>
      <c r="K176" s="43"/>
    </row>
    <row r="177" spans="1:11">
      <c r="A177" s="41">
        <v>45883</v>
      </c>
      <c r="B177" s="43" t="s">
        <v>11</v>
      </c>
      <c r="C177" s="43" t="s">
        <v>2017</v>
      </c>
      <c r="D177" s="43" t="s">
        <v>493</v>
      </c>
      <c r="E177" s="43" t="s">
        <v>14</v>
      </c>
      <c r="F177" s="43">
        <v>31500</v>
      </c>
      <c r="G177" s="43">
        <v>0.8</v>
      </c>
      <c r="H177" s="45">
        <f t="shared" si="9"/>
        <v>25200</v>
      </c>
      <c r="I177" s="43" t="s">
        <v>271</v>
      </c>
      <c r="J177" s="43" t="s">
        <v>46</v>
      </c>
      <c r="K177" s="43"/>
    </row>
    <row r="178" spans="1:11">
      <c r="A178" s="41">
        <v>45883</v>
      </c>
      <c r="B178" s="43" t="s">
        <v>11</v>
      </c>
      <c r="C178" s="43" t="s">
        <v>2018</v>
      </c>
      <c r="D178" s="43" t="s">
        <v>1428</v>
      </c>
      <c r="E178" s="43" t="s">
        <v>14</v>
      </c>
      <c r="F178" s="43">
        <v>5000</v>
      </c>
      <c r="G178" s="43">
        <v>1.25</v>
      </c>
      <c r="H178" s="45">
        <f t="shared" si="9"/>
        <v>6250</v>
      </c>
      <c r="I178" s="43" t="s">
        <v>1429</v>
      </c>
      <c r="J178" s="43" t="s">
        <v>46</v>
      </c>
      <c r="K178" s="43"/>
    </row>
    <row r="179" spans="1:11">
      <c r="A179" s="41">
        <v>45884</v>
      </c>
      <c r="B179" s="43" t="s">
        <v>11</v>
      </c>
      <c r="C179" s="43" t="s">
        <v>2019</v>
      </c>
      <c r="D179" s="43" t="s">
        <v>519</v>
      </c>
      <c r="E179" s="43" t="s">
        <v>14</v>
      </c>
      <c r="F179" s="43">
        <v>43</v>
      </c>
      <c r="G179" s="43">
        <v>1.2</v>
      </c>
      <c r="H179" s="45">
        <f t="shared" si="9"/>
        <v>51.6</v>
      </c>
      <c r="I179" s="43" t="s">
        <v>1225</v>
      </c>
      <c r="J179" s="43"/>
      <c r="K179" s="43"/>
    </row>
    <row r="180" spans="1:11">
      <c r="A180" s="41">
        <v>45884</v>
      </c>
      <c r="B180" s="43" t="s">
        <v>11</v>
      </c>
      <c r="C180" s="43" t="s">
        <v>2019</v>
      </c>
      <c r="D180" s="43" t="s">
        <v>2020</v>
      </c>
      <c r="E180" s="43" t="s">
        <v>14</v>
      </c>
      <c r="F180" s="43">
        <v>10</v>
      </c>
      <c r="G180" s="43">
        <v>0.9</v>
      </c>
      <c r="H180" s="45">
        <f t="shared" si="9"/>
        <v>9</v>
      </c>
      <c r="I180" s="43" t="s">
        <v>77</v>
      </c>
      <c r="J180" s="43"/>
      <c r="K180" s="43"/>
    </row>
    <row r="181" s="33" customFormat="1" spans="1:11">
      <c r="A181" s="44">
        <v>45889</v>
      </c>
      <c r="B181" s="45" t="s">
        <v>11</v>
      </c>
      <c r="C181" s="45" t="s">
        <v>2021</v>
      </c>
      <c r="D181" s="45" t="s">
        <v>1428</v>
      </c>
      <c r="E181" s="45" t="s">
        <v>14</v>
      </c>
      <c r="F181" s="45">
        <v>72650</v>
      </c>
      <c r="G181" s="45">
        <v>1.25</v>
      </c>
      <c r="H181" s="45">
        <f t="shared" si="9"/>
        <v>90812.5</v>
      </c>
      <c r="I181" s="45" t="s">
        <v>1429</v>
      </c>
      <c r="J181" s="45" t="s">
        <v>46</v>
      </c>
      <c r="K181" s="45"/>
    </row>
    <row r="182" s="33" customFormat="1" spans="1:11">
      <c r="A182" s="44">
        <v>45889</v>
      </c>
      <c r="B182" s="45" t="s">
        <v>11</v>
      </c>
      <c r="C182" s="45" t="s">
        <v>2021</v>
      </c>
      <c r="D182" s="45" t="s">
        <v>493</v>
      </c>
      <c r="E182" s="45" t="s">
        <v>14</v>
      </c>
      <c r="F182" s="45">
        <v>50000</v>
      </c>
      <c r="G182" s="45">
        <v>0.8</v>
      </c>
      <c r="H182" s="45">
        <f t="shared" si="9"/>
        <v>40000</v>
      </c>
      <c r="I182" s="45" t="s">
        <v>2022</v>
      </c>
      <c r="J182" s="45" t="s">
        <v>46</v>
      </c>
      <c r="K182" s="45"/>
    </row>
    <row r="183" spans="1:11">
      <c r="A183" s="44">
        <v>45890</v>
      </c>
      <c r="B183" s="45" t="s">
        <v>11</v>
      </c>
      <c r="C183" s="45" t="s">
        <v>2023</v>
      </c>
      <c r="D183" s="45" t="s">
        <v>823</v>
      </c>
      <c r="E183" s="45" t="s">
        <v>14</v>
      </c>
      <c r="F183" s="45">
        <v>30200</v>
      </c>
      <c r="G183" s="45">
        <v>1.4</v>
      </c>
      <c r="H183" s="45">
        <f t="shared" si="9"/>
        <v>42280</v>
      </c>
      <c r="I183" s="45" t="s">
        <v>271</v>
      </c>
      <c r="J183" s="43" t="s">
        <v>46</v>
      </c>
      <c r="K183" s="43"/>
    </row>
    <row r="184" s="33" customFormat="1" spans="1:11">
      <c r="A184" s="44">
        <v>45890</v>
      </c>
      <c r="B184" s="45" t="s">
        <v>11</v>
      </c>
      <c r="C184" s="45" t="s">
        <v>2023</v>
      </c>
      <c r="D184" s="45" t="s">
        <v>27</v>
      </c>
      <c r="E184" s="45" t="s">
        <v>14</v>
      </c>
      <c r="F184" s="45">
        <v>30000</v>
      </c>
      <c r="G184" s="45">
        <v>1.7</v>
      </c>
      <c r="H184" s="45">
        <f t="shared" si="9"/>
        <v>51000</v>
      </c>
      <c r="I184" s="45" t="s">
        <v>2024</v>
      </c>
      <c r="J184" s="45" t="s">
        <v>46</v>
      </c>
      <c r="K184" s="45"/>
    </row>
    <row r="185" s="33" customFormat="1" spans="1:11">
      <c r="A185" s="44">
        <v>45890</v>
      </c>
      <c r="B185" s="45" t="s">
        <v>11</v>
      </c>
      <c r="C185" s="45" t="s">
        <v>2023</v>
      </c>
      <c r="D185" s="45" t="s">
        <v>1156</v>
      </c>
      <c r="E185" s="45" t="s">
        <v>14</v>
      </c>
      <c r="F185" s="45">
        <v>2010</v>
      </c>
      <c r="G185" s="45">
        <v>1.2</v>
      </c>
      <c r="H185" s="45">
        <f t="shared" si="9"/>
        <v>2412</v>
      </c>
      <c r="I185" s="45" t="s">
        <v>1991</v>
      </c>
      <c r="J185" s="45" t="s">
        <v>46</v>
      </c>
      <c r="K185" s="45"/>
    </row>
    <row r="186" s="33" customFormat="1" spans="1:11">
      <c r="A186" s="44">
        <v>45890</v>
      </c>
      <c r="B186" s="45" t="s">
        <v>11</v>
      </c>
      <c r="C186" s="45" t="s">
        <v>2025</v>
      </c>
      <c r="D186" s="45" t="s">
        <v>314</v>
      </c>
      <c r="E186" s="45" t="s">
        <v>14</v>
      </c>
      <c r="F186" s="45">
        <v>300</v>
      </c>
      <c r="G186" s="45">
        <v>1.45</v>
      </c>
      <c r="H186" s="45">
        <f t="shared" si="9"/>
        <v>435</v>
      </c>
      <c r="I186" s="45" t="s">
        <v>271</v>
      </c>
      <c r="J186" s="45" t="s">
        <v>1636</v>
      </c>
      <c r="K186" s="45"/>
    </row>
    <row r="187" spans="1:11">
      <c r="A187" s="41">
        <v>45891</v>
      </c>
      <c r="B187" s="43" t="s">
        <v>11</v>
      </c>
      <c r="C187" s="43" t="s">
        <v>2026</v>
      </c>
      <c r="D187" s="43" t="s">
        <v>586</v>
      </c>
      <c r="E187" s="43" t="s">
        <v>14</v>
      </c>
      <c r="F187" s="43">
        <v>3040</v>
      </c>
      <c r="G187" s="43">
        <v>1.9</v>
      </c>
      <c r="H187" s="45">
        <f t="shared" si="9"/>
        <v>5776</v>
      </c>
      <c r="I187" s="43" t="s">
        <v>587</v>
      </c>
      <c r="J187" s="43"/>
      <c r="K187" s="43"/>
    </row>
    <row r="188" spans="1:11">
      <c r="A188" s="41">
        <v>45891</v>
      </c>
      <c r="B188" s="43" t="s">
        <v>11</v>
      </c>
      <c r="C188" s="43" t="s">
        <v>2026</v>
      </c>
      <c r="D188" s="43" t="s">
        <v>13</v>
      </c>
      <c r="E188" s="43" t="s">
        <v>14</v>
      </c>
      <c r="F188" s="43">
        <v>35</v>
      </c>
      <c r="G188" s="43">
        <v>1.4</v>
      </c>
      <c r="H188" s="45">
        <f t="shared" si="9"/>
        <v>49</v>
      </c>
      <c r="I188" s="43" t="s">
        <v>805</v>
      </c>
      <c r="J188" s="43"/>
      <c r="K188" s="43"/>
    </row>
    <row r="189" s="33" customFormat="1" spans="1:11">
      <c r="A189" s="44">
        <v>45891</v>
      </c>
      <c r="B189" s="45" t="s">
        <v>11</v>
      </c>
      <c r="C189" s="45" t="s">
        <v>2027</v>
      </c>
      <c r="D189" s="45" t="s">
        <v>285</v>
      </c>
      <c r="E189" s="45" t="s">
        <v>14</v>
      </c>
      <c r="F189" s="45">
        <v>10020</v>
      </c>
      <c r="G189" s="45">
        <v>1.75</v>
      </c>
      <c r="H189" s="45">
        <f t="shared" si="9"/>
        <v>17535</v>
      </c>
      <c r="I189" s="45" t="s">
        <v>2028</v>
      </c>
      <c r="J189" s="45" t="s">
        <v>46</v>
      </c>
      <c r="K189" s="45"/>
    </row>
    <row r="190" s="33" customFormat="1" spans="1:11">
      <c r="A190" s="44">
        <v>45891</v>
      </c>
      <c r="B190" s="45" t="s">
        <v>11</v>
      </c>
      <c r="C190" s="45" t="s">
        <v>2027</v>
      </c>
      <c r="D190" s="45" t="s">
        <v>399</v>
      </c>
      <c r="E190" s="45" t="s">
        <v>14</v>
      </c>
      <c r="F190" s="45">
        <v>10500</v>
      </c>
      <c r="G190" s="45">
        <v>1.1</v>
      </c>
      <c r="H190" s="45">
        <f t="shared" si="9"/>
        <v>11550</v>
      </c>
      <c r="I190" s="45" t="s">
        <v>37</v>
      </c>
      <c r="J190" s="45" t="s">
        <v>46</v>
      </c>
      <c r="K190" s="45"/>
    </row>
    <row r="191" spans="1:11">
      <c r="A191" s="41">
        <v>45892</v>
      </c>
      <c r="B191" s="43" t="s">
        <v>11</v>
      </c>
      <c r="C191" s="43" t="s">
        <v>2029</v>
      </c>
      <c r="D191" s="43" t="s">
        <v>1707</v>
      </c>
      <c r="E191" s="43" t="s">
        <v>14</v>
      </c>
      <c r="F191" s="43">
        <v>3985</v>
      </c>
      <c r="G191" s="43">
        <v>1.35</v>
      </c>
      <c r="H191" s="45">
        <f t="shared" ref="H191:H196" si="10">F191*G191</f>
        <v>5379.75</v>
      </c>
      <c r="I191" s="43" t="s">
        <v>1714</v>
      </c>
      <c r="J191" s="43" t="s">
        <v>912</v>
      </c>
      <c r="K191" s="43"/>
    </row>
    <row r="192" spans="1:11">
      <c r="A192" s="41">
        <v>45891</v>
      </c>
      <c r="B192" s="43" t="s">
        <v>11</v>
      </c>
      <c r="C192" s="43" t="s">
        <v>2030</v>
      </c>
      <c r="D192" s="43" t="s">
        <v>2031</v>
      </c>
      <c r="E192" s="43" t="s">
        <v>14</v>
      </c>
      <c r="F192" s="43">
        <v>102</v>
      </c>
      <c r="G192" s="43">
        <v>1.2</v>
      </c>
      <c r="H192" s="45">
        <f t="shared" si="10"/>
        <v>122.4</v>
      </c>
      <c r="I192" s="43" t="s">
        <v>570</v>
      </c>
      <c r="J192" s="43"/>
      <c r="K192" s="43"/>
    </row>
    <row r="193" s="33" customFormat="1" spans="1:11">
      <c r="A193" s="44">
        <v>45892</v>
      </c>
      <c r="B193" s="45" t="s">
        <v>11</v>
      </c>
      <c r="C193" s="45" t="s">
        <v>2032</v>
      </c>
      <c r="D193" s="45" t="s">
        <v>1428</v>
      </c>
      <c r="E193" s="45" t="s">
        <v>14</v>
      </c>
      <c r="F193" s="45">
        <v>24460</v>
      </c>
      <c r="G193" s="45">
        <v>1.25</v>
      </c>
      <c r="H193" s="45">
        <f t="shared" si="10"/>
        <v>30575</v>
      </c>
      <c r="I193" s="45" t="s">
        <v>1429</v>
      </c>
      <c r="J193" s="45" t="s">
        <v>46</v>
      </c>
      <c r="K193" s="45"/>
    </row>
    <row r="194" s="33" customFormat="1" spans="1:11">
      <c r="A194" s="44">
        <v>45892</v>
      </c>
      <c r="B194" s="45" t="s">
        <v>11</v>
      </c>
      <c r="C194" s="45" t="s">
        <v>2033</v>
      </c>
      <c r="D194" s="45" t="s">
        <v>823</v>
      </c>
      <c r="E194" s="45" t="s">
        <v>14</v>
      </c>
      <c r="F194" s="45">
        <v>50000</v>
      </c>
      <c r="G194" s="45">
        <v>1.4</v>
      </c>
      <c r="H194" s="45">
        <f t="shared" si="10"/>
        <v>70000</v>
      </c>
      <c r="I194" s="45" t="s">
        <v>2034</v>
      </c>
      <c r="J194" s="45" t="s">
        <v>46</v>
      </c>
      <c r="K194" s="45"/>
    </row>
    <row r="195" s="33" customFormat="1" spans="1:11">
      <c r="A195" s="44">
        <v>45892</v>
      </c>
      <c r="B195" s="45" t="s">
        <v>11</v>
      </c>
      <c r="C195" s="45" t="s">
        <v>2033</v>
      </c>
      <c r="D195" s="45" t="s">
        <v>680</v>
      </c>
      <c r="E195" s="45" t="s">
        <v>14</v>
      </c>
      <c r="F195" s="45">
        <v>30000</v>
      </c>
      <c r="G195" s="45">
        <v>1.1</v>
      </c>
      <c r="H195" s="45">
        <f t="shared" si="10"/>
        <v>33000</v>
      </c>
      <c r="I195" s="45" t="s">
        <v>2035</v>
      </c>
      <c r="J195" s="45" t="s">
        <v>46</v>
      </c>
      <c r="K195" s="45"/>
    </row>
    <row r="196" s="33" customFormat="1" spans="1:11">
      <c r="A196" s="44">
        <v>45892</v>
      </c>
      <c r="B196" s="45" t="s">
        <v>11</v>
      </c>
      <c r="C196" s="45" t="s">
        <v>2033</v>
      </c>
      <c r="D196" s="45" t="s">
        <v>21</v>
      </c>
      <c r="E196" s="45" t="s">
        <v>14</v>
      </c>
      <c r="F196" s="45">
        <v>30000</v>
      </c>
      <c r="G196" s="45">
        <v>0.95</v>
      </c>
      <c r="H196" s="45">
        <f t="shared" si="10"/>
        <v>28500</v>
      </c>
      <c r="I196" s="45" t="s">
        <v>1429</v>
      </c>
      <c r="J196" s="45" t="s">
        <v>46</v>
      </c>
      <c r="K196" s="45"/>
    </row>
    <row r="197" spans="1:11">
      <c r="A197" s="41">
        <v>45894</v>
      </c>
      <c r="B197" s="43" t="s">
        <v>11</v>
      </c>
      <c r="C197" s="43" t="s">
        <v>2036</v>
      </c>
      <c r="D197" s="43" t="s">
        <v>382</v>
      </c>
      <c r="E197" s="43" t="s">
        <v>14</v>
      </c>
      <c r="F197" s="43">
        <v>3550</v>
      </c>
      <c r="G197" s="43">
        <v>0.68</v>
      </c>
      <c r="H197" s="45">
        <f t="shared" ref="H197:H210" si="11">F197*G197</f>
        <v>2414</v>
      </c>
      <c r="I197" s="43" t="s">
        <v>363</v>
      </c>
      <c r="J197" s="43"/>
      <c r="K197" s="43"/>
    </row>
    <row r="198" spans="1:11">
      <c r="A198" s="41">
        <v>45894</v>
      </c>
      <c r="B198" s="43" t="s">
        <v>11</v>
      </c>
      <c r="C198" s="43" t="s">
        <v>2037</v>
      </c>
      <c r="D198" s="43" t="s">
        <v>405</v>
      </c>
      <c r="E198" s="43" t="s">
        <v>14</v>
      </c>
      <c r="F198" s="43">
        <v>17000</v>
      </c>
      <c r="G198" s="43">
        <v>1.3</v>
      </c>
      <c r="H198" s="45">
        <f t="shared" si="11"/>
        <v>22100</v>
      </c>
      <c r="I198" s="43" t="s">
        <v>271</v>
      </c>
      <c r="J198" s="43" t="s">
        <v>46</v>
      </c>
      <c r="K198" s="43"/>
    </row>
    <row r="199" spans="1:11">
      <c r="A199" s="41">
        <v>45894</v>
      </c>
      <c r="B199" s="43" t="s">
        <v>11</v>
      </c>
      <c r="C199" s="43" t="s">
        <v>2037</v>
      </c>
      <c r="D199" s="43" t="s">
        <v>1428</v>
      </c>
      <c r="E199" s="43" t="s">
        <v>14</v>
      </c>
      <c r="F199" s="43">
        <v>23700</v>
      </c>
      <c r="G199" s="43">
        <v>1.25</v>
      </c>
      <c r="H199" s="45">
        <f t="shared" si="11"/>
        <v>29625</v>
      </c>
      <c r="I199" s="43" t="s">
        <v>271</v>
      </c>
      <c r="J199" s="43" t="s">
        <v>46</v>
      </c>
      <c r="K199" s="43"/>
    </row>
    <row r="200" spans="1:11">
      <c r="A200" s="41">
        <v>45894</v>
      </c>
      <c r="B200" s="43" t="s">
        <v>11</v>
      </c>
      <c r="C200" s="43" t="s">
        <v>2037</v>
      </c>
      <c r="D200" s="43" t="s">
        <v>21</v>
      </c>
      <c r="E200" s="43" t="s">
        <v>14</v>
      </c>
      <c r="F200" s="43">
        <v>17000</v>
      </c>
      <c r="G200" s="43">
        <v>0.95</v>
      </c>
      <c r="H200" s="45">
        <f t="shared" si="11"/>
        <v>16150</v>
      </c>
      <c r="I200" s="43" t="s">
        <v>271</v>
      </c>
      <c r="J200" s="43" t="s">
        <v>46</v>
      </c>
      <c r="K200" s="43"/>
    </row>
    <row r="201" spans="1:11">
      <c r="A201" s="41">
        <v>45894</v>
      </c>
      <c r="B201" s="43" t="s">
        <v>11</v>
      </c>
      <c r="C201" s="43" t="s">
        <v>2037</v>
      </c>
      <c r="D201" s="43" t="s">
        <v>18</v>
      </c>
      <c r="E201" s="43" t="s">
        <v>14</v>
      </c>
      <c r="F201" s="43">
        <v>50000</v>
      </c>
      <c r="G201" s="43">
        <v>0.7</v>
      </c>
      <c r="H201" s="45">
        <f t="shared" si="11"/>
        <v>35000</v>
      </c>
      <c r="I201" s="43" t="s">
        <v>857</v>
      </c>
      <c r="J201" s="43" t="s">
        <v>46</v>
      </c>
      <c r="K201" s="43"/>
    </row>
    <row r="202" spans="1:11">
      <c r="A202" s="41">
        <v>45894</v>
      </c>
      <c r="B202" s="43" t="s">
        <v>11</v>
      </c>
      <c r="C202" s="43" t="s">
        <v>2037</v>
      </c>
      <c r="D202" s="43" t="s">
        <v>493</v>
      </c>
      <c r="E202" s="43" t="s">
        <v>14</v>
      </c>
      <c r="F202" s="43">
        <v>50000</v>
      </c>
      <c r="G202" s="43">
        <v>0.8</v>
      </c>
      <c r="H202" s="45">
        <f t="shared" si="11"/>
        <v>40000</v>
      </c>
      <c r="I202" s="43" t="s">
        <v>2038</v>
      </c>
      <c r="J202" s="43" t="s">
        <v>46</v>
      </c>
      <c r="K202" s="43"/>
    </row>
    <row r="203" spans="1:11">
      <c r="A203" s="41">
        <v>45894</v>
      </c>
      <c r="B203" s="43" t="s">
        <v>11</v>
      </c>
      <c r="C203" s="43" t="s">
        <v>2037</v>
      </c>
      <c r="D203" s="43" t="s">
        <v>314</v>
      </c>
      <c r="E203" s="43" t="s">
        <v>14</v>
      </c>
      <c r="F203" s="43">
        <v>22000</v>
      </c>
      <c r="G203" s="43">
        <v>1.45</v>
      </c>
      <c r="H203" s="45">
        <f t="shared" si="11"/>
        <v>31900</v>
      </c>
      <c r="I203" s="43" t="s">
        <v>271</v>
      </c>
      <c r="J203" s="43" t="s">
        <v>46</v>
      </c>
      <c r="K203" s="43"/>
    </row>
    <row r="204" spans="1:11">
      <c r="A204" s="41">
        <v>45894</v>
      </c>
      <c r="B204" s="43" t="s">
        <v>11</v>
      </c>
      <c r="C204" s="43" t="s">
        <v>2037</v>
      </c>
      <c r="D204" s="43" t="s">
        <v>179</v>
      </c>
      <c r="E204" s="43" t="s">
        <v>14</v>
      </c>
      <c r="F204" s="43">
        <v>20000</v>
      </c>
      <c r="G204" s="43">
        <v>1</v>
      </c>
      <c r="H204" s="45">
        <f t="shared" si="11"/>
        <v>20000</v>
      </c>
      <c r="I204" s="43" t="s">
        <v>166</v>
      </c>
      <c r="J204" s="43" t="s">
        <v>46</v>
      </c>
      <c r="K204" s="43"/>
    </row>
    <row r="205" spans="1:11">
      <c r="A205" s="41">
        <v>45895</v>
      </c>
      <c r="B205" s="43" t="s">
        <v>11</v>
      </c>
      <c r="C205" s="43" t="s">
        <v>2039</v>
      </c>
      <c r="D205" s="43" t="s">
        <v>1771</v>
      </c>
      <c r="E205" s="43" t="s">
        <v>14</v>
      </c>
      <c r="F205" s="43">
        <v>405</v>
      </c>
      <c r="G205" s="43">
        <v>0.93</v>
      </c>
      <c r="H205" s="45">
        <f t="shared" si="11"/>
        <v>376.65</v>
      </c>
      <c r="I205" s="43" t="s">
        <v>278</v>
      </c>
      <c r="J205" s="43"/>
      <c r="K205" s="43"/>
    </row>
    <row r="206" spans="1:11">
      <c r="A206" s="41">
        <v>45895</v>
      </c>
      <c r="B206" s="43" t="s">
        <v>11</v>
      </c>
      <c r="C206" s="43" t="s">
        <v>2040</v>
      </c>
      <c r="D206" s="43" t="s">
        <v>1771</v>
      </c>
      <c r="E206" s="43" t="s">
        <v>14</v>
      </c>
      <c r="F206" s="43">
        <v>6900</v>
      </c>
      <c r="G206" s="43">
        <v>0.93</v>
      </c>
      <c r="H206" s="45">
        <f t="shared" si="11"/>
        <v>6417</v>
      </c>
      <c r="I206" s="43" t="s">
        <v>1546</v>
      </c>
      <c r="J206" s="43" t="s">
        <v>46</v>
      </c>
      <c r="K206" s="43"/>
    </row>
    <row r="207" spans="1:11">
      <c r="A207" s="41">
        <v>45896</v>
      </c>
      <c r="B207" s="43" t="s">
        <v>11</v>
      </c>
      <c r="C207" s="43" t="s">
        <v>2041</v>
      </c>
      <c r="D207" s="43" t="s">
        <v>277</v>
      </c>
      <c r="E207" s="43" t="s">
        <v>14</v>
      </c>
      <c r="F207" s="43">
        <v>42000</v>
      </c>
      <c r="G207" s="43">
        <v>0.94</v>
      </c>
      <c r="H207" s="45">
        <f t="shared" si="11"/>
        <v>39480</v>
      </c>
      <c r="I207" s="43" t="s">
        <v>271</v>
      </c>
      <c r="J207" s="43"/>
      <c r="K207" s="43"/>
    </row>
    <row r="208" spans="1:11">
      <c r="A208" s="41">
        <v>45896</v>
      </c>
      <c r="B208" s="43" t="s">
        <v>11</v>
      </c>
      <c r="C208" s="43" t="s">
        <v>2042</v>
      </c>
      <c r="D208" s="43" t="s">
        <v>50</v>
      </c>
      <c r="E208" s="43" t="s">
        <v>14</v>
      </c>
      <c r="F208" s="43">
        <v>105</v>
      </c>
      <c r="G208" s="43">
        <v>1.1</v>
      </c>
      <c r="H208" s="45">
        <f t="shared" si="11"/>
        <v>115.5</v>
      </c>
      <c r="I208" s="43" t="s">
        <v>28</v>
      </c>
      <c r="J208" s="43"/>
      <c r="K208" s="43"/>
    </row>
    <row r="209" spans="1:11">
      <c r="A209" s="41">
        <v>45896</v>
      </c>
      <c r="B209" s="43" t="s">
        <v>11</v>
      </c>
      <c r="C209" s="43" t="s">
        <v>2042</v>
      </c>
      <c r="D209" s="43" t="s">
        <v>1199</v>
      </c>
      <c r="E209" s="43" t="s">
        <v>14</v>
      </c>
      <c r="F209" s="43">
        <v>53</v>
      </c>
      <c r="G209" s="43">
        <v>1.3</v>
      </c>
      <c r="H209" s="45">
        <f t="shared" si="11"/>
        <v>68.9</v>
      </c>
      <c r="I209" s="43" t="s">
        <v>28</v>
      </c>
      <c r="J209" s="43"/>
      <c r="K209" s="43"/>
    </row>
    <row r="210" spans="1:11">
      <c r="A210" s="41">
        <v>45898</v>
      </c>
      <c r="B210" s="43" t="s">
        <v>11</v>
      </c>
      <c r="C210" s="43" t="s">
        <v>2043</v>
      </c>
      <c r="D210" s="43" t="s">
        <v>201</v>
      </c>
      <c r="E210" s="43" t="s">
        <v>14</v>
      </c>
      <c r="F210" s="43">
        <v>100</v>
      </c>
      <c r="G210" s="43">
        <v>0.9</v>
      </c>
      <c r="H210" s="45">
        <f t="shared" si="11"/>
        <v>90</v>
      </c>
      <c r="I210" s="43" t="s">
        <v>77</v>
      </c>
      <c r="J210" s="43"/>
      <c r="K210" s="43"/>
    </row>
    <row r="211" spans="1:11">
      <c r="A211" s="41">
        <v>45885</v>
      </c>
      <c r="B211" s="41" t="s">
        <v>2044</v>
      </c>
      <c r="C211" s="87" t="s">
        <v>2045</v>
      </c>
      <c r="D211" s="43" t="s">
        <v>76</v>
      </c>
      <c r="E211" s="45" t="s">
        <v>123</v>
      </c>
      <c r="F211" s="45">
        <v>2041</v>
      </c>
      <c r="G211" s="45">
        <v>0.47</v>
      </c>
      <c r="H211" s="45">
        <f t="shared" ref="H211:H223" si="12">F211*G211</f>
        <v>959.27</v>
      </c>
      <c r="I211" s="43" t="s">
        <v>208</v>
      </c>
      <c r="J211" s="43"/>
      <c r="K211" s="43"/>
    </row>
    <row r="212" spans="1:11">
      <c r="A212" s="41">
        <v>45885</v>
      </c>
      <c r="B212" s="41" t="s">
        <v>2044</v>
      </c>
      <c r="C212" s="87" t="s">
        <v>2045</v>
      </c>
      <c r="D212" s="43" t="s">
        <v>59</v>
      </c>
      <c r="E212" s="43" t="s">
        <v>1273</v>
      </c>
      <c r="F212" s="45">
        <v>2950</v>
      </c>
      <c r="G212" s="45">
        <v>0.42</v>
      </c>
      <c r="H212" s="45">
        <f t="shared" si="12"/>
        <v>1239</v>
      </c>
      <c r="I212" s="43" t="s">
        <v>65</v>
      </c>
      <c r="J212" s="43"/>
      <c r="K212" s="43"/>
    </row>
    <row r="213" spans="1:11">
      <c r="A213" s="41">
        <v>45885</v>
      </c>
      <c r="B213" s="41" t="s">
        <v>2044</v>
      </c>
      <c r="C213" s="87" t="s">
        <v>2045</v>
      </c>
      <c r="D213" s="43" t="s">
        <v>76</v>
      </c>
      <c r="E213" s="43" t="s">
        <v>1019</v>
      </c>
      <c r="F213" s="45">
        <v>6080</v>
      </c>
      <c r="G213" s="45">
        <v>0.45</v>
      </c>
      <c r="H213" s="45">
        <f t="shared" si="12"/>
        <v>2736</v>
      </c>
      <c r="I213" s="43" t="s">
        <v>437</v>
      </c>
      <c r="J213" s="43"/>
      <c r="K213" s="43"/>
    </row>
    <row r="214" spans="1:11">
      <c r="A214" s="41">
        <v>45891</v>
      </c>
      <c r="B214" s="41" t="s">
        <v>2044</v>
      </c>
      <c r="C214" s="87" t="s">
        <v>2046</v>
      </c>
      <c r="D214" s="43" t="s">
        <v>227</v>
      </c>
      <c r="E214" s="43" t="s">
        <v>123</v>
      </c>
      <c r="F214" s="45">
        <v>12000</v>
      </c>
      <c r="G214" s="45">
        <v>0.45</v>
      </c>
      <c r="H214" s="45">
        <f t="shared" si="12"/>
        <v>5400</v>
      </c>
      <c r="I214" s="43" t="s">
        <v>437</v>
      </c>
      <c r="J214" s="43"/>
      <c r="K214" s="43"/>
    </row>
    <row r="215" spans="1:11">
      <c r="A215" s="41">
        <v>45891</v>
      </c>
      <c r="B215" s="41" t="s">
        <v>2044</v>
      </c>
      <c r="C215" s="87" t="s">
        <v>2046</v>
      </c>
      <c r="D215" s="43" t="s">
        <v>227</v>
      </c>
      <c r="E215" s="43" t="s">
        <v>2047</v>
      </c>
      <c r="F215" s="45">
        <v>4242</v>
      </c>
      <c r="G215" s="45">
        <v>0.42</v>
      </c>
      <c r="H215" s="45">
        <f t="shared" si="12"/>
        <v>1781.64</v>
      </c>
      <c r="I215" s="43" t="s">
        <v>65</v>
      </c>
      <c r="J215" s="43"/>
      <c r="K215" s="43"/>
    </row>
    <row r="216" spans="1:11">
      <c r="A216" s="41">
        <v>45880</v>
      </c>
      <c r="B216" s="41" t="s">
        <v>97</v>
      </c>
      <c r="C216" s="87" t="s">
        <v>2045</v>
      </c>
      <c r="D216" s="43" t="s">
        <v>2048</v>
      </c>
      <c r="E216" s="43" t="s">
        <v>2049</v>
      </c>
      <c r="F216" s="43">
        <v>3010</v>
      </c>
      <c r="G216" s="43">
        <v>0.95</v>
      </c>
      <c r="H216" s="45">
        <f t="shared" si="12"/>
        <v>2859.5</v>
      </c>
      <c r="I216" s="43" t="s">
        <v>208</v>
      </c>
      <c r="J216" s="43" t="s">
        <v>46</v>
      </c>
      <c r="K216" s="43"/>
    </row>
    <row r="217" spans="1:11">
      <c r="A217" s="41">
        <v>45882</v>
      </c>
      <c r="B217" s="41" t="s">
        <v>97</v>
      </c>
      <c r="C217" s="43"/>
      <c r="D217" s="43" t="s">
        <v>368</v>
      </c>
      <c r="E217" s="43" t="s">
        <v>14</v>
      </c>
      <c r="F217" s="43">
        <v>40000</v>
      </c>
      <c r="G217" s="43">
        <v>0.75</v>
      </c>
      <c r="H217" s="45">
        <f t="shared" si="12"/>
        <v>30000</v>
      </c>
      <c r="I217" s="43" t="s">
        <v>2050</v>
      </c>
      <c r="J217" s="43" t="s">
        <v>46</v>
      </c>
      <c r="K217" s="43"/>
    </row>
    <row r="218" spans="1:11">
      <c r="A218" s="41">
        <v>45886</v>
      </c>
      <c r="B218" s="41" t="s">
        <v>97</v>
      </c>
      <c r="C218" s="43"/>
      <c r="D218" s="43" t="s">
        <v>413</v>
      </c>
      <c r="E218" s="43" t="s">
        <v>132</v>
      </c>
      <c r="F218" s="43">
        <v>30320</v>
      </c>
      <c r="G218" s="43">
        <v>0.8</v>
      </c>
      <c r="H218" s="45">
        <f t="shared" si="12"/>
        <v>24256</v>
      </c>
      <c r="I218" s="43" t="s">
        <v>45</v>
      </c>
      <c r="J218" s="43"/>
      <c r="K218" s="43"/>
    </row>
    <row r="219" spans="1:11">
      <c r="A219" s="41">
        <v>45889</v>
      </c>
      <c r="B219" s="41" t="s">
        <v>97</v>
      </c>
      <c r="C219" s="43"/>
      <c r="D219" s="43" t="s">
        <v>387</v>
      </c>
      <c r="E219" s="43" t="s">
        <v>2051</v>
      </c>
      <c r="F219" s="43">
        <v>3010</v>
      </c>
      <c r="G219" s="43">
        <v>1.35</v>
      </c>
      <c r="H219" s="45">
        <f t="shared" si="12"/>
        <v>4063.5</v>
      </c>
      <c r="I219" s="43" t="s">
        <v>235</v>
      </c>
      <c r="J219" s="43" t="s">
        <v>90</v>
      </c>
      <c r="K219" s="43">
        <v>1.52</v>
      </c>
    </row>
    <row r="220" spans="1:11">
      <c r="A220" s="41">
        <v>45878</v>
      </c>
      <c r="B220" s="41" t="s">
        <v>118</v>
      </c>
      <c r="C220" s="43" t="s">
        <v>2052</v>
      </c>
      <c r="D220" s="43" t="s">
        <v>530</v>
      </c>
      <c r="E220" s="43" t="s">
        <v>14</v>
      </c>
      <c r="F220" s="43">
        <v>52330</v>
      </c>
      <c r="G220" s="43">
        <v>1.13</v>
      </c>
      <c r="H220" s="45">
        <f t="shared" si="12"/>
        <v>59132.9</v>
      </c>
      <c r="I220" s="43" t="s">
        <v>45</v>
      </c>
      <c r="J220" s="43" t="s">
        <v>46</v>
      </c>
      <c r="K220" s="43"/>
    </row>
    <row r="221" spans="1:11">
      <c r="A221" s="41">
        <v>45880</v>
      </c>
      <c r="B221" s="41" t="s">
        <v>269</v>
      </c>
      <c r="C221" s="43">
        <v>20250811001</v>
      </c>
      <c r="D221" s="43" t="s">
        <v>38</v>
      </c>
      <c r="E221" s="43" t="s">
        <v>14</v>
      </c>
      <c r="F221" s="43">
        <v>25200</v>
      </c>
      <c r="G221" s="43">
        <v>1.3</v>
      </c>
      <c r="H221" s="45">
        <f t="shared" si="12"/>
        <v>32760</v>
      </c>
      <c r="I221" s="43" t="s">
        <v>579</v>
      </c>
      <c r="J221" s="43" t="s">
        <v>46</v>
      </c>
      <c r="K221" s="43"/>
    </row>
    <row r="222" spans="1:11">
      <c r="A222" s="41">
        <v>45889</v>
      </c>
      <c r="B222" s="43" t="s">
        <v>269</v>
      </c>
      <c r="C222" s="43">
        <v>20250820001</v>
      </c>
      <c r="D222" s="43" t="s">
        <v>270</v>
      </c>
      <c r="E222" s="43" t="s">
        <v>14</v>
      </c>
      <c r="F222" s="43">
        <v>30056</v>
      </c>
      <c r="G222" s="43">
        <v>1.2</v>
      </c>
      <c r="H222" s="43">
        <f t="shared" si="12"/>
        <v>36067.2</v>
      </c>
      <c r="I222" s="43" t="s">
        <v>271</v>
      </c>
      <c r="J222" s="43" t="s">
        <v>46</v>
      </c>
      <c r="K222" s="43"/>
    </row>
    <row r="223" spans="1:11">
      <c r="A223" s="41">
        <v>45889</v>
      </c>
      <c r="B223" s="43" t="s">
        <v>269</v>
      </c>
      <c r="C223" s="43">
        <v>20250820001</v>
      </c>
      <c r="D223" s="43" t="s">
        <v>270</v>
      </c>
      <c r="E223" s="43" t="s">
        <v>14</v>
      </c>
      <c r="F223" s="43">
        <v>21544</v>
      </c>
      <c r="G223" s="43">
        <v>1.2</v>
      </c>
      <c r="H223" s="43">
        <f t="shared" si="12"/>
        <v>25852.8</v>
      </c>
      <c r="I223" s="43" t="s">
        <v>271</v>
      </c>
      <c r="J223" s="43" t="s">
        <v>46</v>
      </c>
      <c r="K223" s="43"/>
    </row>
    <row r="224" spans="1:11">
      <c r="A224" s="41">
        <v>45875</v>
      </c>
      <c r="B224" s="43" t="s">
        <v>272</v>
      </c>
      <c r="C224" s="43">
        <v>20250729</v>
      </c>
      <c r="D224" s="43" t="s">
        <v>252</v>
      </c>
      <c r="E224" s="43" t="s">
        <v>14</v>
      </c>
      <c r="F224" s="43">
        <v>100000</v>
      </c>
      <c r="G224" s="43">
        <v>0.45</v>
      </c>
      <c r="H224" s="43">
        <f t="shared" ref="H224:H237" si="13">F224*G224</f>
        <v>45000</v>
      </c>
      <c r="I224" s="43" t="s">
        <v>126</v>
      </c>
      <c r="J224" s="43" t="s">
        <v>46</v>
      </c>
      <c r="K224" s="43" t="s">
        <v>701</v>
      </c>
    </row>
    <row r="225" spans="1:11">
      <c r="A225" s="41">
        <v>45875</v>
      </c>
      <c r="B225" s="43" t="s">
        <v>177</v>
      </c>
      <c r="C225" s="43" t="s">
        <v>1849</v>
      </c>
      <c r="D225" s="43" t="s">
        <v>1428</v>
      </c>
      <c r="E225" s="43" t="s">
        <v>14</v>
      </c>
      <c r="F225" s="43">
        <v>15000</v>
      </c>
      <c r="G225" s="43">
        <v>1.42</v>
      </c>
      <c r="H225" s="43">
        <f t="shared" si="13"/>
        <v>21300</v>
      </c>
      <c r="I225" s="43" t="s">
        <v>1429</v>
      </c>
      <c r="J225" s="43" t="s">
        <v>46</v>
      </c>
      <c r="K225" s="43"/>
    </row>
    <row r="226" s="33" customFormat="1" spans="1:11">
      <c r="A226" s="44">
        <v>45873</v>
      </c>
      <c r="B226" s="45" t="s">
        <v>194</v>
      </c>
      <c r="C226" s="45"/>
      <c r="D226" s="45" t="s">
        <v>195</v>
      </c>
      <c r="E226" s="45" t="s">
        <v>99</v>
      </c>
      <c r="F226" s="45">
        <v>3029</v>
      </c>
      <c r="G226" s="45">
        <v>0.83</v>
      </c>
      <c r="H226" s="45">
        <f t="shared" si="13"/>
        <v>2514.07</v>
      </c>
      <c r="I226" s="45" t="s">
        <v>206</v>
      </c>
      <c r="J226" s="45" t="s">
        <v>90</v>
      </c>
      <c r="K226" s="45">
        <v>1</v>
      </c>
    </row>
    <row r="227" s="33" customFormat="1" spans="1:11">
      <c r="A227" s="44">
        <v>45875</v>
      </c>
      <c r="B227" s="45" t="s">
        <v>194</v>
      </c>
      <c r="C227" s="45"/>
      <c r="D227" s="45" t="s">
        <v>411</v>
      </c>
      <c r="E227" s="45" t="s">
        <v>2053</v>
      </c>
      <c r="F227" s="45">
        <v>2022</v>
      </c>
      <c r="G227" s="45">
        <v>2.23</v>
      </c>
      <c r="H227" s="45">
        <f t="shared" si="13"/>
        <v>4509.06</v>
      </c>
      <c r="I227" s="45" t="s">
        <v>77</v>
      </c>
      <c r="J227" s="45" t="s">
        <v>90</v>
      </c>
      <c r="K227" s="45">
        <v>2.4</v>
      </c>
    </row>
    <row r="228" s="33" customFormat="1" spans="1:11">
      <c r="A228" s="44">
        <v>45883</v>
      </c>
      <c r="B228" s="45" t="s">
        <v>194</v>
      </c>
      <c r="C228" s="45"/>
      <c r="D228" s="45" t="s">
        <v>411</v>
      </c>
      <c r="E228" s="45" t="s">
        <v>99</v>
      </c>
      <c r="F228" s="45">
        <v>5016</v>
      </c>
      <c r="G228" s="45">
        <v>1.2</v>
      </c>
      <c r="H228" s="45">
        <f t="shared" si="13"/>
        <v>6019.2</v>
      </c>
      <c r="I228" s="45" t="s">
        <v>105</v>
      </c>
      <c r="J228" s="45"/>
      <c r="K228" s="45"/>
    </row>
    <row r="229" s="33" customFormat="1" spans="1:11">
      <c r="A229" s="44">
        <v>45883</v>
      </c>
      <c r="B229" s="45" t="s">
        <v>194</v>
      </c>
      <c r="C229" s="45"/>
      <c r="D229" s="45" t="s">
        <v>198</v>
      </c>
      <c r="E229" s="45" t="s">
        <v>124</v>
      </c>
      <c r="F229" s="45">
        <v>1014</v>
      </c>
      <c r="G229" s="45">
        <v>1.05</v>
      </c>
      <c r="H229" s="45">
        <f t="shared" si="13"/>
        <v>1064.7</v>
      </c>
      <c r="I229" s="45" t="s">
        <v>208</v>
      </c>
      <c r="J229" s="45"/>
      <c r="K229" s="45"/>
    </row>
    <row r="230" s="33" customFormat="1" spans="1:11">
      <c r="A230" s="44">
        <v>45883</v>
      </c>
      <c r="B230" s="45" t="s">
        <v>194</v>
      </c>
      <c r="C230" s="45"/>
      <c r="D230" s="45" t="s">
        <v>209</v>
      </c>
      <c r="E230" s="45" t="s">
        <v>346</v>
      </c>
      <c r="F230" s="45">
        <v>2010</v>
      </c>
      <c r="G230" s="45">
        <v>1.02</v>
      </c>
      <c r="H230" s="45">
        <f t="shared" si="13"/>
        <v>2050.2</v>
      </c>
      <c r="I230" s="45" t="s">
        <v>208</v>
      </c>
      <c r="J230" s="45"/>
      <c r="K230" s="45"/>
    </row>
    <row r="231" s="33" customFormat="1" spans="1:11">
      <c r="A231" s="44">
        <v>45884</v>
      </c>
      <c r="B231" s="45" t="s">
        <v>194</v>
      </c>
      <c r="C231" s="45"/>
      <c r="D231" s="45" t="s">
        <v>380</v>
      </c>
      <c r="E231" s="45" t="s">
        <v>14</v>
      </c>
      <c r="F231" s="45">
        <v>100</v>
      </c>
      <c r="G231" s="45">
        <v>0.8</v>
      </c>
      <c r="H231" s="45">
        <f t="shared" si="13"/>
        <v>80</v>
      </c>
      <c r="I231" s="45" t="s">
        <v>61</v>
      </c>
      <c r="J231" s="45"/>
      <c r="K231" s="45"/>
    </row>
    <row r="232" s="33" customFormat="1" spans="1:11">
      <c r="A232" s="44">
        <v>45888</v>
      </c>
      <c r="B232" s="45" t="s">
        <v>194</v>
      </c>
      <c r="C232" s="45"/>
      <c r="D232" s="45" t="s">
        <v>737</v>
      </c>
      <c r="E232" s="45" t="s">
        <v>2054</v>
      </c>
      <c r="F232" s="45">
        <v>1000</v>
      </c>
      <c r="G232" s="45">
        <v>0.95</v>
      </c>
      <c r="H232" s="45">
        <f t="shared" si="13"/>
        <v>950</v>
      </c>
      <c r="I232" s="45" t="s">
        <v>193</v>
      </c>
      <c r="J232" s="45" t="s">
        <v>416</v>
      </c>
      <c r="K232" s="45">
        <v>1.18</v>
      </c>
    </row>
    <row r="233" s="33" customFormat="1" spans="1:11">
      <c r="A233" s="44">
        <v>45888</v>
      </c>
      <c r="B233" s="45" t="s">
        <v>194</v>
      </c>
      <c r="C233" s="45"/>
      <c r="D233" s="45" t="s">
        <v>209</v>
      </c>
      <c r="E233" s="45" t="s">
        <v>124</v>
      </c>
      <c r="F233" s="45">
        <v>4013</v>
      </c>
      <c r="G233" s="45">
        <v>1.02</v>
      </c>
      <c r="H233" s="45">
        <f t="shared" si="13"/>
        <v>4093.26</v>
      </c>
      <c r="I233" s="45" t="s">
        <v>208</v>
      </c>
      <c r="J233" s="45"/>
      <c r="K233" s="45"/>
    </row>
    <row r="234" s="33" customFormat="1" spans="1:11">
      <c r="A234" s="44">
        <v>45888</v>
      </c>
      <c r="B234" s="45" t="s">
        <v>194</v>
      </c>
      <c r="C234" s="45"/>
      <c r="D234" s="45" t="s">
        <v>198</v>
      </c>
      <c r="E234" s="45" t="s">
        <v>124</v>
      </c>
      <c r="F234" s="45">
        <v>1014</v>
      </c>
      <c r="G234" s="45">
        <v>1.05</v>
      </c>
      <c r="H234" s="45">
        <f t="shared" si="13"/>
        <v>1064.7</v>
      </c>
      <c r="I234" s="45" t="s">
        <v>208</v>
      </c>
      <c r="J234" s="45"/>
      <c r="K234" s="45"/>
    </row>
    <row r="235" s="33" customFormat="1" spans="1:11">
      <c r="A235" s="44">
        <v>45896</v>
      </c>
      <c r="B235" s="45" t="s">
        <v>194</v>
      </c>
      <c r="C235" s="45"/>
      <c r="D235" s="45" t="s">
        <v>411</v>
      </c>
      <c r="E235" s="45" t="s">
        <v>99</v>
      </c>
      <c r="F235" s="49">
        <v>2598</v>
      </c>
      <c r="G235" s="49">
        <v>1.1</v>
      </c>
      <c r="H235" s="49">
        <f t="shared" si="13"/>
        <v>2857.8</v>
      </c>
      <c r="I235" s="45" t="s">
        <v>35</v>
      </c>
      <c r="J235" s="45" t="s">
        <v>416</v>
      </c>
      <c r="K235" s="45">
        <v>1.33</v>
      </c>
    </row>
    <row r="236" spans="1:11">
      <c r="A236" s="44">
        <v>45876</v>
      </c>
      <c r="B236" s="45" t="s">
        <v>174</v>
      </c>
      <c r="C236" s="45">
        <v>1549776</v>
      </c>
      <c r="D236" s="45" t="s">
        <v>130</v>
      </c>
      <c r="E236" s="45" t="s">
        <v>60</v>
      </c>
      <c r="F236" s="45">
        <v>8087</v>
      </c>
      <c r="G236" s="45">
        <v>0.4</v>
      </c>
      <c r="H236" s="45">
        <f t="shared" si="13"/>
        <v>3234.8</v>
      </c>
      <c r="I236" s="45" t="s">
        <v>149</v>
      </c>
      <c r="J236" s="43"/>
      <c r="K236" s="43"/>
    </row>
    <row r="237" spans="1:11">
      <c r="A237" s="50">
        <v>45898</v>
      </c>
      <c r="B237" s="45" t="s">
        <v>174</v>
      </c>
      <c r="C237" s="45">
        <v>1549777</v>
      </c>
      <c r="D237" s="45" t="s">
        <v>130</v>
      </c>
      <c r="E237" s="45" t="s">
        <v>60</v>
      </c>
      <c r="F237" s="45">
        <v>6475</v>
      </c>
      <c r="G237" s="45">
        <v>0.4</v>
      </c>
      <c r="H237" s="45">
        <f t="shared" si="13"/>
        <v>2590</v>
      </c>
      <c r="I237" s="45" t="s">
        <v>35</v>
      </c>
      <c r="J237" s="43"/>
      <c r="K237" s="43"/>
    </row>
    <row r="238" spans="1:11">
      <c r="A238" s="50">
        <v>45878</v>
      </c>
      <c r="B238" s="45" t="s">
        <v>121</v>
      </c>
      <c r="C238" s="45"/>
      <c r="D238" s="45" t="s">
        <v>70</v>
      </c>
      <c r="E238" s="45" t="s">
        <v>136</v>
      </c>
      <c r="F238" s="45">
        <v>4000</v>
      </c>
      <c r="G238" s="45">
        <v>0.53</v>
      </c>
      <c r="H238" s="45">
        <f t="shared" ref="H238:H251" si="14">F238*G238</f>
        <v>2120</v>
      </c>
      <c r="I238" s="45" t="s">
        <v>45</v>
      </c>
      <c r="J238" s="43"/>
      <c r="K238" s="43"/>
    </row>
    <row r="239" spans="1:11">
      <c r="A239" s="44">
        <v>45877</v>
      </c>
      <c r="B239" s="45" t="s">
        <v>121</v>
      </c>
      <c r="C239" s="45"/>
      <c r="D239" s="45" t="s">
        <v>122</v>
      </c>
      <c r="E239" s="45" t="s">
        <v>60</v>
      </c>
      <c r="F239" s="45">
        <v>9390</v>
      </c>
      <c r="G239" s="45">
        <v>0.51</v>
      </c>
      <c r="H239" s="45">
        <f t="shared" si="14"/>
        <v>4788.9</v>
      </c>
      <c r="I239" s="45" t="s">
        <v>117</v>
      </c>
      <c r="J239" s="43"/>
      <c r="K239" s="43"/>
    </row>
    <row r="240" spans="1:11">
      <c r="A240" s="44">
        <v>45877</v>
      </c>
      <c r="B240" s="45" t="s">
        <v>121</v>
      </c>
      <c r="C240" s="45"/>
      <c r="D240" s="45" t="s">
        <v>122</v>
      </c>
      <c r="E240" s="45" t="s">
        <v>123</v>
      </c>
      <c r="F240" s="45">
        <v>4690</v>
      </c>
      <c r="G240" s="45">
        <v>0.5</v>
      </c>
      <c r="H240" s="45">
        <f t="shared" si="14"/>
        <v>2345</v>
      </c>
      <c r="I240" s="45" t="s">
        <v>117</v>
      </c>
      <c r="J240" s="43"/>
      <c r="K240" s="43"/>
    </row>
    <row r="241" spans="1:11">
      <c r="A241" s="41">
        <v>45880</v>
      </c>
      <c r="B241" s="41" t="s">
        <v>121</v>
      </c>
      <c r="C241" s="43"/>
      <c r="D241" s="43" t="s">
        <v>122</v>
      </c>
      <c r="E241" s="47" t="s">
        <v>123</v>
      </c>
      <c r="F241" s="43">
        <v>60000</v>
      </c>
      <c r="G241" s="43">
        <v>0.5</v>
      </c>
      <c r="H241" s="45">
        <f t="shared" si="14"/>
        <v>30000</v>
      </c>
      <c r="I241" s="43" t="s">
        <v>117</v>
      </c>
      <c r="J241" s="43"/>
      <c r="K241" s="43"/>
    </row>
    <row r="242" spans="1:11">
      <c r="A242" s="41">
        <v>45882</v>
      </c>
      <c r="B242" s="41" t="s">
        <v>121</v>
      </c>
      <c r="C242" s="43"/>
      <c r="D242" s="43" t="s">
        <v>122</v>
      </c>
      <c r="E242" s="47" t="s">
        <v>123</v>
      </c>
      <c r="F242" s="43">
        <v>30000</v>
      </c>
      <c r="G242" s="43">
        <v>0.5</v>
      </c>
      <c r="H242" s="45">
        <f t="shared" si="14"/>
        <v>15000</v>
      </c>
      <c r="I242" s="43" t="s">
        <v>117</v>
      </c>
      <c r="J242" s="43"/>
      <c r="K242" s="43"/>
    </row>
    <row r="243" spans="1:11">
      <c r="A243" s="41">
        <v>45883</v>
      </c>
      <c r="B243" s="41" t="s">
        <v>121</v>
      </c>
      <c r="C243" s="43"/>
      <c r="D243" s="43" t="s">
        <v>122</v>
      </c>
      <c r="E243" s="47" t="s">
        <v>123</v>
      </c>
      <c r="F243" s="43">
        <v>8003</v>
      </c>
      <c r="G243" s="43">
        <v>0.5</v>
      </c>
      <c r="H243" s="45">
        <f t="shared" si="14"/>
        <v>4001.5</v>
      </c>
      <c r="I243" s="43" t="s">
        <v>117</v>
      </c>
      <c r="J243" s="43"/>
      <c r="K243" s="43"/>
    </row>
    <row r="244" spans="1:11">
      <c r="A244" s="41">
        <v>45887</v>
      </c>
      <c r="B244" s="41" t="s">
        <v>121</v>
      </c>
      <c r="C244" s="43"/>
      <c r="D244" s="43" t="s">
        <v>122</v>
      </c>
      <c r="E244" s="47" t="s">
        <v>123</v>
      </c>
      <c r="F244" s="43">
        <v>9720</v>
      </c>
      <c r="G244" s="43">
        <v>0.5</v>
      </c>
      <c r="H244" s="45">
        <f t="shared" si="14"/>
        <v>4860</v>
      </c>
      <c r="I244" s="43" t="s">
        <v>117</v>
      </c>
      <c r="J244" s="43"/>
      <c r="K244" s="43"/>
    </row>
    <row r="245" spans="1:11">
      <c r="A245" s="41">
        <v>45896</v>
      </c>
      <c r="B245" s="41" t="s">
        <v>121</v>
      </c>
      <c r="C245" s="43"/>
      <c r="D245" s="43" t="s">
        <v>59</v>
      </c>
      <c r="E245" s="47" t="s">
        <v>1267</v>
      </c>
      <c r="F245" s="43">
        <v>9000</v>
      </c>
      <c r="G245" s="43">
        <v>0.56</v>
      </c>
      <c r="H245" s="45">
        <f t="shared" si="14"/>
        <v>5040</v>
      </c>
      <c r="I245" s="43" t="s">
        <v>79</v>
      </c>
      <c r="J245" s="43" t="s">
        <v>983</v>
      </c>
      <c r="K245" s="43">
        <v>0.73</v>
      </c>
    </row>
    <row r="246" spans="1:11">
      <c r="A246" s="41">
        <v>45896</v>
      </c>
      <c r="B246" s="41" t="s">
        <v>121</v>
      </c>
      <c r="C246" s="43"/>
      <c r="D246" s="43" t="s">
        <v>59</v>
      </c>
      <c r="E246" s="47" t="s">
        <v>1267</v>
      </c>
      <c r="F246" s="43">
        <v>3260</v>
      </c>
      <c r="G246" s="43">
        <v>0.56</v>
      </c>
      <c r="H246" s="45">
        <f t="shared" si="14"/>
        <v>1825.6</v>
      </c>
      <c r="I246" s="43" t="s">
        <v>79</v>
      </c>
      <c r="J246" s="43" t="s">
        <v>983</v>
      </c>
      <c r="K246" s="43">
        <v>0.73</v>
      </c>
    </row>
    <row r="247" spans="1:11">
      <c r="A247" s="41">
        <v>45896</v>
      </c>
      <c r="B247" s="41" t="s">
        <v>121</v>
      </c>
      <c r="C247" s="43"/>
      <c r="D247" s="43" t="s">
        <v>115</v>
      </c>
      <c r="E247" s="47" t="s">
        <v>123</v>
      </c>
      <c r="F247" s="43">
        <v>10150</v>
      </c>
      <c r="G247" s="43">
        <v>0.45</v>
      </c>
      <c r="H247" s="45">
        <f t="shared" si="14"/>
        <v>4567.5</v>
      </c>
      <c r="I247" s="43" t="s">
        <v>126</v>
      </c>
      <c r="J247" s="43"/>
      <c r="K247" s="43"/>
    </row>
    <row r="248" customFormat="1" spans="1:11">
      <c r="A248" s="41">
        <v>45896</v>
      </c>
      <c r="B248" s="41" t="s">
        <v>121</v>
      </c>
      <c r="C248" s="43"/>
      <c r="D248" s="43" t="s">
        <v>357</v>
      </c>
      <c r="E248" s="47" t="s">
        <v>99</v>
      </c>
      <c r="F248" s="43">
        <v>5005</v>
      </c>
      <c r="G248" s="43">
        <v>0.92</v>
      </c>
      <c r="H248" s="45">
        <f t="shared" si="14"/>
        <v>4604.6</v>
      </c>
      <c r="I248" s="43" t="s">
        <v>1241</v>
      </c>
      <c r="J248" s="43"/>
      <c r="K248" s="43"/>
    </row>
    <row r="249" s="34" customFormat="1" spans="1:11">
      <c r="A249" s="46">
        <v>45880</v>
      </c>
      <c r="B249" s="42" t="s">
        <v>1862</v>
      </c>
      <c r="C249" s="42" t="s">
        <v>2055</v>
      </c>
      <c r="D249" s="42" t="s">
        <v>217</v>
      </c>
      <c r="E249" s="42" t="s">
        <v>2056</v>
      </c>
      <c r="F249" s="45">
        <v>300</v>
      </c>
      <c r="G249" s="45">
        <v>0.5</v>
      </c>
      <c r="H249" s="42">
        <f t="shared" si="14"/>
        <v>150</v>
      </c>
      <c r="I249" s="42" t="s">
        <v>1868</v>
      </c>
      <c r="J249" s="42"/>
      <c r="K249" s="42"/>
    </row>
    <row r="250" s="34" customFormat="1" spans="1:11">
      <c r="A250" s="46">
        <v>45880</v>
      </c>
      <c r="B250" s="42" t="s">
        <v>1862</v>
      </c>
      <c r="C250" s="42" t="s">
        <v>2057</v>
      </c>
      <c r="D250" s="42" t="s">
        <v>217</v>
      </c>
      <c r="E250" s="45" t="s">
        <v>2058</v>
      </c>
      <c r="F250" s="45">
        <v>300</v>
      </c>
      <c r="G250" s="45">
        <v>2.2</v>
      </c>
      <c r="H250" s="42">
        <f t="shared" si="14"/>
        <v>660</v>
      </c>
      <c r="I250" s="42" t="s">
        <v>1429</v>
      </c>
      <c r="J250" s="42"/>
      <c r="K250" s="42"/>
    </row>
    <row r="251" s="34" customFormat="1" spans="1:11">
      <c r="A251" s="46">
        <v>45880</v>
      </c>
      <c r="B251" s="42" t="s">
        <v>1862</v>
      </c>
      <c r="C251" s="42" t="s">
        <v>2057</v>
      </c>
      <c r="D251" s="42" t="s">
        <v>217</v>
      </c>
      <c r="E251" s="45" t="s">
        <v>2059</v>
      </c>
      <c r="F251" s="45">
        <v>300</v>
      </c>
      <c r="G251" s="45">
        <v>2.2</v>
      </c>
      <c r="H251" s="42">
        <f t="shared" si="14"/>
        <v>660</v>
      </c>
      <c r="I251" s="42" t="s">
        <v>271</v>
      </c>
      <c r="J251" s="42"/>
      <c r="K251" s="42"/>
    </row>
    <row r="252" s="34" customFormat="1" spans="1:11">
      <c r="A252" s="46">
        <v>45880</v>
      </c>
      <c r="B252" s="42" t="s">
        <v>1862</v>
      </c>
      <c r="C252" s="42" t="s">
        <v>2057</v>
      </c>
      <c r="D252" s="42" t="s">
        <v>217</v>
      </c>
      <c r="E252" s="45" t="s">
        <v>2060</v>
      </c>
      <c r="F252" s="45">
        <v>200</v>
      </c>
      <c r="G252" s="45">
        <v>3.1</v>
      </c>
      <c r="H252" s="42">
        <f t="shared" ref="H252:H260" si="15">F252*G252</f>
        <v>620</v>
      </c>
      <c r="I252" s="42" t="s">
        <v>271</v>
      </c>
      <c r="J252" s="42"/>
      <c r="K252" s="42"/>
    </row>
    <row r="253" s="34" customFormat="1" spans="1:11">
      <c r="A253" s="46">
        <v>45880</v>
      </c>
      <c r="B253" s="42" t="s">
        <v>1862</v>
      </c>
      <c r="C253" s="42" t="s">
        <v>2061</v>
      </c>
      <c r="D253" s="42" t="s">
        <v>217</v>
      </c>
      <c r="E253" s="42" t="s">
        <v>2062</v>
      </c>
      <c r="F253" s="45">
        <v>1000</v>
      </c>
      <c r="G253" s="45">
        <v>0.4</v>
      </c>
      <c r="H253" s="42">
        <f t="shared" si="15"/>
        <v>400</v>
      </c>
      <c r="I253" s="42" t="s">
        <v>1868</v>
      </c>
      <c r="J253" s="42"/>
      <c r="K253" s="42"/>
    </row>
    <row r="254" s="34" customFormat="1" spans="1:11">
      <c r="A254" s="46">
        <v>45884</v>
      </c>
      <c r="B254" s="42" t="s">
        <v>1862</v>
      </c>
      <c r="C254" s="42" t="s">
        <v>2063</v>
      </c>
      <c r="D254" s="42" t="s">
        <v>217</v>
      </c>
      <c r="E254" s="42" t="s">
        <v>2064</v>
      </c>
      <c r="F254" s="45">
        <v>100</v>
      </c>
      <c r="G254" s="45">
        <v>2.75</v>
      </c>
      <c r="H254" s="42">
        <f t="shared" si="15"/>
        <v>275</v>
      </c>
      <c r="I254" s="42" t="s">
        <v>271</v>
      </c>
      <c r="J254" s="42"/>
      <c r="K254" s="42"/>
    </row>
    <row r="255" s="34" customFormat="1" spans="1:11">
      <c r="A255" s="46">
        <v>45884</v>
      </c>
      <c r="B255" s="42" t="s">
        <v>1862</v>
      </c>
      <c r="C255" s="42" t="s">
        <v>2063</v>
      </c>
      <c r="D255" s="42" t="s">
        <v>217</v>
      </c>
      <c r="E255" s="42" t="s">
        <v>2065</v>
      </c>
      <c r="F255" s="45">
        <v>100</v>
      </c>
      <c r="G255" s="45">
        <v>2.75</v>
      </c>
      <c r="H255" s="42">
        <f t="shared" si="15"/>
        <v>275</v>
      </c>
      <c r="I255" s="42" t="s">
        <v>271</v>
      </c>
      <c r="J255" s="42"/>
      <c r="K255" s="42"/>
    </row>
    <row r="256" s="34" customFormat="1" spans="1:11">
      <c r="A256" s="46">
        <v>45884</v>
      </c>
      <c r="B256" s="42" t="s">
        <v>1862</v>
      </c>
      <c r="C256" s="42" t="s">
        <v>2063</v>
      </c>
      <c r="D256" s="42" t="s">
        <v>217</v>
      </c>
      <c r="E256" s="42" t="s">
        <v>1869</v>
      </c>
      <c r="F256" s="45">
        <v>100</v>
      </c>
      <c r="G256" s="45">
        <v>2.6</v>
      </c>
      <c r="H256" s="45">
        <f t="shared" si="15"/>
        <v>260</v>
      </c>
      <c r="I256" s="42" t="s">
        <v>1429</v>
      </c>
      <c r="J256" s="42"/>
      <c r="K256" s="42"/>
    </row>
    <row r="257" s="34" customFormat="1" spans="1:11">
      <c r="A257" s="46">
        <v>45891</v>
      </c>
      <c r="B257" s="42" t="s">
        <v>1862</v>
      </c>
      <c r="C257" s="42" t="s">
        <v>2066</v>
      </c>
      <c r="D257" s="42" t="s">
        <v>217</v>
      </c>
      <c r="E257" s="42" t="s">
        <v>2058</v>
      </c>
      <c r="F257" s="45">
        <v>300</v>
      </c>
      <c r="G257" s="45">
        <v>2.2</v>
      </c>
      <c r="H257" s="45">
        <f t="shared" si="15"/>
        <v>660</v>
      </c>
      <c r="I257" s="42" t="s">
        <v>2034</v>
      </c>
      <c r="J257" s="42"/>
      <c r="K257" s="42"/>
    </row>
    <row r="258" s="34" customFormat="1" spans="1:11">
      <c r="A258" s="46">
        <v>45896</v>
      </c>
      <c r="B258" s="42" t="s">
        <v>1862</v>
      </c>
      <c r="C258" s="42" t="s">
        <v>2067</v>
      </c>
      <c r="D258" s="42" t="s">
        <v>217</v>
      </c>
      <c r="E258" s="42" t="s">
        <v>2068</v>
      </c>
      <c r="F258" s="48">
        <v>100</v>
      </c>
      <c r="G258" s="48">
        <v>2.3</v>
      </c>
      <c r="H258" s="42">
        <f t="shared" si="15"/>
        <v>230</v>
      </c>
      <c r="I258" s="42" t="s">
        <v>1429</v>
      </c>
      <c r="J258" s="42"/>
      <c r="K258" s="42"/>
    </row>
    <row r="259" s="34" customFormat="1" spans="1:11">
      <c r="A259" s="46">
        <v>45896</v>
      </c>
      <c r="B259" s="42" t="s">
        <v>1862</v>
      </c>
      <c r="C259" s="42" t="s">
        <v>2067</v>
      </c>
      <c r="D259" s="42" t="s">
        <v>217</v>
      </c>
      <c r="E259" s="42" t="s">
        <v>2069</v>
      </c>
      <c r="F259" s="48">
        <v>100</v>
      </c>
      <c r="G259" s="48">
        <v>2.4</v>
      </c>
      <c r="H259" s="42">
        <f t="shared" si="15"/>
        <v>240</v>
      </c>
      <c r="I259" s="42" t="s">
        <v>1429</v>
      </c>
      <c r="J259" s="42"/>
      <c r="K259" s="42"/>
    </row>
    <row r="260" s="34" customFormat="1" spans="1:11">
      <c r="A260" s="46">
        <v>45897</v>
      </c>
      <c r="B260" s="42" t="s">
        <v>1862</v>
      </c>
      <c r="C260" s="42" t="s">
        <v>2070</v>
      </c>
      <c r="D260" s="42" t="s">
        <v>217</v>
      </c>
      <c r="E260" s="42" t="s">
        <v>1869</v>
      </c>
      <c r="F260" s="48">
        <v>200</v>
      </c>
      <c r="G260" s="48">
        <v>2.6</v>
      </c>
      <c r="H260" s="42">
        <f t="shared" si="15"/>
        <v>520</v>
      </c>
      <c r="I260" s="42" t="s">
        <v>61</v>
      </c>
      <c r="J260" s="42"/>
      <c r="K260" s="42"/>
    </row>
    <row r="261" spans="1:11">
      <c r="A261" s="41">
        <v>45874</v>
      </c>
      <c r="B261" s="43" t="s">
        <v>1407</v>
      </c>
      <c r="C261" s="87" t="s">
        <v>2071</v>
      </c>
      <c r="D261" s="43" t="s">
        <v>148</v>
      </c>
      <c r="E261" s="43" t="s">
        <v>2072</v>
      </c>
      <c r="F261" s="43">
        <v>14551</v>
      </c>
      <c r="G261" s="43">
        <v>0.52</v>
      </c>
      <c r="H261" s="43">
        <f t="shared" ref="H261:H275" si="16">F261*G261</f>
        <v>7566.52</v>
      </c>
      <c r="I261" s="43" t="s">
        <v>77</v>
      </c>
      <c r="J261" s="43"/>
      <c r="K261" s="43"/>
    </row>
    <row r="262" spans="1:11">
      <c r="A262" s="41">
        <v>45874</v>
      </c>
      <c r="B262" s="43" t="s">
        <v>1407</v>
      </c>
      <c r="C262" s="87" t="s">
        <v>2071</v>
      </c>
      <c r="D262" s="43" t="s">
        <v>2073</v>
      </c>
      <c r="E262" s="43" t="s">
        <v>2072</v>
      </c>
      <c r="F262" s="43">
        <v>2030</v>
      </c>
      <c r="G262" s="43">
        <v>0.52</v>
      </c>
      <c r="H262" s="43">
        <f t="shared" si="16"/>
        <v>1055.6</v>
      </c>
      <c r="I262" s="43" t="s">
        <v>77</v>
      </c>
      <c r="J262" s="43"/>
      <c r="K262" s="43"/>
    </row>
    <row r="263" spans="1:11">
      <c r="A263" s="41">
        <v>45878</v>
      </c>
      <c r="B263" s="43" t="s">
        <v>1407</v>
      </c>
      <c r="C263" s="87" t="s">
        <v>2074</v>
      </c>
      <c r="D263" s="43" t="s">
        <v>59</v>
      </c>
      <c r="E263" s="43" t="s">
        <v>62</v>
      </c>
      <c r="F263" s="43">
        <v>4005</v>
      </c>
      <c r="G263" s="43">
        <v>0.54</v>
      </c>
      <c r="H263" s="43">
        <f t="shared" si="16"/>
        <v>2162.7</v>
      </c>
      <c r="I263" s="43" t="s">
        <v>77</v>
      </c>
      <c r="J263" s="43"/>
      <c r="K263" s="43"/>
    </row>
    <row r="264" spans="1:11">
      <c r="A264" s="41">
        <v>45884</v>
      </c>
      <c r="B264" s="43" t="s">
        <v>1407</v>
      </c>
      <c r="C264" s="87" t="s">
        <v>2075</v>
      </c>
      <c r="D264" s="43" t="s">
        <v>59</v>
      </c>
      <c r="E264" s="43" t="s">
        <v>62</v>
      </c>
      <c r="F264" s="43">
        <v>200</v>
      </c>
      <c r="G264" s="43">
        <v>0.52</v>
      </c>
      <c r="H264" s="43">
        <f t="shared" si="16"/>
        <v>104</v>
      </c>
      <c r="I264" s="43" t="s">
        <v>77</v>
      </c>
      <c r="J264" s="43"/>
      <c r="K264" s="43"/>
    </row>
    <row r="265" spans="1:11">
      <c r="A265" s="41">
        <v>45875</v>
      </c>
      <c r="B265" s="43" t="s">
        <v>539</v>
      </c>
      <c r="C265" s="43" t="s">
        <v>2076</v>
      </c>
      <c r="D265" s="43" t="s">
        <v>2077</v>
      </c>
      <c r="E265" s="43" t="s">
        <v>14</v>
      </c>
      <c r="F265" s="43">
        <v>30500</v>
      </c>
      <c r="G265" s="43">
        <v>0.66</v>
      </c>
      <c r="H265" s="43">
        <f t="shared" si="16"/>
        <v>20130</v>
      </c>
      <c r="I265" s="43" t="s">
        <v>2078</v>
      </c>
      <c r="J265" s="43" t="s">
        <v>46</v>
      </c>
      <c r="K265" s="43"/>
    </row>
    <row r="266" s="34" customFormat="1" spans="1:11">
      <c r="A266" s="46">
        <v>45874</v>
      </c>
      <c r="B266" s="46" t="s">
        <v>2044</v>
      </c>
      <c r="C266" s="88" t="s">
        <v>2079</v>
      </c>
      <c r="D266" s="42" t="s">
        <v>227</v>
      </c>
      <c r="E266" s="42" t="s">
        <v>123</v>
      </c>
      <c r="F266" s="45">
        <v>12234</v>
      </c>
      <c r="G266" s="45">
        <v>0.45</v>
      </c>
      <c r="H266" s="42">
        <f t="shared" si="16"/>
        <v>5505.3</v>
      </c>
      <c r="I266" s="42" t="s">
        <v>437</v>
      </c>
      <c r="J266" s="42"/>
      <c r="K266" s="42"/>
    </row>
    <row r="267" s="34" customFormat="1" spans="1:11">
      <c r="A267" s="46">
        <v>45874</v>
      </c>
      <c r="B267" s="46" t="s">
        <v>2044</v>
      </c>
      <c r="C267" s="88" t="s">
        <v>2079</v>
      </c>
      <c r="D267" s="42" t="s">
        <v>227</v>
      </c>
      <c r="E267" s="42" t="s">
        <v>60</v>
      </c>
      <c r="F267" s="45">
        <v>20335</v>
      </c>
      <c r="G267" s="45">
        <v>0.4</v>
      </c>
      <c r="H267" s="42">
        <f t="shared" si="16"/>
        <v>8134</v>
      </c>
      <c r="I267" s="42" t="s">
        <v>356</v>
      </c>
      <c r="J267" s="42"/>
      <c r="K267" s="42"/>
    </row>
    <row r="268" s="34" customFormat="1" spans="1:11">
      <c r="A268" s="46">
        <v>45874</v>
      </c>
      <c r="B268" s="46" t="s">
        <v>2044</v>
      </c>
      <c r="C268" s="88" t="s">
        <v>2079</v>
      </c>
      <c r="D268" s="42" t="s">
        <v>227</v>
      </c>
      <c r="E268" s="42" t="s">
        <v>62</v>
      </c>
      <c r="F268" s="45">
        <v>383</v>
      </c>
      <c r="G268" s="45">
        <v>0.42</v>
      </c>
      <c r="H268" s="42">
        <f t="shared" si="16"/>
        <v>160.86</v>
      </c>
      <c r="I268" s="42" t="s">
        <v>65</v>
      </c>
      <c r="J268" s="42"/>
      <c r="K268" s="42"/>
    </row>
    <row r="269" s="34" customFormat="1" spans="1:11">
      <c r="A269" s="46">
        <v>45894</v>
      </c>
      <c r="B269" s="46" t="s">
        <v>2044</v>
      </c>
      <c r="C269" s="88" t="s">
        <v>2080</v>
      </c>
      <c r="D269" s="42" t="s">
        <v>227</v>
      </c>
      <c r="E269" s="42" t="s">
        <v>123</v>
      </c>
      <c r="F269" s="45">
        <v>6221</v>
      </c>
      <c r="G269" s="45">
        <v>0.45</v>
      </c>
      <c r="H269" s="42">
        <f t="shared" si="16"/>
        <v>2799.45</v>
      </c>
      <c r="I269" s="42" t="s">
        <v>437</v>
      </c>
      <c r="J269" s="42" t="s">
        <v>979</v>
      </c>
      <c r="K269" s="42"/>
    </row>
    <row r="270" s="34" customFormat="1" spans="1:11">
      <c r="A270" s="46">
        <v>45894</v>
      </c>
      <c r="B270" s="46" t="s">
        <v>2044</v>
      </c>
      <c r="C270" s="88" t="s">
        <v>2080</v>
      </c>
      <c r="D270" s="42" t="s">
        <v>227</v>
      </c>
      <c r="E270" s="42" t="s">
        <v>60</v>
      </c>
      <c r="F270" s="45">
        <v>207</v>
      </c>
      <c r="G270" s="45">
        <v>0.45</v>
      </c>
      <c r="H270" s="42">
        <f t="shared" si="16"/>
        <v>93.15</v>
      </c>
      <c r="I270" s="42" t="s">
        <v>437</v>
      </c>
      <c r="J270" s="42"/>
      <c r="K270" s="42"/>
    </row>
    <row r="271" spans="1:11">
      <c r="A271" s="41">
        <v>45870</v>
      </c>
      <c r="B271" s="43" t="s">
        <v>138</v>
      </c>
      <c r="C271" s="43">
        <v>2025077</v>
      </c>
      <c r="D271" s="43" t="s">
        <v>201</v>
      </c>
      <c r="E271" s="43" t="s">
        <v>2081</v>
      </c>
      <c r="F271" s="43">
        <v>10000</v>
      </c>
      <c r="G271" s="43">
        <v>0.015</v>
      </c>
      <c r="H271" s="43">
        <f t="shared" si="16"/>
        <v>150</v>
      </c>
      <c r="I271" s="43" t="s">
        <v>433</v>
      </c>
      <c r="J271" s="43" t="s">
        <v>46</v>
      </c>
      <c r="K271" s="43"/>
    </row>
    <row r="272" spans="1:11">
      <c r="A272" s="41">
        <v>45870</v>
      </c>
      <c r="B272" s="43" t="s">
        <v>138</v>
      </c>
      <c r="C272" s="43">
        <v>2025076</v>
      </c>
      <c r="D272" s="43" t="s">
        <v>285</v>
      </c>
      <c r="E272" s="43" t="s">
        <v>2082</v>
      </c>
      <c r="F272" s="43">
        <v>10000</v>
      </c>
      <c r="G272" s="43">
        <v>0.04</v>
      </c>
      <c r="H272" s="43">
        <f t="shared" si="16"/>
        <v>400</v>
      </c>
      <c r="I272" s="43" t="s">
        <v>1920</v>
      </c>
      <c r="J272" s="43" t="s">
        <v>46</v>
      </c>
      <c r="K272" s="43"/>
    </row>
    <row r="273" spans="1:11">
      <c r="A273" s="41">
        <v>45878</v>
      </c>
      <c r="B273" s="43" t="s">
        <v>138</v>
      </c>
      <c r="C273" s="43">
        <v>2025078</v>
      </c>
      <c r="D273" s="43" t="s">
        <v>2083</v>
      </c>
      <c r="E273" s="43" t="s">
        <v>1279</v>
      </c>
      <c r="F273" s="43">
        <v>7500</v>
      </c>
      <c r="G273" s="43">
        <v>0.02</v>
      </c>
      <c r="H273" s="43">
        <f t="shared" si="16"/>
        <v>150</v>
      </c>
      <c r="I273" s="43" t="s">
        <v>45</v>
      </c>
      <c r="J273" s="43" t="s">
        <v>46</v>
      </c>
      <c r="K273" s="43"/>
    </row>
    <row r="274" spans="1:11">
      <c r="A274" s="41">
        <v>45878</v>
      </c>
      <c r="B274" s="43" t="s">
        <v>138</v>
      </c>
      <c r="C274" s="43">
        <v>2025078</v>
      </c>
      <c r="D274" s="43" t="s">
        <v>1158</v>
      </c>
      <c r="E274" s="43" t="s">
        <v>1796</v>
      </c>
      <c r="F274" s="43">
        <v>10000</v>
      </c>
      <c r="G274" s="43">
        <v>0.03</v>
      </c>
      <c r="H274" s="43">
        <f t="shared" si="16"/>
        <v>300</v>
      </c>
      <c r="I274" s="43" t="s">
        <v>45</v>
      </c>
      <c r="J274" s="43" t="s">
        <v>46</v>
      </c>
      <c r="K274" s="43"/>
    </row>
    <row r="275" spans="1:11">
      <c r="A275" s="41">
        <v>45881</v>
      </c>
      <c r="B275" s="43" t="s">
        <v>138</v>
      </c>
      <c r="C275" s="43">
        <v>2025080</v>
      </c>
      <c r="D275" s="43" t="s">
        <v>183</v>
      </c>
      <c r="E275" s="43" t="s">
        <v>2084</v>
      </c>
      <c r="F275" s="43">
        <v>12000</v>
      </c>
      <c r="G275" s="43">
        <v>0.02</v>
      </c>
      <c r="H275" s="43">
        <f t="shared" si="16"/>
        <v>240</v>
      </c>
      <c r="I275" s="43" t="s">
        <v>45</v>
      </c>
      <c r="J275" s="43" t="s">
        <v>46</v>
      </c>
      <c r="K275" s="43"/>
    </row>
    <row r="276" spans="1:11">
      <c r="A276" s="41">
        <v>45881</v>
      </c>
      <c r="B276" s="43" t="s">
        <v>138</v>
      </c>
      <c r="C276" s="43">
        <v>2025080</v>
      </c>
      <c r="D276" s="43" t="s">
        <v>399</v>
      </c>
      <c r="E276" s="43" t="s">
        <v>1279</v>
      </c>
      <c r="F276" s="43">
        <v>10500</v>
      </c>
      <c r="G276" s="43"/>
      <c r="H276" s="43">
        <v>150</v>
      </c>
      <c r="I276" s="43" t="s">
        <v>45</v>
      </c>
      <c r="J276" s="43" t="s">
        <v>46</v>
      </c>
      <c r="K276" s="43"/>
    </row>
    <row r="277" spans="1:11">
      <c r="A277" s="41">
        <v>45892</v>
      </c>
      <c r="B277" s="43" t="s">
        <v>138</v>
      </c>
      <c r="C277" s="43">
        <v>2025081</v>
      </c>
      <c r="D277" s="43" t="s">
        <v>399</v>
      </c>
      <c r="E277" s="43" t="s">
        <v>1279</v>
      </c>
      <c r="F277" s="43">
        <v>10500</v>
      </c>
      <c r="G277" s="43"/>
      <c r="H277" s="43">
        <v>150</v>
      </c>
      <c r="I277" s="43" t="s">
        <v>37</v>
      </c>
      <c r="J277" s="43" t="s">
        <v>46</v>
      </c>
      <c r="K277" s="43"/>
    </row>
    <row r="278" spans="1:11">
      <c r="A278" s="41">
        <v>45892</v>
      </c>
      <c r="B278" s="43" t="s">
        <v>138</v>
      </c>
      <c r="C278" s="43">
        <v>2025081</v>
      </c>
      <c r="D278" s="43" t="s">
        <v>18</v>
      </c>
      <c r="E278" s="43" t="s">
        <v>1279</v>
      </c>
      <c r="F278" s="43">
        <v>10500</v>
      </c>
      <c r="G278" s="43"/>
      <c r="H278" s="43">
        <v>150</v>
      </c>
      <c r="I278" s="43" t="s">
        <v>982</v>
      </c>
      <c r="J278" s="43" t="s">
        <v>46</v>
      </c>
      <c r="K278" s="43"/>
    </row>
    <row r="279" spans="1:11">
      <c r="A279" s="41">
        <v>45894</v>
      </c>
      <c r="B279" s="43" t="s">
        <v>138</v>
      </c>
      <c r="C279" s="43">
        <v>2025082</v>
      </c>
      <c r="D279" s="43" t="s">
        <v>560</v>
      </c>
      <c r="E279" s="43" t="s">
        <v>1279</v>
      </c>
      <c r="F279" s="43">
        <v>12000</v>
      </c>
      <c r="G279" s="43"/>
      <c r="H279" s="43">
        <v>150</v>
      </c>
      <c r="I279" s="43" t="s">
        <v>45</v>
      </c>
      <c r="J279" s="43" t="s">
        <v>46</v>
      </c>
      <c r="K279" s="43"/>
    </row>
    <row r="280" spans="1:11">
      <c r="A280" s="41">
        <v>45870</v>
      </c>
      <c r="B280" s="43" t="s">
        <v>1585</v>
      </c>
      <c r="C280" s="87" t="s">
        <v>1586</v>
      </c>
      <c r="D280" s="43" t="s">
        <v>680</v>
      </c>
      <c r="E280" s="43" t="s">
        <v>2085</v>
      </c>
      <c r="F280" s="43">
        <v>20000</v>
      </c>
      <c r="G280" s="43">
        <v>0.015</v>
      </c>
      <c r="H280" s="43">
        <f t="shared" ref="H280:H292" si="17">F280*G280</f>
        <v>300</v>
      </c>
      <c r="I280" s="43" t="s">
        <v>1718</v>
      </c>
      <c r="J280" s="43" t="s">
        <v>46</v>
      </c>
      <c r="K280" s="43" t="s">
        <v>2086</v>
      </c>
    </row>
    <row r="281" spans="1:11">
      <c r="A281" s="41">
        <v>45875</v>
      </c>
      <c r="B281" s="43" t="s">
        <v>906</v>
      </c>
      <c r="C281" s="43" t="s">
        <v>2087</v>
      </c>
      <c r="D281" s="43" t="s">
        <v>1615</v>
      </c>
      <c r="E281" s="43" t="s">
        <v>158</v>
      </c>
      <c r="F281" s="33">
        <v>120000</v>
      </c>
      <c r="G281" s="45">
        <v>0.17</v>
      </c>
      <c r="H281" s="43">
        <f t="shared" si="17"/>
        <v>20400</v>
      </c>
      <c r="I281" s="43" t="s">
        <v>546</v>
      </c>
      <c r="J281" s="43" t="s">
        <v>46</v>
      </c>
      <c r="K281" s="43"/>
    </row>
    <row r="282" spans="1:11">
      <c r="A282" s="41">
        <v>45876</v>
      </c>
      <c r="B282" s="43" t="s">
        <v>906</v>
      </c>
      <c r="C282" s="43" t="s">
        <v>1805</v>
      </c>
      <c r="D282" s="43" t="s">
        <v>1619</v>
      </c>
      <c r="E282" s="43" t="s">
        <v>158</v>
      </c>
      <c r="F282" s="33">
        <v>104000</v>
      </c>
      <c r="G282" s="45">
        <v>0.17</v>
      </c>
      <c r="H282" s="43">
        <f t="shared" si="17"/>
        <v>17680</v>
      </c>
      <c r="I282" s="43" t="s">
        <v>546</v>
      </c>
      <c r="J282" s="43" t="s">
        <v>46</v>
      </c>
      <c r="K282" s="43"/>
    </row>
    <row r="283" spans="1:11">
      <c r="A283" s="41">
        <v>45878</v>
      </c>
      <c r="B283" s="43" t="s">
        <v>906</v>
      </c>
      <c r="C283" s="43" t="s">
        <v>2088</v>
      </c>
      <c r="D283" s="43" t="s">
        <v>1803</v>
      </c>
      <c r="E283" s="43" t="s">
        <v>158</v>
      </c>
      <c r="F283" s="45">
        <v>50000</v>
      </c>
      <c r="G283" s="45">
        <v>0.17</v>
      </c>
      <c r="H283" s="43">
        <f t="shared" si="17"/>
        <v>8500</v>
      </c>
      <c r="I283" s="43" t="s">
        <v>546</v>
      </c>
      <c r="J283" s="43" t="s">
        <v>46</v>
      </c>
      <c r="K283" s="43"/>
    </row>
    <row r="284" spans="1:11">
      <c r="A284" s="41">
        <v>45878</v>
      </c>
      <c r="B284" s="43" t="s">
        <v>906</v>
      </c>
      <c r="C284" s="43" t="s">
        <v>2089</v>
      </c>
      <c r="D284" s="43" t="s">
        <v>1615</v>
      </c>
      <c r="E284" s="43" t="s">
        <v>158</v>
      </c>
      <c r="F284" s="45">
        <v>50000</v>
      </c>
      <c r="G284" s="45">
        <v>0.17</v>
      </c>
      <c r="H284" s="43">
        <f t="shared" si="17"/>
        <v>8500</v>
      </c>
      <c r="I284" s="43" t="s">
        <v>546</v>
      </c>
      <c r="J284" s="43" t="s">
        <v>46</v>
      </c>
      <c r="K284" s="43"/>
    </row>
    <row r="285" customFormat="1" spans="1:11">
      <c r="A285" s="41">
        <v>45881</v>
      </c>
      <c r="B285" s="43" t="s">
        <v>906</v>
      </c>
      <c r="C285" s="43" t="s">
        <v>2090</v>
      </c>
      <c r="D285" s="43" t="s">
        <v>1803</v>
      </c>
      <c r="E285" s="43" t="s">
        <v>158</v>
      </c>
      <c r="F285" s="45">
        <v>75000</v>
      </c>
      <c r="G285" s="45">
        <v>0.17</v>
      </c>
      <c r="H285" s="43">
        <f t="shared" si="17"/>
        <v>12750</v>
      </c>
      <c r="I285" s="43" t="s">
        <v>546</v>
      </c>
      <c r="J285" s="43" t="s">
        <v>46</v>
      </c>
      <c r="K285" s="43"/>
    </row>
    <row r="286" customFormat="1" spans="1:11">
      <c r="A286" s="41">
        <v>45883</v>
      </c>
      <c r="B286" s="43" t="s">
        <v>906</v>
      </c>
      <c r="C286" s="43" t="s">
        <v>2088</v>
      </c>
      <c r="D286" s="43" t="s">
        <v>1615</v>
      </c>
      <c r="E286" s="43" t="s">
        <v>158</v>
      </c>
      <c r="F286" s="45">
        <v>30000</v>
      </c>
      <c r="G286" s="45">
        <v>0.17</v>
      </c>
      <c r="H286" s="43">
        <f t="shared" si="17"/>
        <v>5100</v>
      </c>
      <c r="I286" s="43" t="s">
        <v>2091</v>
      </c>
      <c r="J286" s="43" t="s">
        <v>46</v>
      </c>
      <c r="K286" s="43"/>
    </row>
    <row r="287" customFormat="1" spans="1:11">
      <c r="A287" s="41">
        <v>45885</v>
      </c>
      <c r="B287" s="43" t="s">
        <v>906</v>
      </c>
      <c r="C287" s="43" t="s">
        <v>2089</v>
      </c>
      <c r="D287" s="43" t="s">
        <v>1619</v>
      </c>
      <c r="E287" s="43" t="s">
        <v>158</v>
      </c>
      <c r="F287" s="45">
        <v>56000</v>
      </c>
      <c r="G287" s="45">
        <v>0.17</v>
      </c>
      <c r="H287" s="43">
        <f t="shared" si="17"/>
        <v>9520</v>
      </c>
      <c r="I287" s="43" t="s">
        <v>1429</v>
      </c>
      <c r="J287" s="43" t="s">
        <v>46</v>
      </c>
      <c r="K287" s="43"/>
    </row>
    <row r="288" customFormat="1" spans="1:11">
      <c r="A288" s="41">
        <v>45887</v>
      </c>
      <c r="B288" s="43" t="s">
        <v>906</v>
      </c>
      <c r="C288" s="43" t="s">
        <v>2092</v>
      </c>
      <c r="D288" s="43" t="s">
        <v>1619</v>
      </c>
      <c r="E288" s="43" t="s">
        <v>158</v>
      </c>
      <c r="F288" s="45">
        <v>40000</v>
      </c>
      <c r="G288" s="45">
        <v>0.17</v>
      </c>
      <c r="H288" s="43">
        <f t="shared" si="17"/>
        <v>6800</v>
      </c>
      <c r="I288" s="43" t="s">
        <v>1429</v>
      </c>
      <c r="J288" s="43" t="s">
        <v>46</v>
      </c>
      <c r="K288" s="43"/>
    </row>
    <row r="289" customFormat="1" spans="1:11">
      <c r="A289" s="41">
        <v>45887</v>
      </c>
      <c r="B289" s="43" t="s">
        <v>906</v>
      </c>
      <c r="C289" s="43" t="s">
        <v>2093</v>
      </c>
      <c r="D289" s="43" t="s">
        <v>2094</v>
      </c>
      <c r="E289" s="43" t="s">
        <v>158</v>
      </c>
      <c r="F289" s="45">
        <v>5000</v>
      </c>
      <c r="G289" s="45">
        <v>0.25</v>
      </c>
      <c r="H289" s="43">
        <f t="shared" si="17"/>
        <v>1250</v>
      </c>
      <c r="I289" s="43" t="s">
        <v>982</v>
      </c>
      <c r="J289" s="43" t="s">
        <v>46</v>
      </c>
      <c r="K289" s="43"/>
    </row>
    <row r="290" customFormat="1" spans="1:11">
      <c r="A290" s="41">
        <v>45888</v>
      </c>
      <c r="B290" s="43" t="s">
        <v>906</v>
      </c>
      <c r="C290" s="43" t="s">
        <v>2093</v>
      </c>
      <c r="D290" s="43" t="s">
        <v>1074</v>
      </c>
      <c r="E290" s="43" t="s">
        <v>158</v>
      </c>
      <c r="F290" s="45">
        <v>100000</v>
      </c>
      <c r="G290" s="45">
        <v>0.17</v>
      </c>
      <c r="H290" s="43">
        <f t="shared" si="17"/>
        <v>17000</v>
      </c>
      <c r="I290" s="43" t="s">
        <v>126</v>
      </c>
      <c r="J290" s="43" t="s">
        <v>46</v>
      </c>
      <c r="K290" s="43"/>
    </row>
    <row r="291" customFormat="1" spans="1:11">
      <c r="A291" s="41">
        <v>45890</v>
      </c>
      <c r="B291" s="43" t="s">
        <v>906</v>
      </c>
      <c r="C291" s="43" t="s">
        <v>2095</v>
      </c>
      <c r="D291" s="43" t="s">
        <v>669</v>
      </c>
      <c r="E291" s="43" t="s">
        <v>158</v>
      </c>
      <c r="F291" s="45">
        <v>75000</v>
      </c>
      <c r="G291" s="45">
        <v>0.17</v>
      </c>
      <c r="H291" s="43">
        <f t="shared" si="17"/>
        <v>12750</v>
      </c>
      <c r="I291" s="43" t="s">
        <v>546</v>
      </c>
      <c r="J291" s="43" t="s">
        <v>46</v>
      </c>
      <c r="K291" s="43"/>
    </row>
    <row r="292" customFormat="1" spans="1:11">
      <c r="A292" s="41">
        <v>45892</v>
      </c>
      <c r="B292" s="43" t="s">
        <v>906</v>
      </c>
      <c r="C292" s="43" t="s">
        <v>2096</v>
      </c>
      <c r="D292" s="43" t="s">
        <v>2097</v>
      </c>
      <c r="E292" s="43" t="s">
        <v>158</v>
      </c>
      <c r="F292" s="45">
        <v>10000</v>
      </c>
      <c r="G292" s="45">
        <v>0.28</v>
      </c>
      <c r="H292" s="43">
        <f t="shared" si="17"/>
        <v>2800</v>
      </c>
      <c r="I292" s="43" t="s">
        <v>982</v>
      </c>
      <c r="J292" s="43" t="s">
        <v>46</v>
      </c>
      <c r="K292" s="43"/>
    </row>
    <row r="293" s="35" customFormat="1" spans="1:11">
      <c r="A293" s="44">
        <v>45876</v>
      </c>
      <c r="B293" s="45" t="s">
        <v>263</v>
      </c>
      <c r="C293" s="45" t="s">
        <v>2098</v>
      </c>
      <c r="D293" s="45" t="s">
        <v>265</v>
      </c>
      <c r="E293" s="45" t="s">
        <v>1875</v>
      </c>
      <c r="F293" s="45">
        <v>10000</v>
      </c>
      <c r="G293" s="45">
        <v>0.13</v>
      </c>
      <c r="H293" s="43">
        <f t="shared" ref="H293:H315" si="18">F293*G293</f>
        <v>1300</v>
      </c>
      <c r="I293" s="45" t="s">
        <v>61</v>
      </c>
      <c r="J293" s="43" t="s">
        <v>46</v>
      </c>
      <c r="K293" s="45"/>
    </row>
    <row r="294" spans="1:11">
      <c r="A294" s="41">
        <v>45881</v>
      </c>
      <c r="B294" s="43" t="s">
        <v>534</v>
      </c>
      <c r="C294" s="43"/>
      <c r="D294" s="43" t="s">
        <v>115</v>
      </c>
      <c r="E294" s="43" t="s">
        <v>127</v>
      </c>
      <c r="F294" s="43">
        <v>1103</v>
      </c>
      <c r="G294" s="43">
        <v>0.4</v>
      </c>
      <c r="H294" s="43">
        <f t="shared" si="18"/>
        <v>441.2</v>
      </c>
      <c r="I294" s="43" t="s">
        <v>100</v>
      </c>
      <c r="J294" s="43"/>
      <c r="K294" s="43"/>
    </row>
    <row r="295" spans="1:11">
      <c r="A295" s="41">
        <v>45886</v>
      </c>
      <c r="B295" s="43" t="s">
        <v>257</v>
      </c>
      <c r="C295" s="36" t="s">
        <v>2099</v>
      </c>
      <c r="D295" s="43" t="s">
        <v>357</v>
      </c>
      <c r="E295" s="43" t="s">
        <v>99</v>
      </c>
      <c r="F295" s="43">
        <v>4635</v>
      </c>
      <c r="G295" s="43">
        <v>1.03</v>
      </c>
      <c r="H295" s="43">
        <f t="shared" si="18"/>
        <v>4774.05</v>
      </c>
      <c r="I295" s="43" t="s">
        <v>189</v>
      </c>
      <c r="J295" s="43"/>
      <c r="K295" s="43"/>
    </row>
    <row r="296" spans="1:11">
      <c r="A296" s="41">
        <v>45885</v>
      </c>
      <c r="B296" s="43" t="s">
        <v>889</v>
      </c>
      <c r="C296" s="43" t="s">
        <v>2100</v>
      </c>
      <c r="D296" s="43" t="s">
        <v>1524</v>
      </c>
      <c r="E296" s="36" t="s">
        <v>14</v>
      </c>
      <c r="F296" s="43">
        <v>1200</v>
      </c>
      <c r="G296" s="43">
        <v>0.6</v>
      </c>
      <c r="H296" s="43">
        <f t="shared" si="18"/>
        <v>720</v>
      </c>
      <c r="I296" s="43" t="s">
        <v>982</v>
      </c>
      <c r="J296" s="43" t="s">
        <v>46</v>
      </c>
      <c r="K296" s="43"/>
    </row>
    <row r="297" spans="1:11">
      <c r="A297" s="51">
        <v>45889</v>
      </c>
      <c r="B297" s="43" t="s">
        <v>150</v>
      </c>
      <c r="C297" s="43"/>
      <c r="D297" s="43" t="s">
        <v>233</v>
      </c>
      <c r="E297" s="43" t="s">
        <v>99</v>
      </c>
      <c r="F297" s="43">
        <v>3040</v>
      </c>
      <c r="G297" s="43">
        <v>1</v>
      </c>
      <c r="H297" s="43">
        <f t="shared" si="18"/>
        <v>3040</v>
      </c>
      <c r="I297" s="43" t="s">
        <v>2101</v>
      </c>
      <c r="J297" s="43" t="s">
        <v>90</v>
      </c>
      <c r="K297" s="43">
        <v>1.17</v>
      </c>
    </row>
    <row r="298" spans="1:11">
      <c r="A298" s="51">
        <v>45889</v>
      </c>
      <c r="B298" s="43" t="s">
        <v>150</v>
      </c>
      <c r="C298" s="43"/>
      <c r="D298" s="43" t="s">
        <v>233</v>
      </c>
      <c r="E298" s="43" t="s">
        <v>14</v>
      </c>
      <c r="F298" s="43">
        <v>25</v>
      </c>
      <c r="G298" s="43">
        <v>0.8</v>
      </c>
      <c r="H298" s="43">
        <f t="shared" si="18"/>
        <v>20</v>
      </c>
      <c r="I298" s="43" t="s">
        <v>2101</v>
      </c>
      <c r="J298" s="43"/>
      <c r="K298" s="43"/>
    </row>
    <row r="299" spans="1:11">
      <c r="A299" s="41">
        <v>45884</v>
      </c>
      <c r="B299" s="43" t="s">
        <v>825</v>
      </c>
      <c r="C299" s="87" t="s">
        <v>2102</v>
      </c>
      <c r="D299" s="43" t="s">
        <v>2103</v>
      </c>
      <c r="E299" s="43" t="s">
        <v>1639</v>
      </c>
      <c r="F299" s="43">
        <v>1000</v>
      </c>
      <c r="G299" s="43">
        <v>0.36</v>
      </c>
      <c r="H299" s="43">
        <f t="shared" si="18"/>
        <v>360</v>
      </c>
      <c r="I299" s="43" t="s">
        <v>271</v>
      </c>
      <c r="J299" s="43" t="s">
        <v>46</v>
      </c>
      <c r="K299" s="43"/>
    </row>
    <row r="300" spans="1:11">
      <c r="A300" s="41">
        <v>45891</v>
      </c>
      <c r="B300" s="43" t="s">
        <v>866</v>
      </c>
      <c r="C300" s="43">
        <v>202508011</v>
      </c>
      <c r="D300" s="43" t="s">
        <v>1378</v>
      </c>
      <c r="E300" s="43" t="s">
        <v>1379</v>
      </c>
      <c r="F300" s="43">
        <v>2000</v>
      </c>
      <c r="G300" s="43">
        <v>1.9</v>
      </c>
      <c r="H300" s="43">
        <f t="shared" si="18"/>
        <v>3800</v>
      </c>
      <c r="I300" s="43" t="s">
        <v>415</v>
      </c>
      <c r="J300" s="43" t="s">
        <v>2104</v>
      </c>
      <c r="K300" s="43"/>
    </row>
    <row r="301" spans="1:11">
      <c r="A301" s="41">
        <v>45891</v>
      </c>
      <c r="B301" s="43" t="s">
        <v>82</v>
      </c>
      <c r="C301" s="43" t="s">
        <v>2105</v>
      </c>
      <c r="D301" s="43" t="s">
        <v>2106</v>
      </c>
      <c r="E301" s="43" t="s">
        <v>2107</v>
      </c>
      <c r="F301" s="43">
        <v>3320</v>
      </c>
      <c r="G301" s="43">
        <v>1.48</v>
      </c>
      <c r="H301" s="43">
        <f t="shared" si="18"/>
        <v>4913.6</v>
      </c>
      <c r="I301" s="43" t="s">
        <v>2108</v>
      </c>
      <c r="J301" s="43" t="s">
        <v>701</v>
      </c>
      <c r="K301" s="43" t="s">
        <v>2109</v>
      </c>
    </row>
    <row r="302" spans="1:11">
      <c r="A302" s="41">
        <v>45891</v>
      </c>
      <c r="B302" s="43" t="s">
        <v>551</v>
      </c>
      <c r="C302" s="43" t="s">
        <v>2110</v>
      </c>
      <c r="D302" s="43" t="s">
        <v>680</v>
      </c>
      <c r="E302" s="43" t="s">
        <v>14</v>
      </c>
      <c r="F302" s="43">
        <v>53000</v>
      </c>
      <c r="G302" s="43">
        <v>1.03</v>
      </c>
      <c r="H302" s="43">
        <f t="shared" si="18"/>
        <v>54590</v>
      </c>
      <c r="I302" s="43" t="s">
        <v>271</v>
      </c>
      <c r="J302" s="43" t="s">
        <v>46</v>
      </c>
      <c r="K302" s="43"/>
    </row>
    <row r="303" spans="1:11">
      <c r="A303" s="41">
        <v>45882</v>
      </c>
      <c r="B303" s="43" t="s">
        <v>2111</v>
      </c>
      <c r="C303" s="43" t="s">
        <v>2112</v>
      </c>
      <c r="D303" s="43" t="s">
        <v>314</v>
      </c>
      <c r="E303" s="43" t="s">
        <v>14</v>
      </c>
      <c r="F303" s="43">
        <v>22700</v>
      </c>
      <c r="G303" s="43">
        <v>1.43</v>
      </c>
      <c r="H303" s="43">
        <f t="shared" si="18"/>
        <v>32461</v>
      </c>
      <c r="I303" s="43" t="s">
        <v>271</v>
      </c>
      <c r="J303" s="43" t="s">
        <v>46</v>
      </c>
      <c r="K303" s="43"/>
    </row>
    <row r="304" spans="1:11">
      <c r="A304" s="41">
        <v>45882</v>
      </c>
      <c r="B304" s="43" t="s">
        <v>2111</v>
      </c>
      <c r="C304" s="43" t="s">
        <v>2112</v>
      </c>
      <c r="D304" s="43" t="s">
        <v>314</v>
      </c>
      <c r="E304" s="43" t="s">
        <v>14</v>
      </c>
      <c r="F304" s="43">
        <v>29300</v>
      </c>
      <c r="G304" s="43">
        <v>1.43</v>
      </c>
      <c r="H304" s="43">
        <f t="shared" si="18"/>
        <v>41899</v>
      </c>
      <c r="I304" s="43" t="s">
        <v>271</v>
      </c>
      <c r="J304" s="43" t="s">
        <v>46</v>
      </c>
      <c r="K304" s="43"/>
    </row>
    <row r="305" spans="1:11">
      <c r="A305" s="41">
        <v>45885</v>
      </c>
      <c r="B305" s="43" t="s">
        <v>2111</v>
      </c>
      <c r="C305" s="43" t="s">
        <v>2113</v>
      </c>
      <c r="D305" s="43" t="s">
        <v>314</v>
      </c>
      <c r="E305" s="43" t="s">
        <v>14</v>
      </c>
      <c r="F305" s="43">
        <v>30000</v>
      </c>
      <c r="G305" s="43">
        <v>1.43</v>
      </c>
      <c r="H305" s="43">
        <f t="shared" si="18"/>
        <v>42900</v>
      </c>
      <c r="I305" s="43" t="s">
        <v>271</v>
      </c>
      <c r="J305" s="43" t="s">
        <v>46</v>
      </c>
      <c r="K305" s="43"/>
    </row>
    <row r="306" spans="1:11">
      <c r="A306" s="41">
        <v>45894</v>
      </c>
      <c r="B306" s="43" t="s">
        <v>118</v>
      </c>
      <c r="C306" s="43" t="s">
        <v>2114</v>
      </c>
      <c r="D306" s="43" t="s">
        <v>598</v>
      </c>
      <c r="E306" s="43" t="s">
        <v>14</v>
      </c>
      <c r="F306" s="43">
        <v>1400</v>
      </c>
      <c r="G306" s="43">
        <v>1.15</v>
      </c>
      <c r="H306" s="43">
        <f t="shared" si="18"/>
        <v>1610</v>
      </c>
      <c r="I306" s="43" t="s">
        <v>2115</v>
      </c>
      <c r="J306" s="43"/>
      <c r="K306" s="43"/>
    </row>
    <row r="307" spans="1:11">
      <c r="A307" s="41">
        <v>45887</v>
      </c>
      <c r="B307" s="43" t="s">
        <v>1818</v>
      </c>
      <c r="C307" s="43" t="s">
        <v>2116</v>
      </c>
      <c r="D307" s="43" t="s">
        <v>669</v>
      </c>
      <c r="E307" s="43" t="s">
        <v>158</v>
      </c>
      <c r="F307" s="43">
        <v>30000</v>
      </c>
      <c r="G307" s="43">
        <v>0.17</v>
      </c>
      <c r="H307" s="43">
        <f t="shared" si="18"/>
        <v>5100</v>
      </c>
      <c r="I307" s="43" t="s">
        <v>271</v>
      </c>
      <c r="J307" s="43" t="s">
        <v>46</v>
      </c>
      <c r="K307" s="43"/>
    </row>
    <row r="308" spans="1:11">
      <c r="A308" s="41">
        <v>45889</v>
      </c>
      <c r="B308" s="43" t="s">
        <v>1818</v>
      </c>
      <c r="C308" s="43" t="s">
        <v>2117</v>
      </c>
      <c r="D308" s="43" t="s">
        <v>465</v>
      </c>
      <c r="E308" s="43" t="s">
        <v>158</v>
      </c>
      <c r="F308" s="43">
        <v>10000</v>
      </c>
      <c r="G308" s="43">
        <v>0.16</v>
      </c>
      <c r="H308" s="43">
        <f t="shared" si="18"/>
        <v>1600</v>
      </c>
      <c r="I308" s="43" t="s">
        <v>2118</v>
      </c>
      <c r="J308" s="43" t="s">
        <v>46</v>
      </c>
      <c r="K308" s="43"/>
    </row>
    <row r="309" spans="1:11">
      <c r="A309" s="41">
        <v>45891</v>
      </c>
      <c r="B309" s="43" t="s">
        <v>1818</v>
      </c>
      <c r="C309" s="43" t="s">
        <v>2119</v>
      </c>
      <c r="D309" s="43" t="s">
        <v>170</v>
      </c>
      <c r="E309" s="43" t="s">
        <v>158</v>
      </c>
      <c r="F309" s="43">
        <v>30000</v>
      </c>
      <c r="G309" s="43">
        <v>0.17</v>
      </c>
      <c r="H309" s="43">
        <f t="shared" si="18"/>
        <v>5100</v>
      </c>
      <c r="I309" s="43" t="s">
        <v>1429</v>
      </c>
      <c r="J309" s="43" t="s">
        <v>46</v>
      </c>
      <c r="K309" s="43"/>
    </row>
    <row r="310" spans="1:11">
      <c r="A310" s="41">
        <v>45891</v>
      </c>
      <c r="B310" s="43" t="s">
        <v>1818</v>
      </c>
      <c r="C310" s="43" t="s">
        <v>2119</v>
      </c>
      <c r="D310" s="43" t="s">
        <v>2120</v>
      </c>
      <c r="E310" s="43" t="s">
        <v>158</v>
      </c>
      <c r="F310" s="43">
        <v>2000</v>
      </c>
      <c r="G310" s="43">
        <v>0.26</v>
      </c>
      <c r="H310" s="43">
        <f t="shared" si="18"/>
        <v>520</v>
      </c>
      <c r="I310" s="43" t="s">
        <v>982</v>
      </c>
      <c r="J310" s="43" t="s">
        <v>46</v>
      </c>
      <c r="K310" s="43"/>
    </row>
    <row r="311" spans="1:11">
      <c r="A311" s="41">
        <v>45895</v>
      </c>
      <c r="B311" s="43" t="s">
        <v>1818</v>
      </c>
      <c r="C311" s="43" t="s">
        <v>2121</v>
      </c>
      <c r="D311" s="43" t="s">
        <v>1083</v>
      </c>
      <c r="E311" s="43" t="s">
        <v>158</v>
      </c>
      <c r="F311" s="43">
        <v>5000</v>
      </c>
      <c r="G311" s="43">
        <v>0.26</v>
      </c>
      <c r="H311" s="43">
        <f t="shared" si="18"/>
        <v>1300</v>
      </c>
      <c r="I311" s="43" t="s">
        <v>61</v>
      </c>
      <c r="J311" s="43" t="s">
        <v>912</v>
      </c>
      <c r="K311" s="43"/>
    </row>
    <row r="312" spans="1:11">
      <c r="A312" s="44">
        <v>45888</v>
      </c>
      <c r="B312" s="45" t="s">
        <v>879</v>
      </c>
      <c r="C312" s="45" t="s">
        <v>2122</v>
      </c>
      <c r="D312" s="45" t="s">
        <v>881</v>
      </c>
      <c r="E312" s="45" t="s">
        <v>14</v>
      </c>
      <c r="F312" s="45">
        <v>4565</v>
      </c>
      <c r="G312" s="45">
        <v>2.2</v>
      </c>
      <c r="H312" s="45">
        <f t="shared" si="18"/>
        <v>10043</v>
      </c>
      <c r="I312" s="45" t="s">
        <v>437</v>
      </c>
      <c r="J312" s="45" t="s">
        <v>46</v>
      </c>
      <c r="K312" s="43"/>
    </row>
    <row r="313" spans="1:11">
      <c r="A313" s="41">
        <v>45890</v>
      </c>
      <c r="B313" s="43" t="s">
        <v>1525</v>
      </c>
      <c r="C313" s="43"/>
      <c r="D313" s="43" t="s">
        <v>1202</v>
      </c>
      <c r="E313" s="43" t="s">
        <v>14</v>
      </c>
      <c r="F313" s="43">
        <v>1600</v>
      </c>
      <c r="G313" s="43">
        <v>0.65</v>
      </c>
      <c r="H313" s="43">
        <f t="shared" si="18"/>
        <v>1040</v>
      </c>
      <c r="I313" s="43" t="s">
        <v>982</v>
      </c>
      <c r="J313" s="43" t="s">
        <v>46</v>
      </c>
      <c r="K313" s="43"/>
    </row>
    <row r="314" spans="1:11">
      <c r="A314" s="41">
        <v>45892</v>
      </c>
      <c r="B314" s="43" t="s">
        <v>260</v>
      </c>
      <c r="C314" s="43" t="s">
        <v>2123</v>
      </c>
      <c r="D314" s="43" t="s">
        <v>21</v>
      </c>
      <c r="E314" s="43" t="s">
        <v>14</v>
      </c>
      <c r="F314" s="43">
        <v>30000</v>
      </c>
      <c r="G314" s="43">
        <v>1</v>
      </c>
      <c r="H314" s="43">
        <f t="shared" si="18"/>
        <v>30000</v>
      </c>
      <c r="I314" s="43" t="s">
        <v>1429</v>
      </c>
      <c r="J314" s="43" t="s">
        <v>46</v>
      </c>
      <c r="K314" s="43" t="s">
        <v>2124</v>
      </c>
    </row>
    <row r="315" spans="1:11">
      <c r="A315" s="41">
        <v>45897</v>
      </c>
      <c r="B315" s="43" t="s">
        <v>260</v>
      </c>
      <c r="C315" s="43" t="s">
        <v>2125</v>
      </c>
      <c r="D315" s="43" t="s">
        <v>851</v>
      </c>
      <c r="E315" s="43" t="s">
        <v>14</v>
      </c>
      <c r="F315" s="43">
        <v>2010</v>
      </c>
      <c r="G315" s="43">
        <v>1.6</v>
      </c>
      <c r="H315" s="43">
        <f t="shared" si="18"/>
        <v>3216</v>
      </c>
      <c r="I315" s="43" t="s">
        <v>406</v>
      </c>
      <c r="J315" s="43"/>
    </row>
    <row r="316" spans="1:11">
      <c r="A316" s="43"/>
      <c r="B316" s="43"/>
      <c r="C316" s="43"/>
      <c r="D316" s="43"/>
      <c r="E316" s="43"/>
      <c r="F316" s="43"/>
      <c r="G316" s="43"/>
      <c r="H316" s="43"/>
      <c r="I316" s="43"/>
      <c r="J316" s="43"/>
    </row>
    <row r="317" s="34" customFormat="1" spans="1:1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</row>
    <row r="318" s="34" customFormat="1" spans="1:1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</row>
    <row r="319" s="34" customFormat="1" spans="1:1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</row>
    <row r="320" s="34" customFormat="1" spans="1:1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</row>
    <row r="321" s="34" customFormat="1" spans="1:1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</row>
    <row r="322" s="34" customFormat="1" spans="1:1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</row>
    <row r="323" s="34" customFormat="1" spans="1:1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</row>
    <row r="324" s="34" customFormat="1" spans="1:1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</row>
    <row r="325" s="34" customFormat="1" spans="1:1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</row>
    <row r="326" s="34" customFormat="1" spans="1:1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</row>
    <row r="327" s="34" customFormat="1" spans="1:1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</row>
    <row r="328" s="34" customFormat="1" spans="1:1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</row>
    <row r="329" s="34" customFormat="1" spans="1:1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</row>
    <row r="330" s="34" customFormat="1" spans="1:1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</row>
    <row r="331" s="34" customFormat="1" spans="1:1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</row>
    <row r="332" s="34" customFormat="1" spans="1:1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</row>
    <row r="333" s="34" customFormat="1" spans="1:1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</row>
    <row r="334" s="34" customFormat="1" spans="1:1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</row>
    <row r="335" s="34" customFormat="1" spans="1:1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</row>
    <row r="336" s="34" customFormat="1" spans="1:1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</row>
    <row r="337" s="34" customFormat="1" spans="1:1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</row>
    <row r="338" s="34" customFormat="1" spans="1:1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</row>
    <row r="339" spans="1:1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</row>
    <row r="340" spans="1:1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</row>
    <row r="351" spans="1:11">
      <c r="J351" s="36" t="s">
        <v>2126</v>
      </c>
    </row>
    <row r="381" spans="5:5">
      <c r="E381" s="36" t="s">
        <v>2127</v>
      </c>
    </row>
  </sheetData>
  <autoFilter xmlns:etc="http://www.wps.cn/officeDocument/2017/etCustomData" ref="A1:K381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4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21.125" defaultRowHeight="21" customHeight="1"/>
  <cols>
    <col min="1" max="1" width="14.125" style="13" customWidth="1"/>
    <col min="2" max="3" width="21.125" style="13" customWidth="1"/>
    <col min="4" max="4" width="29.75" style="13" customWidth="1"/>
    <col min="5" max="9" width="21.125" style="13" customWidth="1"/>
    <col min="10" max="10" width="12.625" style="13" customWidth="1"/>
    <col min="11" max="16384" width="21.125" style="13" customWidth="1"/>
  </cols>
  <sheetData>
    <row r="1" s="12" customFormat="1" customHeight="1" spans="1:1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6" t="s">
        <v>8</v>
      </c>
      <c r="J1" s="16" t="s">
        <v>9</v>
      </c>
      <c r="K1" s="16" t="s">
        <v>10</v>
      </c>
    </row>
    <row r="2" s="22" customFormat="1" customHeight="1" spans="1:11">
      <c r="A2" s="23">
        <v>45896</v>
      </c>
      <c r="B2" s="21" t="s">
        <v>113</v>
      </c>
      <c r="C2" s="12" t="s">
        <v>2128</v>
      </c>
      <c r="D2" s="24" t="s">
        <v>59</v>
      </c>
      <c r="E2" s="24" t="s">
        <v>361</v>
      </c>
      <c r="F2" s="25">
        <v>9000</v>
      </c>
      <c r="G2" s="26">
        <v>0.56</v>
      </c>
      <c r="H2" s="27">
        <f>F2*G2</f>
        <v>5040</v>
      </c>
      <c r="I2" s="24" t="s">
        <v>79</v>
      </c>
      <c r="J2" s="24" t="s">
        <v>90</v>
      </c>
      <c r="K2" s="24"/>
    </row>
    <row r="3" s="22" customFormat="1" customHeight="1" spans="1:11">
      <c r="A3" s="23">
        <v>45896</v>
      </c>
      <c r="B3" s="21" t="s">
        <v>113</v>
      </c>
      <c r="C3" s="12" t="s">
        <v>2128</v>
      </c>
      <c r="D3" s="24" t="s">
        <v>59</v>
      </c>
      <c r="E3" s="24" t="s">
        <v>361</v>
      </c>
      <c r="F3" s="25">
        <v>3260</v>
      </c>
      <c r="G3" s="26">
        <v>0.7</v>
      </c>
      <c r="H3" s="27">
        <f>F3*G3</f>
        <v>2282</v>
      </c>
      <c r="I3" s="24" t="s">
        <v>79</v>
      </c>
      <c r="J3" s="24" t="s">
        <v>2129</v>
      </c>
      <c r="K3" s="24"/>
    </row>
    <row r="4" s="22" customFormat="1" customHeight="1" spans="1:11">
      <c r="A4" s="23">
        <v>45896</v>
      </c>
      <c r="B4" s="21" t="s">
        <v>113</v>
      </c>
      <c r="C4" s="12" t="s">
        <v>2128</v>
      </c>
      <c r="D4" s="24" t="s">
        <v>115</v>
      </c>
      <c r="E4" s="12" t="s">
        <v>123</v>
      </c>
      <c r="F4" s="25">
        <v>10150</v>
      </c>
      <c r="G4" s="26">
        <v>0.45</v>
      </c>
      <c r="H4" s="27">
        <f>F4*G4</f>
        <v>4567.5</v>
      </c>
      <c r="I4" s="24" t="s">
        <v>126</v>
      </c>
      <c r="J4" s="24"/>
      <c r="K4" s="24"/>
    </row>
    <row r="5" customHeight="1" spans="1:11">
      <c r="A5" s="19">
        <v>45897</v>
      </c>
      <c r="B5" s="13" t="s">
        <v>113</v>
      </c>
      <c r="C5" s="12" t="s">
        <v>2130</v>
      </c>
      <c r="D5" s="12" t="s">
        <v>59</v>
      </c>
      <c r="E5" s="12" t="s">
        <v>60</v>
      </c>
      <c r="F5" s="2">
        <v>1035</v>
      </c>
      <c r="G5" s="2">
        <v>0.43</v>
      </c>
      <c r="H5" s="2">
        <f t="shared" ref="H5:H26" si="0">F5*G5</f>
        <v>445.05</v>
      </c>
      <c r="I5" s="13" t="s">
        <v>35</v>
      </c>
    </row>
    <row r="6" customHeight="1" spans="1:11">
      <c r="A6" s="19">
        <v>45897</v>
      </c>
      <c r="B6" s="13" t="s">
        <v>113</v>
      </c>
      <c r="C6" s="12" t="s">
        <v>2131</v>
      </c>
      <c r="D6" s="12" t="s">
        <v>59</v>
      </c>
      <c r="E6" s="12" t="s">
        <v>62</v>
      </c>
      <c r="F6" s="28">
        <v>20</v>
      </c>
      <c r="G6" s="2">
        <v>0</v>
      </c>
      <c r="H6" s="2">
        <f t="shared" si="0"/>
        <v>0</v>
      </c>
      <c r="I6" s="13" t="s">
        <v>2132</v>
      </c>
    </row>
    <row r="7" customHeight="1" spans="1:11">
      <c r="A7" s="19">
        <v>45897</v>
      </c>
      <c r="B7" s="13" t="s">
        <v>113</v>
      </c>
      <c r="C7" s="12" t="s">
        <v>2131</v>
      </c>
      <c r="D7" s="13" t="s">
        <v>76</v>
      </c>
      <c r="E7" s="12" t="s">
        <v>62</v>
      </c>
      <c r="F7" s="2">
        <v>20</v>
      </c>
      <c r="G7" s="2">
        <v>0</v>
      </c>
      <c r="H7" s="2">
        <f t="shared" si="0"/>
        <v>0</v>
      </c>
      <c r="I7" s="13" t="s">
        <v>2132</v>
      </c>
    </row>
    <row r="8" customHeight="1" spans="1:11">
      <c r="A8" s="19">
        <v>45898</v>
      </c>
      <c r="B8" s="13" t="s">
        <v>113</v>
      </c>
      <c r="C8" s="12" t="s">
        <v>2133</v>
      </c>
      <c r="D8" s="13" t="s">
        <v>115</v>
      </c>
      <c r="E8" s="12" t="s">
        <v>123</v>
      </c>
      <c r="F8" s="2">
        <v>8130</v>
      </c>
      <c r="G8" s="2">
        <v>0.45</v>
      </c>
      <c r="H8" s="2">
        <f t="shared" si="0"/>
        <v>3658.5</v>
      </c>
      <c r="I8" s="13" t="s">
        <v>126</v>
      </c>
    </row>
    <row r="9" customHeight="1" spans="1:11">
      <c r="A9" s="19">
        <v>45898</v>
      </c>
      <c r="B9" s="13" t="s">
        <v>113</v>
      </c>
      <c r="C9" s="12" t="s">
        <v>2133</v>
      </c>
      <c r="D9" s="13" t="s">
        <v>332</v>
      </c>
      <c r="E9" s="12" t="s">
        <v>62</v>
      </c>
      <c r="F9" s="2">
        <v>50</v>
      </c>
      <c r="G9" s="2">
        <v>0.52</v>
      </c>
      <c r="H9" s="2">
        <f t="shared" si="0"/>
        <v>26</v>
      </c>
      <c r="I9" s="13" t="s">
        <v>278</v>
      </c>
    </row>
    <row r="10" customHeight="1" spans="1:11">
      <c r="A10" s="19">
        <v>45899</v>
      </c>
      <c r="B10" s="13" t="s">
        <v>113</v>
      </c>
      <c r="C10" s="12" t="s">
        <v>2134</v>
      </c>
      <c r="D10" s="13" t="s">
        <v>76</v>
      </c>
      <c r="E10" s="12" t="s">
        <v>123</v>
      </c>
      <c r="F10" s="2">
        <v>2045</v>
      </c>
      <c r="G10" s="2">
        <v>0.45</v>
      </c>
      <c r="H10" s="2">
        <f t="shared" si="0"/>
        <v>920.25</v>
      </c>
      <c r="I10" s="13" t="s">
        <v>503</v>
      </c>
    </row>
    <row r="11" customHeight="1" spans="1:11">
      <c r="A11" s="19">
        <v>45899</v>
      </c>
      <c r="B11" s="13" t="s">
        <v>113</v>
      </c>
      <c r="C11" s="12" t="s">
        <v>2134</v>
      </c>
      <c r="D11" s="13" t="s">
        <v>148</v>
      </c>
      <c r="E11" s="12" t="s">
        <v>60</v>
      </c>
      <c r="F11" s="2">
        <v>30000</v>
      </c>
      <c r="G11" s="2">
        <v>0.45</v>
      </c>
      <c r="H11" s="2">
        <f t="shared" si="0"/>
        <v>13500</v>
      </c>
      <c r="I11" s="13" t="s">
        <v>2135</v>
      </c>
    </row>
    <row r="12" customHeight="1" spans="1:11">
      <c r="A12" s="19">
        <v>45899</v>
      </c>
      <c r="B12" s="13" t="s">
        <v>113</v>
      </c>
      <c r="C12" s="12" t="s">
        <v>2134</v>
      </c>
      <c r="D12" s="13" t="s">
        <v>1962</v>
      </c>
      <c r="E12" s="12" t="s">
        <v>62</v>
      </c>
      <c r="F12" s="2">
        <v>10</v>
      </c>
      <c r="G12" s="2">
        <v>0</v>
      </c>
      <c r="H12" s="2">
        <f t="shared" si="0"/>
        <v>0</v>
      </c>
      <c r="I12" s="13" t="s">
        <v>32</v>
      </c>
    </row>
    <row r="13" customHeight="1" spans="1:11">
      <c r="A13" s="19">
        <v>45899</v>
      </c>
      <c r="B13" s="13" t="s">
        <v>113</v>
      </c>
      <c r="C13" s="12" t="s">
        <v>2134</v>
      </c>
      <c r="D13" s="13" t="s">
        <v>1962</v>
      </c>
      <c r="E13" s="12" t="s">
        <v>62</v>
      </c>
      <c r="F13" s="2">
        <v>20</v>
      </c>
      <c r="G13" s="2">
        <v>0</v>
      </c>
      <c r="H13" s="2">
        <f t="shared" si="0"/>
        <v>0</v>
      </c>
      <c r="I13" s="13" t="s">
        <v>32</v>
      </c>
    </row>
    <row r="14" customHeight="1" spans="1:11">
      <c r="A14" s="19">
        <v>45899</v>
      </c>
      <c r="B14" s="13" t="s">
        <v>113</v>
      </c>
      <c r="C14" s="12" t="s">
        <v>2134</v>
      </c>
      <c r="D14" s="13" t="s">
        <v>128</v>
      </c>
      <c r="E14" s="12" t="s">
        <v>124</v>
      </c>
      <c r="F14" s="2">
        <v>10</v>
      </c>
      <c r="G14" s="2">
        <v>0</v>
      </c>
      <c r="H14" s="2">
        <f t="shared" si="0"/>
        <v>0</v>
      </c>
      <c r="I14" s="13" t="s">
        <v>32</v>
      </c>
    </row>
    <row r="15" customHeight="1" spans="1:11">
      <c r="A15" s="19">
        <v>45900</v>
      </c>
      <c r="B15" s="13" t="s">
        <v>113</v>
      </c>
      <c r="C15" s="12" t="s">
        <v>2136</v>
      </c>
      <c r="D15" s="13" t="s">
        <v>148</v>
      </c>
      <c r="E15" s="12" t="s">
        <v>60</v>
      </c>
      <c r="F15" s="2">
        <v>20000</v>
      </c>
      <c r="G15" s="2">
        <v>0.45</v>
      </c>
      <c r="H15" s="2">
        <f t="shared" si="0"/>
        <v>9000</v>
      </c>
      <c r="I15" s="13" t="s">
        <v>2135</v>
      </c>
    </row>
    <row r="16" customHeight="1" spans="1:11">
      <c r="A16" s="19">
        <v>45901</v>
      </c>
      <c r="B16" s="13" t="s">
        <v>113</v>
      </c>
      <c r="C16" s="12" t="s">
        <v>2137</v>
      </c>
      <c r="D16" s="13" t="s">
        <v>148</v>
      </c>
      <c r="E16" s="12" t="s">
        <v>60</v>
      </c>
      <c r="F16" s="2">
        <v>40000</v>
      </c>
      <c r="G16" s="2">
        <v>0.45</v>
      </c>
      <c r="H16" s="2">
        <f t="shared" si="0"/>
        <v>18000</v>
      </c>
      <c r="I16" s="13" t="s">
        <v>2135</v>
      </c>
    </row>
    <row r="17" customHeight="1" spans="1:11">
      <c r="A17" s="19">
        <v>45901</v>
      </c>
      <c r="B17" s="13" t="s">
        <v>113</v>
      </c>
      <c r="C17" s="12" t="s">
        <v>2137</v>
      </c>
      <c r="D17" s="12" t="s">
        <v>59</v>
      </c>
      <c r="E17" s="12" t="s">
        <v>60</v>
      </c>
      <c r="F17" s="2">
        <v>7630</v>
      </c>
      <c r="G17" s="2">
        <v>0.49</v>
      </c>
      <c r="H17" s="2">
        <f t="shared" si="0"/>
        <v>3738.7</v>
      </c>
      <c r="I17" s="13" t="s">
        <v>982</v>
      </c>
    </row>
    <row r="18" customHeight="1" spans="1:11">
      <c r="A18" s="19">
        <v>45901</v>
      </c>
      <c r="B18" s="13" t="s">
        <v>113</v>
      </c>
      <c r="C18" s="12" t="s">
        <v>2137</v>
      </c>
      <c r="D18" s="12" t="s">
        <v>59</v>
      </c>
      <c r="E18" s="12" t="s">
        <v>62</v>
      </c>
      <c r="F18" s="2">
        <v>15010</v>
      </c>
      <c r="G18" s="2">
        <v>0.45</v>
      </c>
      <c r="H18" s="2">
        <f t="shared" si="0"/>
        <v>6754.5</v>
      </c>
      <c r="I18" s="13" t="s">
        <v>69</v>
      </c>
    </row>
    <row r="19" customHeight="1" spans="1:11">
      <c r="A19" s="19">
        <v>45901</v>
      </c>
      <c r="B19" s="13" t="s">
        <v>113</v>
      </c>
      <c r="C19" s="12" t="s">
        <v>2137</v>
      </c>
      <c r="D19" s="12" t="s">
        <v>59</v>
      </c>
      <c r="E19" s="12" t="s">
        <v>123</v>
      </c>
      <c r="F19" s="2">
        <v>6083</v>
      </c>
      <c r="G19" s="2">
        <v>0.45</v>
      </c>
      <c r="H19" s="2">
        <f t="shared" si="0"/>
        <v>2737.35</v>
      </c>
      <c r="I19" s="13" t="s">
        <v>35</v>
      </c>
    </row>
    <row r="20" customHeight="1" spans="1:11">
      <c r="A20" s="19">
        <v>45902</v>
      </c>
      <c r="B20" s="13" t="s">
        <v>113</v>
      </c>
      <c r="C20" s="12" t="s">
        <v>2138</v>
      </c>
      <c r="D20" s="13" t="s">
        <v>148</v>
      </c>
      <c r="E20" s="12" t="s">
        <v>60</v>
      </c>
      <c r="F20" s="2">
        <v>10600</v>
      </c>
      <c r="G20" s="2">
        <v>0.45</v>
      </c>
      <c r="H20" s="2">
        <f t="shared" si="0"/>
        <v>4770</v>
      </c>
      <c r="I20" s="13" t="s">
        <v>2135</v>
      </c>
    </row>
    <row r="21" customHeight="1" spans="1:11">
      <c r="A21" s="19">
        <v>45902</v>
      </c>
      <c r="B21" s="13" t="s">
        <v>113</v>
      </c>
      <c r="C21" s="12" t="s">
        <v>2138</v>
      </c>
      <c r="D21" s="12" t="s">
        <v>1958</v>
      </c>
      <c r="E21" s="12" t="s">
        <v>60</v>
      </c>
      <c r="F21" s="2">
        <v>8900</v>
      </c>
      <c r="G21" s="2">
        <v>0.43</v>
      </c>
      <c r="H21" s="2">
        <f t="shared" si="0"/>
        <v>3827</v>
      </c>
      <c r="I21" s="13" t="s">
        <v>2139</v>
      </c>
    </row>
    <row r="22" customHeight="1" spans="1:11">
      <c r="A22" s="19">
        <v>45902</v>
      </c>
      <c r="B22" s="13" t="s">
        <v>113</v>
      </c>
      <c r="C22" s="12" t="s">
        <v>2140</v>
      </c>
      <c r="D22" s="13" t="s">
        <v>76</v>
      </c>
      <c r="E22" s="12" t="s">
        <v>60</v>
      </c>
      <c r="F22" s="2">
        <v>20</v>
      </c>
      <c r="G22" s="2">
        <v>0</v>
      </c>
      <c r="H22" s="2">
        <f t="shared" si="0"/>
        <v>0</v>
      </c>
      <c r="I22" s="13" t="s">
        <v>32</v>
      </c>
    </row>
    <row r="23" customHeight="1" spans="1:11">
      <c r="A23" s="19">
        <v>45903</v>
      </c>
      <c r="B23" s="13" t="s">
        <v>113</v>
      </c>
      <c r="C23" s="12" t="s">
        <v>2141</v>
      </c>
      <c r="D23" s="13" t="s">
        <v>130</v>
      </c>
      <c r="E23" s="12" t="s">
        <v>60</v>
      </c>
      <c r="F23" s="2">
        <v>3010</v>
      </c>
      <c r="G23" s="2">
        <v>0.38</v>
      </c>
      <c r="H23" s="2">
        <f t="shared" si="0"/>
        <v>1143.8</v>
      </c>
      <c r="I23" s="13" t="s">
        <v>2142</v>
      </c>
    </row>
    <row r="24" customHeight="1" spans="1:11">
      <c r="A24" s="19">
        <v>45903</v>
      </c>
      <c r="B24" s="13" t="s">
        <v>113</v>
      </c>
      <c r="C24" s="12" t="s">
        <v>2143</v>
      </c>
      <c r="D24" s="13" t="s">
        <v>332</v>
      </c>
      <c r="E24" s="12" t="s">
        <v>60</v>
      </c>
      <c r="F24" s="2">
        <v>10</v>
      </c>
      <c r="G24" s="2">
        <v>0</v>
      </c>
      <c r="H24" s="2">
        <f t="shared" ref="H24:H31" si="1">F24*G24</f>
        <v>0</v>
      </c>
      <c r="I24" s="13" t="s">
        <v>2144</v>
      </c>
    </row>
    <row r="25" customHeight="1" spans="1:11">
      <c r="A25" s="19">
        <v>45903</v>
      </c>
      <c r="B25" s="13" t="s">
        <v>113</v>
      </c>
      <c r="C25" s="12" t="s">
        <v>2143</v>
      </c>
      <c r="D25" s="13" t="s">
        <v>122</v>
      </c>
      <c r="E25" s="12" t="s">
        <v>60</v>
      </c>
      <c r="F25" s="2">
        <v>10</v>
      </c>
      <c r="G25" s="2">
        <v>0</v>
      </c>
      <c r="H25" s="2">
        <f t="shared" si="1"/>
        <v>0</v>
      </c>
      <c r="I25" s="13" t="s">
        <v>2144</v>
      </c>
    </row>
    <row r="26" customHeight="1" spans="1:11">
      <c r="A26" s="19">
        <v>45904</v>
      </c>
      <c r="B26" s="13" t="s">
        <v>113</v>
      </c>
      <c r="C26" s="12" t="s">
        <v>2145</v>
      </c>
      <c r="D26" s="13" t="s">
        <v>130</v>
      </c>
      <c r="E26" s="12" t="s">
        <v>2146</v>
      </c>
      <c r="F26" s="2">
        <v>6120</v>
      </c>
      <c r="G26" s="2">
        <v>0.5</v>
      </c>
      <c r="H26" s="2">
        <f t="shared" si="1"/>
        <v>3060</v>
      </c>
      <c r="I26" s="13" t="s">
        <v>149</v>
      </c>
      <c r="K26" s="13" t="s">
        <v>983</v>
      </c>
    </row>
    <row r="27" customHeight="1" spans="1:11">
      <c r="A27" s="19">
        <v>45904</v>
      </c>
      <c r="B27" s="13" t="s">
        <v>113</v>
      </c>
      <c r="C27" s="12" t="s">
        <v>2145</v>
      </c>
      <c r="D27" s="13" t="s">
        <v>76</v>
      </c>
      <c r="E27" s="12" t="s">
        <v>123</v>
      </c>
      <c r="F27" s="2">
        <v>20000</v>
      </c>
      <c r="G27" s="2">
        <v>0.45</v>
      </c>
      <c r="H27" s="2">
        <f t="shared" si="1"/>
        <v>9000</v>
      </c>
      <c r="I27" s="13" t="s">
        <v>126</v>
      </c>
    </row>
    <row r="28" customHeight="1" spans="1:11">
      <c r="A28" s="19">
        <v>45904</v>
      </c>
      <c r="B28" s="13" t="s">
        <v>113</v>
      </c>
      <c r="C28" s="12" t="s">
        <v>2145</v>
      </c>
      <c r="D28" s="13" t="s">
        <v>122</v>
      </c>
      <c r="E28" s="12" t="s">
        <v>1405</v>
      </c>
      <c r="F28" s="2">
        <v>3210</v>
      </c>
      <c r="G28" s="2">
        <v>0.6</v>
      </c>
      <c r="H28" s="2">
        <f t="shared" si="1"/>
        <v>1926</v>
      </c>
      <c r="I28" s="13" t="s">
        <v>2147</v>
      </c>
    </row>
    <row r="29" customHeight="1" spans="1:11">
      <c r="A29" s="19">
        <v>45904</v>
      </c>
      <c r="B29" s="13" t="s">
        <v>113</v>
      </c>
      <c r="C29" s="12" t="s">
        <v>2145</v>
      </c>
      <c r="D29" s="13" t="s">
        <v>122</v>
      </c>
      <c r="E29" s="12" t="s">
        <v>62</v>
      </c>
      <c r="F29" s="2">
        <v>85</v>
      </c>
      <c r="G29" s="2">
        <v>0.48</v>
      </c>
      <c r="H29" s="2">
        <f t="shared" si="1"/>
        <v>40.8</v>
      </c>
      <c r="I29" s="13" t="s">
        <v>35</v>
      </c>
    </row>
    <row r="30" customHeight="1" spans="1:11">
      <c r="A30" s="19">
        <v>45905</v>
      </c>
      <c r="B30" s="13" t="s">
        <v>113</v>
      </c>
      <c r="C30" s="12" t="s">
        <v>2148</v>
      </c>
      <c r="D30" s="12" t="s">
        <v>1958</v>
      </c>
      <c r="E30" s="12" t="s">
        <v>60</v>
      </c>
      <c r="F30" s="2">
        <v>20000</v>
      </c>
      <c r="G30" s="2">
        <v>0.43</v>
      </c>
      <c r="H30" s="2">
        <f t="shared" si="1"/>
        <v>8600</v>
      </c>
      <c r="I30" s="13" t="s">
        <v>2139</v>
      </c>
    </row>
    <row r="31" customHeight="1" spans="1:11">
      <c r="A31" s="19">
        <v>45905</v>
      </c>
      <c r="B31" s="13" t="s">
        <v>113</v>
      </c>
      <c r="C31" s="12" t="s">
        <v>2149</v>
      </c>
      <c r="D31" s="13" t="s">
        <v>76</v>
      </c>
      <c r="E31" s="12" t="s">
        <v>60</v>
      </c>
      <c r="F31" s="2">
        <v>20</v>
      </c>
      <c r="G31" s="2">
        <v>0</v>
      </c>
      <c r="H31" s="2">
        <v>0</v>
      </c>
      <c r="I31" s="13" t="s">
        <v>2150</v>
      </c>
    </row>
    <row r="32" customHeight="1" spans="1:11">
      <c r="A32" s="19">
        <v>45906</v>
      </c>
      <c r="B32" s="13" t="s">
        <v>113</v>
      </c>
      <c r="C32" s="12" t="s">
        <v>2151</v>
      </c>
      <c r="D32" s="12" t="s">
        <v>1958</v>
      </c>
      <c r="E32" s="12" t="s">
        <v>60</v>
      </c>
      <c r="F32" s="2">
        <v>20000</v>
      </c>
      <c r="G32" s="2">
        <v>0.43</v>
      </c>
      <c r="H32" s="2">
        <f t="shared" ref="H32:H37" si="2">F32*G32</f>
        <v>8600</v>
      </c>
      <c r="I32" s="13" t="s">
        <v>2139</v>
      </c>
    </row>
    <row r="33" customHeight="1" spans="1:9">
      <c r="A33" s="19">
        <v>45906</v>
      </c>
      <c r="B33" s="13" t="s">
        <v>113</v>
      </c>
      <c r="C33" s="12" t="s">
        <v>2151</v>
      </c>
      <c r="D33" s="13" t="s">
        <v>76</v>
      </c>
      <c r="E33" s="12" t="s">
        <v>123</v>
      </c>
      <c r="F33" s="2">
        <v>2010</v>
      </c>
      <c r="G33" s="2">
        <v>0.45</v>
      </c>
      <c r="H33" s="2">
        <f t="shared" si="2"/>
        <v>904.5</v>
      </c>
      <c r="I33" s="13" t="s">
        <v>2147</v>
      </c>
    </row>
    <row r="34" customHeight="1" spans="1:9">
      <c r="A34" s="19">
        <v>45906</v>
      </c>
      <c r="B34" s="13" t="s">
        <v>113</v>
      </c>
      <c r="C34" s="12" t="s">
        <v>2151</v>
      </c>
      <c r="D34" s="13" t="s">
        <v>148</v>
      </c>
      <c r="E34" s="12" t="s">
        <v>60</v>
      </c>
      <c r="F34" s="2">
        <v>50200</v>
      </c>
      <c r="G34" s="2">
        <v>0.45</v>
      </c>
      <c r="H34" s="2">
        <f t="shared" si="2"/>
        <v>22590</v>
      </c>
      <c r="I34" s="13" t="s">
        <v>2135</v>
      </c>
    </row>
    <row r="35" customHeight="1" spans="1:9">
      <c r="A35" s="19">
        <v>45906</v>
      </c>
      <c r="B35" s="13" t="s">
        <v>113</v>
      </c>
      <c r="C35" s="12" t="s">
        <v>2151</v>
      </c>
      <c r="D35" s="13" t="s">
        <v>76</v>
      </c>
      <c r="E35" s="12" t="s">
        <v>124</v>
      </c>
      <c r="F35" s="2">
        <v>6200</v>
      </c>
      <c r="G35" s="2">
        <v>0.46</v>
      </c>
      <c r="H35" s="2">
        <f t="shared" si="2"/>
        <v>2852</v>
      </c>
      <c r="I35" s="13" t="s">
        <v>340</v>
      </c>
    </row>
    <row r="36" customHeight="1" spans="1:9">
      <c r="A36" s="19">
        <v>45906</v>
      </c>
      <c r="B36" s="13" t="s">
        <v>113</v>
      </c>
      <c r="C36" s="12" t="s">
        <v>2151</v>
      </c>
      <c r="D36" s="12" t="s">
        <v>59</v>
      </c>
      <c r="E36" s="12" t="s">
        <v>62</v>
      </c>
      <c r="F36" s="2">
        <v>9340</v>
      </c>
      <c r="G36" s="2">
        <v>0.45</v>
      </c>
      <c r="H36" s="2">
        <f t="shared" si="2"/>
        <v>4203</v>
      </c>
      <c r="I36" s="13" t="s">
        <v>133</v>
      </c>
    </row>
    <row r="37" customHeight="1" spans="1:9">
      <c r="A37" s="19">
        <v>45906</v>
      </c>
      <c r="B37" s="13" t="s">
        <v>113</v>
      </c>
      <c r="C37" s="12" t="s">
        <v>2151</v>
      </c>
      <c r="D37" s="13" t="s">
        <v>76</v>
      </c>
      <c r="E37" s="12" t="s">
        <v>123</v>
      </c>
      <c r="F37" s="2">
        <v>20000</v>
      </c>
      <c r="G37" s="2">
        <v>0.45</v>
      </c>
      <c r="H37" s="2">
        <f t="shared" si="2"/>
        <v>9000</v>
      </c>
      <c r="I37" s="13" t="s">
        <v>126</v>
      </c>
    </row>
    <row r="38" customHeight="1" spans="1:9">
      <c r="A38" s="19">
        <v>45908</v>
      </c>
      <c r="B38" s="13" t="s">
        <v>113</v>
      </c>
      <c r="C38" s="12" t="s">
        <v>2152</v>
      </c>
      <c r="D38" s="13" t="s">
        <v>130</v>
      </c>
      <c r="E38" s="12" t="s">
        <v>123</v>
      </c>
      <c r="F38" s="2">
        <v>2010</v>
      </c>
      <c r="G38" s="2">
        <v>0.45</v>
      </c>
      <c r="H38" s="2">
        <f t="shared" ref="H38:H65" si="3">F38*G38</f>
        <v>904.5</v>
      </c>
      <c r="I38" s="13" t="s">
        <v>117</v>
      </c>
    </row>
    <row r="39" customHeight="1" spans="1:9">
      <c r="A39" s="19">
        <v>45908</v>
      </c>
      <c r="B39" s="13" t="s">
        <v>113</v>
      </c>
      <c r="C39" s="12" t="s">
        <v>2152</v>
      </c>
      <c r="D39" s="13" t="s">
        <v>59</v>
      </c>
      <c r="E39" s="12" t="s">
        <v>60</v>
      </c>
      <c r="F39" s="2">
        <v>5015</v>
      </c>
      <c r="G39" s="2">
        <v>0.43</v>
      </c>
      <c r="H39" s="2">
        <f t="shared" si="3"/>
        <v>2156.45</v>
      </c>
      <c r="I39" s="13" t="s">
        <v>149</v>
      </c>
    </row>
    <row r="40" customHeight="1" spans="1:9">
      <c r="A40" s="19">
        <v>45908</v>
      </c>
      <c r="B40" s="13" t="s">
        <v>113</v>
      </c>
      <c r="C40" s="12" t="s">
        <v>2152</v>
      </c>
      <c r="D40" s="13" t="s">
        <v>115</v>
      </c>
      <c r="E40" s="12" t="s">
        <v>123</v>
      </c>
      <c r="F40" s="2">
        <v>20800</v>
      </c>
      <c r="G40" s="2">
        <v>0.45</v>
      </c>
      <c r="H40" s="2">
        <f t="shared" si="3"/>
        <v>9360</v>
      </c>
      <c r="I40" s="13" t="s">
        <v>126</v>
      </c>
    </row>
    <row r="41" customHeight="1" spans="1:9">
      <c r="A41" s="19">
        <v>45908</v>
      </c>
      <c r="B41" s="13" t="s">
        <v>113</v>
      </c>
      <c r="C41" s="12" t="s">
        <v>2152</v>
      </c>
      <c r="D41" s="13" t="s">
        <v>1958</v>
      </c>
      <c r="E41" s="12" t="s">
        <v>62</v>
      </c>
      <c r="F41" s="2">
        <v>39600</v>
      </c>
      <c r="G41" s="2">
        <v>0.43</v>
      </c>
      <c r="H41" s="2">
        <f t="shared" si="3"/>
        <v>17028</v>
      </c>
      <c r="I41" s="13" t="s">
        <v>2139</v>
      </c>
    </row>
    <row r="42" customHeight="1" spans="1:9">
      <c r="A42" s="19">
        <v>45908</v>
      </c>
      <c r="B42" s="13" t="s">
        <v>113</v>
      </c>
      <c r="C42" s="12" t="s">
        <v>2152</v>
      </c>
      <c r="D42" s="13" t="s">
        <v>1958</v>
      </c>
      <c r="E42" s="12" t="s">
        <v>62</v>
      </c>
      <c r="F42" s="2">
        <v>1220</v>
      </c>
      <c r="G42" s="2">
        <v>0.43</v>
      </c>
      <c r="H42" s="2">
        <f t="shared" si="3"/>
        <v>524.6</v>
      </c>
      <c r="I42" s="13" t="s">
        <v>2139</v>
      </c>
    </row>
    <row r="43" customHeight="1" spans="1:9">
      <c r="A43" s="19">
        <v>45908</v>
      </c>
      <c r="B43" s="13" t="s">
        <v>113</v>
      </c>
      <c r="C43" s="12" t="s">
        <v>2152</v>
      </c>
      <c r="D43" s="13" t="s">
        <v>115</v>
      </c>
      <c r="E43" s="12" t="s">
        <v>62</v>
      </c>
      <c r="F43" s="2">
        <v>16415</v>
      </c>
      <c r="G43" s="2">
        <v>0.45</v>
      </c>
      <c r="H43" s="2">
        <f t="shared" si="3"/>
        <v>7386.75</v>
      </c>
      <c r="I43" s="13" t="s">
        <v>149</v>
      </c>
    </row>
    <row r="44" customHeight="1" spans="1:9">
      <c r="A44" s="19">
        <v>45908</v>
      </c>
      <c r="B44" s="13" t="s">
        <v>113</v>
      </c>
      <c r="C44" s="12" t="s">
        <v>2152</v>
      </c>
      <c r="D44" s="13" t="s">
        <v>122</v>
      </c>
      <c r="E44" s="12" t="s">
        <v>60</v>
      </c>
      <c r="F44" s="2">
        <v>3025</v>
      </c>
      <c r="G44" s="2">
        <v>0.46</v>
      </c>
      <c r="H44" s="2">
        <f t="shared" si="3"/>
        <v>1391.5</v>
      </c>
      <c r="I44" s="13" t="s">
        <v>126</v>
      </c>
    </row>
    <row r="45" customHeight="1" spans="1:9">
      <c r="A45" s="19">
        <v>45908</v>
      </c>
      <c r="B45" s="13" t="s">
        <v>113</v>
      </c>
      <c r="C45" s="12" t="s">
        <v>2152</v>
      </c>
      <c r="D45" s="13" t="s">
        <v>130</v>
      </c>
      <c r="E45" s="12" t="s">
        <v>60</v>
      </c>
      <c r="F45" s="2">
        <v>4055</v>
      </c>
      <c r="G45" s="2">
        <v>0.38</v>
      </c>
      <c r="H45" s="2">
        <f t="shared" si="3"/>
        <v>1540.9</v>
      </c>
      <c r="I45" s="13" t="s">
        <v>432</v>
      </c>
    </row>
    <row r="46" customHeight="1" spans="1:9">
      <c r="A46" s="19">
        <v>45908</v>
      </c>
      <c r="B46" s="13" t="s">
        <v>113</v>
      </c>
      <c r="C46" s="12" t="s">
        <v>2153</v>
      </c>
      <c r="D46" s="13" t="s">
        <v>115</v>
      </c>
      <c r="E46" s="12" t="s">
        <v>60</v>
      </c>
      <c r="F46" s="2">
        <v>1010</v>
      </c>
      <c r="G46" s="2">
        <v>0.43</v>
      </c>
      <c r="H46" s="2">
        <f t="shared" si="3"/>
        <v>434.3</v>
      </c>
      <c r="I46" s="13" t="s">
        <v>330</v>
      </c>
    </row>
    <row r="47" customHeight="1" spans="1:9">
      <c r="A47" s="19">
        <v>45908</v>
      </c>
      <c r="B47" s="13" t="s">
        <v>113</v>
      </c>
      <c r="C47" s="12" t="s">
        <v>2153</v>
      </c>
      <c r="D47" s="13" t="s">
        <v>76</v>
      </c>
      <c r="E47" s="12" t="s">
        <v>127</v>
      </c>
      <c r="F47" s="2">
        <v>6460</v>
      </c>
      <c r="G47" s="2">
        <v>0.47</v>
      </c>
      <c r="H47" s="2">
        <f t="shared" si="3"/>
        <v>3036.2</v>
      </c>
      <c r="I47" s="13" t="s">
        <v>2147</v>
      </c>
    </row>
    <row r="48" customHeight="1" spans="1:9">
      <c r="A48" s="19">
        <v>45908</v>
      </c>
      <c r="B48" s="13" t="s">
        <v>113</v>
      </c>
      <c r="C48" s="12" t="s">
        <v>2154</v>
      </c>
      <c r="D48" s="13" t="s">
        <v>2155</v>
      </c>
      <c r="E48" s="12" t="s">
        <v>62</v>
      </c>
      <c r="F48" s="2">
        <v>1800</v>
      </c>
      <c r="G48" s="2">
        <v>0.43</v>
      </c>
      <c r="H48" s="2">
        <f t="shared" si="3"/>
        <v>774</v>
      </c>
      <c r="I48" s="13" t="s">
        <v>2139</v>
      </c>
    </row>
    <row r="49" customHeight="1" spans="1:9">
      <c r="A49" s="19">
        <v>45908</v>
      </c>
      <c r="B49" s="13" t="s">
        <v>113</v>
      </c>
      <c r="C49" s="12" t="s">
        <v>2154</v>
      </c>
      <c r="D49" s="13" t="s">
        <v>122</v>
      </c>
      <c r="E49" s="12" t="s">
        <v>1440</v>
      </c>
      <c r="F49" s="2">
        <v>20</v>
      </c>
      <c r="G49" s="2">
        <v>0</v>
      </c>
      <c r="H49" s="2">
        <f t="shared" si="3"/>
        <v>0</v>
      </c>
      <c r="I49" s="13" t="s">
        <v>32</v>
      </c>
    </row>
    <row r="50" customHeight="1" spans="1:9">
      <c r="A50" s="19">
        <v>45909</v>
      </c>
      <c r="B50" s="13" t="s">
        <v>113</v>
      </c>
      <c r="C50" s="12" t="s">
        <v>2156</v>
      </c>
      <c r="D50" s="13" t="s">
        <v>76</v>
      </c>
      <c r="E50" s="12" t="s">
        <v>123</v>
      </c>
      <c r="F50" s="2">
        <v>80</v>
      </c>
      <c r="G50" s="2">
        <v>0.45</v>
      </c>
      <c r="H50" s="2">
        <f t="shared" si="3"/>
        <v>36</v>
      </c>
      <c r="I50" s="13" t="s">
        <v>126</v>
      </c>
    </row>
    <row r="51" customHeight="1" spans="1:9">
      <c r="A51" s="19">
        <v>45909</v>
      </c>
      <c r="B51" s="13" t="s">
        <v>113</v>
      </c>
      <c r="C51" s="12" t="s">
        <v>2156</v>
      </c>
      <c r="D51" s="13" t="s">
        <v>128</v>
      </c>
      <c r="E51" s="12" t="s">
        <v>60</v>
      </c>
      <c r="F51" s="2">
        <v>20</v>
      </c>
      <c r="G51" s="2">
        <v>0</v>
      </c>
      <c r="H51" s="2">
        <f t="shared" si="3"/>
        <v>0</v>
      </c>
      <c r="I51" s="13" t="s">
        <v>32</v>
      </c>
    </row>
    <row r="52" customHeight="1" spans="1:9">
      <c r="A52" s="19">
        <v>45909</v>
      </c>
      <c r="B52" s="13" t="s">
        <v>113</v>
      </c>
      <c r="C52" s="12" t="s">
        <v>2156</v>
      </c>
      <c r="D52" s="13" t="s">
        <v>122</v>
      </c>
      <c r="E52" s="12" t="s">
        <v>124</v>
      </c>
      <c r="F52" s="2">
        <v>10030</v>
      </c>
      <c r="G52" s="2">
        <v>0.51</v>
      </c>
      <c r="H52" s="2">
        <f t="shared" si="3"/>
        <v>5115.3</v>
      </c>
      <c r="I52" s="13" t="s">
        <v>126</v>
      </c>
    </row>
    <row r="53" customHeight="1" spans="1:9">
      <c r="A53" s="19">
        <v>45910</v>
      </c>
      <c r="B53" s="13" t="s">
        <v>113</v>
      </c>
      <c r="C53" s="12" t="s">
        <v>2157</v>
      </c>
      <c r="D53" s="13" t="s">
        <v>76</v>
      </c>
      <c r="E53" s="12" t="s">
        <v>124</v>
      </c>
      <c r="F53" s="2">
        <v>6150</v>
      </c>
      <c r="G53" s="2">
        <v>0.46</v>
      </c>
      <c r="H53" s="2">
        <f t="shared" ref="H53:H62" si="4">F53*G53</f>
        <v>2829</v>
      </c>
      <c r="I53" s="13" t="s">
        <v>340</v>
      </c>
    </row>
    <row r="54" customHeight="1" spans="1:9">
      <c r="A54" s="19">
        <v>45910</v>
      </c>
      <c r="B54" s="13" t="s">
        <v>113</v>
      </c>
      <c r="C54" s="12" t="s">
        <v>2157</v>
      </c>
      <c r="D54" s="13" t="s">
        <v>130</v>
      </c>
      <c r="E54" s="12" t="s">
        <v>123</v>
      </c>
      <c r="F54" s="2">
        <v>10330</v>
      </c>
      <c r="G54" s="2">
        <v>0.45</v>
      </c>
      <c r="H54" s="2">
        <f t="shared" si="4"/>
        <v>4648.5</v>
      </c>
      <c r="I54" s="13" t="s">
        <v>1931</v>
      </c>
    </row>
    <row r="55" customHeight="1" spans="1:9">
      <c r="A55" s="19">
        <v>45910</v>
      </c>
      <c r="B55" s="13" t="s">
        <v>113</v>
      </c>
      <c r="C55" s="12" t="s">
        <v>2157</v>
      </c>
      <c r="D55" s="13" t="s">
        <v>122</v>
      </c>
      <c r="E55" s="12" t="s">
        <v>1440</v>
      </c>
      <c r="F55" s="2">
        <v>10</v>
      </c>
      <c r="G55" s="2">
        <v>0</v>
      </c>
      <c r="H55" s="2">
        <f t="shared" si="4"/>
        <v>0</v>
      </c>
      <c r="I55" s="13" t="s">
        <v>32</v>
      </c>
    </row>
    <row r="56" customHeight="1" spans="1:9">
      <c r="A56" s="19">
        <v>45911</v>
      </c>
      <c r="B56" s="13" t="s">
        <v>113</v>
      </c>
      <c r="C56" s="12" t="s">
        <v>2158</v>
      </c>
      <c r="D56" s="13" t="s">
        <v>115</v>
      </c>
      <c r="E56" s="12" t="s">
        <v>123</v>
      </c>
      <c r="F56" s="2">
        <v>24240</v>
      </c>
      <c r="G56" s="2">
        <v>0.45</v>
      </c>
      <c r="H56" s="2">
        <f t="shared" si="4"/>
        <v>10908</v>
      </c>
      <c r="I56" s="13" t="s">
        <v>126</v>
      </c>
    </row>
    <row r="57" customHeight="1" spans="1:9">
      <c r="A57" s="19">
        <v>45911</v>
      </c>
      <c r="B57" s="13" t="s">
        <v>113</v>
      </c>
      <c r="C57" s="12" t="s">
        <v>2158</v>
      </c>
      <c r="D57" s="13" t="s">
        <v>128</v>
      </c>
      <c r="E57" s="12" t="s">
        <v>127</v>
      </c>
      <c r="F57" s="2">
        <v>120</v>
      </c>
      <c r="G57" s="2">
        <v>0.57</v>
      </c>
      <c r="H57" s="2">
        <f t="shared" si="4"/>
        <v>68.4</v>
      </c>
      <c r="I57" s="13" t="s">
        <v>1939</v>
      </c>
    </row>
    <row r="58" customHeight="1" spans="1:9">
      <c r="A58" s="19">
        <v>45911</v>
      </c>
      <c r="B58" s="13" t="s">
        <v>113</v>
      </c>
      <c r="C58" s="12" t="s">
        <v>2158</v>
      </c>
      <c r="D58" s="13" t="s">
        <v>115</v>
      </c>
      <c r="E58" s="12" t="s">
        <v>62</v>
      </c>
      <c r="F58" s="2">
        <v>10210</v>
      </c>
      <c r="G58" s="2">
        <v>0.45</v>
      </c>
      <c r="H58" s="2">
        <f t="shared" si="4"/>
        <v>4594.5</v>
      </c>
      <c r="I58" s="13" t="s">
        <v>2139</v>
      </c>
    </row>
    <row r="59" customHeight="1" spans="1:9">
      <c r="A59" s="19">
        <v>45911</v>
      </c>
      <c r="B59" s="13" t="s">
        <v>113</v>
      </c>
      <c r="C59" s="12" t="s">
        <v>2158</v>
      </c>
      <c r="D59" s="13" t="s">
        <v>122</v>
      </c>
      <c r="E59" s="12" t="s">
        <v>62</v>
      </c>
      <c r="F59" s="2">
        <v>2010</v>
      </c>
      <c r="G59" s="2">
        <v>0.48</v>
      </c>
      <c r="H59" s="2">
        <f t="shared" si="4"/>
        <v>964.8</v>
      </c>
      <c r="I59" s="13" t="s">
        <v>2139</v>
      </c>
    </row>
    <row r="60" customHeight="1" spans="1:9">
      <c r="A60" s="19">
        <v>45911</v>
      </c>
      <c r="B60" s="13" t="s">
        <v>113</v>
      </c>
      <c r="C60" s="12" t="s">
        <v>2158</v>
      </c>
      <c r="D60" s="13" t="s">
        <v>76</v>
      </c>
      <c r="E60" s="12" t="s">
        <v>127</v>
      </c>
      <c r="F60" s="2">
        <v>20</v>
      </c>
      <c r="G60" s="2">
        <v>0</v>
      </c>
      <c r="H60" s="2">
        <f t="shared" si="4"/>
        <v>0</v>
      </c>
      <c r="I60" s="13" t="s">
        <v>32</v>
      </c>
    </row>
    <row r="61" customHeight="1" spans="1:9">
      <c r="A61" s="19">
        <v>45912</v>
      </c>
      <c r="B61" s="13" t="s">
        <v>113</v>
      </c>
      <c r="C61" s="12" t="s">
        <v>2159</v>
      </c>
      <c r="D61" s="13" t="s">
        <v>76</v>
      </c>
      <c r="E61" s="12" t="s">
        <v>123</v>
      </c>
      <c r="F61" s="2">
        <v>20</v>
      </c>
      <c r="G61" s="2">
        <v>0</v>
      </c>
      <c r="H61" s="2">
        <f t="shared" si="4"/>
        <v>0</v>
      </c>
      <c r="I61" s="13" t="s">
        <v>32</v>
      </c>
    </row>
    <row r="62" customHeight="1" spans="1:9">
      <c r="A62" s="19">
        <v>45913</v>
      </c>
      <c r="B62" s="13" t="s">
        <v>113</v>
      </c>
      <c r="C62" s="12" t="s">
        <v>2160</v>
      </c>
      <c r="D62" s="13" t="s">
        <v>76</v>
      </c>
      <c r="E62" s="12" t="s">
        <v>60</v>
      </c>
      <c r="F62" s="2">
        <v>142</v>
      </c>
      <c r="G62" s="2">
        <v>0.43</v>
      </c>
      <c r="H62" s="2">
        <f t="shared" si="4"/>
        <v>61.06</v>
      </c>
      <c r="I62" s="13" t="s">
        <v>2161</v>
      </c>
    </row>
    <row r="63" customHeight="1" spans="1:9">
      <c r="A63" s="19">
        <v>45913</v>
      </c>
      <c r="B63" s="13" t="s">
        <v>113</v>
      </c>
      <c r="C63" s="12" t="s">
        <v>2160</v>
      </c>
      <c r="D63" s="13" t="s">
        <v>115</v>
      </c>
      <c r="E63" s="13" t="s">
        <v>99</v>
      </c>
      <c r="F63" s="28">
        <v>3105</v>
      </c>
      <c r="G63" s="2">
        <v>0.63</v>
      </c>
      <c r="H63" s="2">
        <f t="shared" ref="H63:H95" si="5">F63*G63</f>
        <v>1956.15</v>
      </c>
      <c r="I63" s="13" t="s">
        <v>978</v>
      </c>
    </row>
    <row r="64" customHeight="1" spans="1:9">
      <c r="A64" s="19">
        <v>45913</v>
      </c>
      <c r="B64" s="13" t="s">
        <v>113</v>
      </c>
      <c r="C64" s="12" t="s">
        <v>2160</v>
      </c>
      <c r="D64" s="13" t="s">
        <v>115</v>
      </c>
      <c r="E64" s="12" t="s">
        <v>60</v>
      </c>
      <c r="F64" s="28">
        <v>4050</v>
      </c>
      <c r="G64" s="2">
        <v>0.43</v>
      </c>
      <c r="H64" s="2">
        <f t="shared" si="5"/>
        <v>1741.5</v>
      </c>
      <c r="I64" s="13" t="s">
        <v>1465</v>
      </c>
    </row>
    <row r="65" customHeight="1" spans="1:9">
      <c r="A65" s="19">
        <v>45913</v>
      </c>
      <c r="B65" s="13" t="s">
        <v>113</v>
      </c>
      <c r="C65" s="12" t="s">
        <v>2160</v>
      </c>
      <c r="D65" s="13" t="s">
        <v>76</v>
      </c>
      <c r="E65" s="12" t="s">
        <v>60</v>
      </c>
      <c r="F65" s="28">
        <v>6165</v>
      </c>
      <c r="G65" s="2">
        <v>0.43</v>
      </c>
      <c r="H65" s="2">
        <f t="shared" si="5"/>
        <v>2650.95</v>
      </c>
      <c r="I65" s="13" t="s">
        <v>126</v>
      </c>
    </row>
    <row r="66" customHeight="1" spans="1:9">
      <c r="A66" s="19">
        <v>45913</v>
      </c>
      <c r="B66" s="13" t="s">
        <v>113</v>
      </c>
      <c r="C66" s="12" t="s">
        <v>2160</v>
      </c>
      <c r="D66" s="13" t="s">
        <v>76</v>
      </c>
      <c r="E66" s="12" t="s">
        <v>124</v>
      </c>
      <c r="F66" s="28">
        <v>12110</v>
      </c>
      <c r="G66" s="2">
        <v>0.45</v>
      </c>
      <c r="H66" s="2">
        <f t="shared" si="5"/>
        <v>5449.5</v>
      </c>
      <c r="I66" s="13" t="s">
        <v>2162</v>
      </c>
    </row>
    <row r="67" customHeight="1" spans="1:9">
      <c r="A67" s="19">
        <v>45913</v>
      </c>
      <c r="B67" s="13" t="s">
        <v>113</v>
      </c>
      <c r="C67" s="12" t="s">
        <v>2160</v>
      </c>
      <c r="D67" s="13" t="s">
        <v>122</v>
      </c>
      <c r="E67" s="12" t="s">
        <v>1267</v>
      </c>
      <c r="F67" s="28">
        <v>4025</v>
      </c>
      <c r="G67" s="2">
        <v>0.75</v>
      </c>
      <c r="H67" s="2">
        <f t="shared" si="5"/>
        <v>3018.75</v>
      </c>
      <c r="I67" s="13" t="s">
        <v>126</v>
      </c>
    </row>
    <row r="68" customHeight="1" spans="1:9">
      <c r="A68" s="19">
        <v>45913</v>
      </c>
      <c r="B68" s="13" t="s">
        <v>113</v>
      </c>
      <c r="C68" s="12" t="s">
        <v>2163</v>
      </c>
      <c r="D68" s="13" t="s">
        <v>128</v>
      </c>
      <c r="E68" s="12" t="s">
        <v>60</v>
      </c>
      <c r="F68" s="2">
        <v>8</v>
      </c>
      <c r="G68" s="2">
        <v>0</v>
      </c>
      <c r="H68" s="2">
        <f t="shared" si="5"/>
        <v>0</v>
      </c>
      <c r="I68" s="13" t="s">
        <v>32</v>
      </c>
    </row>
    <row r="69" customHeight="1" spans="1:9">
      <c r="A69" s="19">
        <v>45913</v>
      </c>
      <c r="B69" s="13" t="s">
        <v>113</v>
      </c>
      <c r="C69" s="12" t="s">
        <v>2163</v>
      </c>
      <c r="D69" s="13" t="s">
        <v>76</v>
      </c>
      <c r="E69" s="12" t="s">
        <v>60</v>
      </c>
      <c r="F69" s="2">
        <v>12</v>
      </c>
      <c r="G69" s="2">
        <v>0</v>
      </c>
      <c r="H69" s="2">
        <f t="shared" si="5"/>
        <v>0</v>
      </c>
      <c r="I69" s="13" t="s">
        <v>32</v>
      </c>
    </row>
    <row r="70" customHeight="1" spans="1:9">
      <c r="A70" s="19">
        <v>45914</v>
      </c>
      <c r="B70" s="13" t="s">
        <v>113</v>
      </c>
      <c r="C70" s="12" t="s">
        <v>2164</v>
      </c>
      <c r="D70" s="13" t="s">
        <v>76</v>
      </c>
      <c r="E70" s="12" t="s">
        <v>123</v>
      </c>
      <c r="F70" s="2">
        <v>3010</v>
      </c>
      <c r="G70" s="2">
        <v>0.45</v>
      </c>
      <c r="H70" s="2">
        <f t="shared" si="5"/>
        <v>1354.5</v>
      </c>
      <c r="I70" s="13" t="s">
        <v>2147</v>
      </c>
    </row>
    <row r="71" customHeight="1" spans="1:9">
      <c r="A71" s="19">
        <v>45914</v>
      </c>
      <c r="B71" s="13" t="s">
        <v>113</v>
      </c>
      <c r="C71" s="12" t="s">
        <v>2164</v>
      </c>
      <c r="D71" s="13" t="s">
        <v>76</v>
      </c>
      <c r="E71" s="12" t="s">
        <v>123</v>
      </c>
      <c r="F71" s="2">
        <v>4010</v>
      </c>
      <c r="G71" s="2">
        <v>0.45</v>
      </c>
      <c r="H71" s="2">
        <f t="shared" si="5"/>
        <v>1804.5</v>
      </c>
      <c r="I71" s="13" t="s">
        <v>2147</v>
      </c>
    </row>
    <row r="72" customHeight="1" spans="1:9">
      <c r="A72" s="19">
        <v>45914</v>
      </c>
      <c r="B72" s="13" t="s">
        <v>113</v>
      </c>
      <c r="C72" s="12" t="s">
        <v>2164</v>
      </c>
      <c r="D72" s="13" t="s">
        <v>76</v>
      </c>
      <c r="E72" s="12" t="s">
        <v>123</v>
      </c>
      <c r="F72" s="2">
        <v>4115</v>
      </c>
      <c r="G72" s="2">
        <v>0.45</v>
      </c>
      <c r="H72" s="2">
        <f t="shared" si="5"/>
        <v>1851.75</v>
      </c>
      <c r="I72" s="13" t="s">
        <v>126</v>
      </c>
    </row>
    <row r="73" customHeight="1" spans="1:9">
      <c r="A73" s="19">
        <v>45914</v>
      </c>
      <c r="B73" s="13" t="s">
        <v>113</v>
      </c>
      <c r="C73" s="12" t="s">
        <v>2164</v>
      </c>
      <c r="D73" s="13" t="s">
        <v>76</v>
      </c>
      <c r="E73" s="12" t="s">
        <v>123</v>
      </c>
      <c r="F73" s="2">
        <v>3010</v>
      </c>
      <c r="G73" s="2">
        <v>0.45</v>
      </c>
      <c r="H73" s="2">
        <f t="shared" si="5"/>
        <v>1354.5</v>
      </c>
      <c r="I73" s="13" t="s">
        <v>2147</v>
      </c>
    </row>
    <row r="74" customHeight="1" spans="1:9">
      <c r="A74" s="19">
        <v>45914</v>
      </c>
      <c r="B74" s="13" t="s">
        <v>113</v>
      </c>
      <c r="C74" s="12" t="s">
        <v>2164</v>
      </c>
      <c r="D74" s="13" t="s">
        <v>76</v>
      </c>
      <c r="E74" s="12" t="s">
        <v>123</v>
      </c>
      <c r="F74" s="2">
        <v>1220</v>
      </c>
      <c r="G74" s="2">
        <v>0.45</v>
      </c>
      <c r="H74" s="2">
        <f t="shared" si="5"/>
        <v>549</v>
      </c>
      <c r="I74" s="13" t="s">
        <v>126</v>
      </c>
    </row>
    <row r="75" customHeight="1" spans="1:9">
      <c r="A75" s="19">
        <v>45914</v>
      </c>
      <c r="B75" s="13" t="s">
        <v>113</v>
      </c>
      <c r="C75" s="12" t="s">
        <v>2164</v>
      </c>
      <c r="D75" s="13" t="s">
        <v>115</v>
      </c>
      <c r="E75" s="12" t="s">
        <v>60</v>
      </c>
      <c r="F75" s="2">
        <v>5010</v>
      </c>
      <c r="G75" s="2">
        <v>0.43</v>
      </c>
      <c r="H75" s="2">
        <f t="shared" si="5"/>
        <v>2154.3</v>
      </c>
      <c r="I75" s="13" t="s">
        <v>189</v>
      </c>
    </row>
    <row r="76" customHeight="1" spans="1:9">
      <c r="A76" s="19">
        <v>45914</v>
      </c>
      <c r="B76" s="13" t="s">
        <v>113</v>
      </c>
      <c r="C76" s="12" t="s">
        <v>2164</v>
      </c>
      <c r="D76" s="13" t="s">
        <v>76</v>
      </c>
      <c r="E76" s="12" t="s">
        <v>60</v>
      </c>
      <c r="F76" s="2">
        <v>350</v>
      </c>
      <c r="G76" s="2">
        <v>0.43</v>
      </c>
      <c r="H76" s="2">
        <f t="shared" si="5"/>
        <v>150.5</v>
      </c>
      <c r="I76" s="13" t="s">
        <v>126</v>
      </c>
    </row>
    <row r="77" customHeight="1" spans="1:9">
      <c r="A77" s="19">
        <v>45915</v>
      </c>
      <c r="B77" s="13" t="s">
        <v>113</v>
      </c>
      <c r="C77" s="12" t="s">
        <v>2165</v>
      </c>
      <c r="D77" s="13" t="s">
        <v>115</v>
      </c>
      <c r="E77" s="12" t="s">
        <v>123</v>
      </c>
      <c r="F77" s="2">
        <v>8005</v>
      </c>
      <c r="G77" s="2">
        <v>0.45</v>
      </c>
      <c r="H77" s="2">
        <f t="shared" si="5"/>
        <v>3602.25</v>
      </c>
      <c r="I77" s="13" t="s">
        <v>805</v>
      </c>
    </row>
    <row r="78" customHeight="1" spans="1:9">
      <c r="A78" s="19">
        <v>45915</v>
      </c>
      <c r="B78" s="13" t="s">
        <v>113</v>
      </c>
      <c r="C78" s="12" t="s">
        <v>2165</v>
      </c>
      <c r="D78" s="13" t="s">
        <v>76</v>
      </c>
      <c r="E78" s="12" t="s">
        <v>123</v>
      </c>
      <c r="F78" s="2">
        <v>2000</v>
      </c>
      <c r="G78" s="2">
        <v>0.45</v>
      </c>
      <c r="H78" s="2">
        <f t="shared" si="5"/>
        <v>900</v>
      </c>
      <c r="I78" s="13" t="s">
        <v>2147</v>
      </c>
    </row>
    <row r="79" customHeight="1" spans="1:9">
      <c r="A79" s="19">
        <v>45915</v>
      </c>
      <c r="B79" s="13" t="s">
        <v>113</v>
      </c>
      <c r="C79" s="12" t="s">
        <v>2165</v>
      </c>
      <c r="D79" s="13" t="s">
        <v>128</v>
      </c>
      <c r="E79" s="12" t="s">
        <v>60</v>
      </c>
      <c r="F79" s="2">
        <v>7000</v>
      </c>
      <c r="G79" s="2">
        <v>0.45</v>
      </c>
      <c r="H79" s="2">
        <f t="shared" si="5"/>
        <v>3150</v>
      </c>
      <c r="I79" s="13" t="s">
        <v>2166</v>
      </c>
    </row>
    <row r="80" customHeight="1" spans="1:9">
      <c r="A80" s="19">
        <v>45915</v>
      </c>
      <c r="B80" s="13" t="s">
        <v>113</v>
      </c>
      <c r="C80" s="12" t="s">
        <v>2165</v>
      </c>
      <c r="D80" s="13" t="s">
        <v>76</v>
      </c>
      <c r="E80" s="12" t="s">
        <v>123</v>
      </c>
      <c r="F80" s="2">
        <v>2045</v>
      </c>
      <c r="G80" s="2">
        <v>0.45</v>
      </c>
      <c r="H80" s="2">
        <f t="shared" si="5"/>
        <v>920.25</v>
      </c>
      <c r="I80" s="13" t="s">
        <v>503</v>
      </c>
    </row>
    <row r="81" customHeight="1" spans="1:9">
      <c r="A81" s="19">
        <v>45915</v>
      </c>
      <c r="B81" s="13" t="s">
        <v>113</v>
      </c>
      <c r="C81" s="12" t="s">
        <v>2165</v>
      </c>
      <c r="D81" s="13" t="s">
        <v>59</v>
      </c>
      <c r="E81" s="12" t="s">
        <v>123</v>
      </c>
      <c r="F81" s="2">
        <v>6073</v>
      </c>
      <c r="G81" s="2">
        <v>0.45</v>
      </c>
      <c r="H81" s="2">
        <f t="shared" si="5"/>
        <v>2732.85</v>
      </c>
      <c r="I81" s="13" t="s">
        <v>35</v>
      </c>
    </row>
    <row r="82" customHeight="1" spans="1:9">
      <c r="A82" s="19">
        <v>45915</v>
      </c>
      <c r="B82" s="13" t="s">
        <v>113</v>
      </c>
      <c r="C82" s="12" t="s">
        <v>2165</v>
      </c>
      <c r="D82" s="13" t="s">
        <v>1958</v>
      </c>
      <c r="E82" s="12" t="s">
        <v>62</v>
      </c>
      <c r="F82" s="2">
        <v>6010</v>
      </c>
      <c r="G82" s="2">
        <v>0.43</v>
      </c>
      <c r="H82" s="2">
        <f t="shared" si="5"/>
        <v>2584.3</v>
      </c>
      <c r="I82" s="13" t="s">
        <v>2139</v>
      </c>
    </row>
    <row r="83" customHeight="1" spans="1:9">
      <c r="A83" s="19">
        <v>45915</v>
      </c>
      <c r="B83" s="13" t="s">
        <v>113</v>
      </c>
      <c r="C83" s="12" t="s">
        <v>2165</v>
      </c>
      <c r="D83" s="13" t="s">
        <v>115</v>
      </c>
      <c r="E83" s="12" t="s">
        <v>62</v>
      </c>
      <c r="F83" s="2">
        <v>13060</v>
      </c>
      <c r="G83" s="2">
        <v>0.45</v>
      </c>
      <c r="H83" s="2">
        <f t="shared" si="5"/>
        <v>5877</v>
      </c>
      <c r="I83" s="13" t="s">
        <v>2139</v>
      </c>
    </row>
    <row r="84" customHeight="1" spans="1:9">
      <c r="A84" s="19">
        <v>45915</v>
      </c>
      <c r="B84" s="13" t="s">
        <v>113</v>
      </c>
      <c r="C84" s="12" t="s">
        <v>2165</v>
      </c>
      <c r="D84" s="13" t="s">
        <v>128</v>
      </c>
      <c r="E84" s="12" t="s">
        <v>60</v>
      </c>
      <c r="F84" s="2">
        <v>6005</v>
      </c>
      <c r="G84" s="2">
        <v>0.45</v>
      </c>
      <c r="H84" s="2">
        <f t="shared" si="5"/>
        <v>2702.25</v>
      </c>
      <c r="I84" s="13" t="s">
        <v>623</v>
      </c>
    </row>
    <row r="85" customHeight="1" spans="1:9">
      <c r="A85" s="19">
        <v>45915</v>
      </c>
      <c r="B85" s="13" t="s">
        <v>113</v>
      </c>
      <c r="C85" s="12" t="s">
        <v>2165</v>
      </c>
      <c r="D85" s="13" t="s">
        <v>128</v>
      </c>
      <c r="E85" s="12" t="s">
        <v>14</v>
      </c>
      <c r="F85" s="2">
        <v>5</v>
      </c>
      <c r="G85" s="2">
        <v>0</v>
      </c>
      <c r="H85" s="2">
        <f t="shared" si="5"/>
        <v>0</v>
      </c>
      <c r="I85" s="13" t="s">
        <v>32</v>
      </c>
    </row>
    <row r="86" customHeight="1" spans="1:9">
      <c r="A86" s="19">
        <v>45916</v>
      </c>
      <c r="B86" s="13" t="s">
        <v>113</v>
      </c>
      <c r="C86" s="12" t="s">
        <v>2167</v>
      </c>
      <c r="D86" s="13" t="s">
        <v>128</v>
      </c>
      <c r="E86" s="12" t="s">
        <v>123</v>
      </c>
      <c r="F86" s="2">
        <v>6005</v>
      </c>
      <c r="G86" s="2">
        <v>0.55</v>
      </c>
      <c r="H86" s="2">
        <f t="shared" si="5"/>
        <v>3302.75</v>
      </c>
      <c r="I86" s="13" t="s">
        <v>126</v>
      </c>
    </row>
    <row r="87" customHeight="1" spans="1:9">
      <c r="A87" s="19">
        <v>45916</v>
      </c>
      <c r="B87" s="13" t="s">
        <v>113</v>
      </c>
      <c r="C87" s="12" t="s">
        <v>2167</v>
      </c>
      <c r="D87" s="13" t="s">
        <v>130</v>
      </c>
      <c r="E87" s="12" t="s">
        <v>60</v>
      </c>
      <c r="F87" s="2">
        <v>6405</v>
      </c>
      <c r="G87" s="2">
        <v>0.38</v>
      </c>
      <c r="H87" s="2">
        <f t="shared" si="5"/>
        <v>2433.9</v>
      </c>
      <c r="I87" s="13" t="s">
        <v>570</v>
      </c>
    </row>
    <row r="88" customHeight="1" spans="1:9">
      <c r="A88" s="19">
        <v>45916</v>
      </c>
      <c r="B88" s="13" t="s">
        <v>113</v>
      </c>
      <c r="C88" s="12" t="s">
        <v>2167</v>
      </c>
      <c r="D88" s="13" t="s">
        <v>59</v>
      </c>
      <c r="E88" s="12" t="s">
        <v>123</v>
      </c>
      <c r="F88" s="2">
        <v>95</v>
      </c>
      <c r="G88" s="2">
        <v>0.45</v>
      </c>
      <c r="H88" s="2">
        <f t="shared" si="5"/>
        <v>42.75</v>
      </c>
      <c r="I88" s="13" t="s">
        <v>982</v>
      </c>
    </row>
    <row r="89" customHeight="1" spans="1:9">
      <c r="A89" s="19">
        <v>45917</v>
      </c>
      <c r="B89" s="13" t="s">
        <v>113</v>
      </c>
      <c r="C89" s="12" t="s">
        <v>2168</v>
      </c>
      <c r="D89" s="13" t="s">
        <v>59</v>
      </c>
      <c r="E89" s="12" t="s">
        <v>60</v>
      </c>
      <c r="F89" s="2">
        <v>14020</v>
      </c>
      <c r="G89" s="2">
        <v>0.43</v>
      </c>
      <c r="H89" s="2">
        <f t="shared" si="5"/>
        <v>6028.6</v>
      </c>
      <c r="I89" s="13" t="s">
        <v>433</v>
      </c>
    </row>
    <row r="90" customHeight="1" spans="1:9">
      <c r="A90" s="19">
        <v>45917</v>
      </c>
      <c r="B90" s="13" t="s">
        <v>113</v>
      </c>
      <c r="C90" s="12" t="s">
        <v>2168</v>
      </c>
      <c r="D90" s="13" t="s">
        <v>128</v>
      </c>
      <c r="E90" s="12" t="s">
        <v>60</v>
      </c>
      <c r="F90" s="2">
        <v>8110</v>
      </c>
      <c r="G90" s="2">
        <v>0.45</v>
      </c>
      <c r="H90" s="2">
        <f t="shared" si="5"/>
        <v>3649.5</v>
      </c>
      <c r="I90" s="13" t="s">
        <v>1465</v>
      </c>
    </row>
    <row r="91" customHeight="1" spans="1:9">
      <c r="A91" s="19">
        <v>45917</v>
      </c>
      <c r="B91" s="13" t="s">
        <v>113</v>
      </c>
      <c r="C91" s="12" t="s">
        <v>2168</v>
      </c>
      <c r="D91" s="13" t="s">
        <v>122</v>
      </c>
      <c r="E91" s="12" t="s">
        <v>127</v>
      </c>
      <c r="F91" s="2">
        <v>10008</v>
      </c>
      <c r="G91" s="2">
        <v>0.53</v>
      </c>
      <c r="H91" s="2">
        <f t="shared" si="5"/>
        <v>5304.24</v>
      </c>
      <c r="I91" s="13" t="s">
        <v>2169</v>
      </c>
    </row>
    <row r="92" customHeight="1" spans="1:9">
      <c r="A92" s="19">
        <v>45917</v>
      </c>
      <c r="B92" s="13" t="s">
        <v>113</v>
      </c>
      <c r="C92" s="12" t="s">
        <v>2168</v>
      </c>
      <c r="D92" s="13" t="s">
        <v>59</v>
      </c>
      <c r="E92" s="12" t="s">
        <v>60</v>
      </c>
      <c r="F92" s="2">
        <v>10330</v>
      </c>
      <c r="G92" s="2">
        <v>0.43</v>
      </c>
      <c r="H92" s="2">
        <f t="shared" si="5"/>
        <v>4441.9</v>
      </c>
      <c r="I92" s="13" t="s">
        <v>433</v>
      </c>
    </row>
    <row r="93" customHeight="1" spans="1:9">
      <c r="A93" s="19">
        <v>45917</v>
      </c>
      <c r="B93" s="13" t="s">
        <v>113</v>
      </c>
      <c r="C93" s="12" t="s">
        <v>2168</v>
      </c>
      <c r="D93" s="13" t="s">
        <v>128</v>
      </c>
      <c r="E93" s="12" t="s">
        <v>123</v>
      </c>
      <c r="F93" s="2">
        <v>40520</v>
      </c>
      <c r="G93" s="2">
        <v>0.5</v>
      </c>
      <c r="H93" s="2">
        <f t="shared" si="5"/>
        <v>20260</v>
      </c>
      <c r="I93" s="13" t="s">
        <v>2170</v>
      </c>
    </row>
    <row r="94" customHeight="1" spans="1:9">
      <c r="A94" s="19">
        <v>45917</v>
      </c>
      <c r="B94" s="13" t="s">
        <v>113</v>
      </c>
      <c r="C94" s="12" t="s">
        <v>2168</v>
      </c>
      <c r="D94" s="13" t="s">
        <v>130</v>
      </c>
      <c r="E94" s="12" t="s">
        <v>123</v>
      </c>
      <c r="F94" s="2">
        <v>9900</v>
      </c>
      <c r="G94" s="2">
        <v>0.45</v>
      </c>
      <c r="H94" s="2">
        <f t="shared" si="5"/>
        <v>4455</v>
      </c>
      <c r="I94" s="13" t="s">
        <v>433</v>
      </c>
    </row>
    <row r="95" customHeight="1" spans="1:9">
      <c r="A95" s="19">
        <v>45917</v>
      </c>
      <c r="B95" s="13" t="s">
        <v>113</v>
      </c>
      <c r="C95" s="12" t="s">
        <v>2168</v>
      </c>
      <c r="D95" s="13" t="s">
        <v>115</v>
      </c>
      <c r="E95" s="12" t="s">
        <v>60</v>
      </c>
      <c r="F95" s="2">
        <v>2050</v>
      </c>
      <c r="G95" s="2">
        <v>0.43</v>
      </c>
      <c r="H95" s="2">
        <f t="shared" si="5"/>
        <v>881.5</v>
      </c>
      <c r="I95" s="13" t="s">
        <v>1465</v>
      </c>
    </row>
    <row r="96" customHeight="1" spans="1:9">
      <c r="A96" s="19">
        <v>45918</v>
      </c>
      <c r="B96" s="13" t="s">
        <v>113</v>
      </c>
      <c r="C96" s="12" t="s">
        <v>2171</v>
      </c>
      <c r="D96" s="13" t="s">
        <v>130</v>
      </c>
      <c r="E96" s="12" t="s">
        <v>123</v>
      </c>
      <c r="F96" s="2">
        <v>21010</v>
      </c>
      <c r="G96" s="2">
        <v>0.45</v>
      </c>
      <c r="H96" s="2">
        <f t="shared" ref="H96:H110" si="6">F96*G96</f>
        <v>9454.5</v>
      </c>
      <c r="I96" s="13" t="s">
        <v>433</v>
      </c>
    </row>
    <row r="97" customHeight="1" spans="1:9">
      <c r="A97" s="19">
        <v>45918</v>
      </c>
      <c r="B97" s="13" t="s">
        <v>113</v>
      </c>
      <c r="C97" s="12" t="s">
        <v>2171</v>
      </c>
      <c r="D97" s="13" t="s">
        <v>59</v>
      </c>
      <c r="E97" s="12" t="s">
        <v>60</v>
      </c>
      <c r="F97" s="2">
        <v>4010</v>
      </c>
      <c r="G97" s="2">
        <v>0.43</v>
      </c>
      <c r="H97" s="2">
        <f t="shared" si="6"/>
        <v>1724.3</v>
      </c>
      <c r="I97" s="13" t="s">
        <v>2142</v>
      </c>
    </row>
    <row r="98" customHeight="1" spans="1:9">
      <c r="A98" s="19">
        <v>45918</v>
      </c>
      <c r="B98" s="13" t="s">
        <v>113</v>
      </c>
      <c r="C98" s="12" t="s">
        <v>2171</v>
      </c>
      <c r="D98" s="13" t="s">
        <v>128</v>
      </c>
      <c r="E98" s="12" t="s">
        <v>60</v>
      </c>
      <c r="F98" s="2">
        <v>10000</v>
      </c>
      <c r="G98" s="2">
        <v>0.45</v>
      </c>
      <c r="H98" s="2">
        <f t="shared" si="6"/>
        <v>4500</v>
      </c>
      <c r="I98" s="13" t="s">
        <v>2166</v>
      </c>
    </row>
    <row r="99" customHeight="1" spans="1:9">
      <c r="A99" s="19">
        <v>45918</v>
      </c>
      <c r="B99" s="13" t="s">
        <v>113</v>
      </c>
      <c r="C99" s="12" t="s">
        <v>2171</v>
      </c>
      <c r="D99" s="13" t="s">
        <v>1962</v>
      </c>
      <c r="E99" s="12" t="s">
        <v>62</v>
      </c>
      <c r="F99" s="2">
        <v>1010</v>
      </c>
      <c r="G99" s="2">
        <v>0.6</v>
      </c>
      <c r="H99" s="2">
        <f t="shared" si="6"/>
        <v>606</v>
      </c>
      <c r="I99" s="13" t="s">
        <v>982</v>
      </c>
    </row>
    <row r="100" customHeight="1" spans="1:9">
      <c r="A100" s="19">
        <v>45918</v>
      </c>
      <c r="B100" s="13" t="s">
        <v>113</v>
      </c>
      <c r="C100" s="12" t="s">
        <v>2171</v>
      </c>
      <c r="D100" s="13" t="s">
        <v>130</v>
      </c>
      <c r="E100" s="12" t="s">
        <v>60</v>
      </c>
      <c r="F100" s="2">
        <v>6730</v>
      </c>
      <c r="G100" s="2">
        <v>0.38</v>
      </c>
      <c r="H100" s="2">
        <f t="shared" si="6"/>
        <v>2557.4</v>
      </c>
      <c r="I100" s="13" t="s">
        <v>982</v>
      </c>
    </row>
    <row r="101" customHeight="1" spans="1:9">
      <c r="A101" s="19">
        <v>45918</v>
      </c>
      <c r="B101" s="13" t="s">
        <v>113</v>
      </c>
      <c r="C101" s="12" t="s">
        <v>2171</v>
      </c>
      <c r="D101" s="13" t="s">
        <v>76</v>
      </c>
      <c r="E101" s="12" t="s">
        <v>124</v>
      </c>
      <c r="F101" s="2">
        <v>10310</v>
      </c>
      <c r="G101" s="2">
        <v>0.45</v>
      </c>
      <c r="H101" s="2">
        <f t="shared" si="6"/>
        <v>4639.5</v>
      </c>
      <c r="I101" s="13" t="s">
        <v>340</v>
      </c>
    </row>
    <row r="102" customHeight="1" spans="1:9">
      <c r="A102" s="19">
        <v>45920</v>
      </c>
      <c r="B102" s="13" t="s">
        <v>113</v>
      </c>
      <c r="C102" s="12" t="s">
        <v>2172</v>
      </c>
      <c r="D102" s="13" t="s">
        <v>115</v>
      </c>
      <c r="E102" s="12" t="s">
        <v>62</v>
      </c>
      <c r="F102" s="2">
        <v>16050</v>
      </c>
      <c r="G102" s="2">
        <v>0.45</v>
      </c>
      <c r="H102" s="2">
        <f t="shared" si="6"/>
        <v>7222.5</v>
      </c>
      <c r="I102" s="13" t="s">
        <v>149</v>
      </c>
    </row>
    <row r="103" customHeight="1" spans="1:9">
      <c r="A103" s="19">
        <v>45920</v>
      </c>
      <c r="B103" s="13" t="s">
        <v>113</v>
      </c>
      <c r="C103" s="12" t="s">
        <v>2172</v>
      </c>
      <c r="D103" s="13" t="s">
        <v>122</v>
      </c>
      <c r="E103" s="12" t="s">
        <v>127</v>
      </c>
      <c r="F103" s="2">
        <v>40</v>
      </c>
      <c r="G103" s="2">
        <v>0.53</v>
      </c>
      <c r="H103" s="2">
        <f t="shared" si="6"/>
        <v>21.2</v>
      </c>
      <c r="I103" s="13" t="s">
        <v>2169</v>
      </c>
    </row>
    <row r="104" customHeight="1" spans="1:9">
      <c r="A104" s="19">
        <v>45920</v>
      </c>
      <c r="B104" s="13" t="s">
        <v>113</v>
      </c>
      <c r="C104" s="12" t="s">
        <v>2173</v>
      </c>
      <c r="D104" s="13" t="s">
        <v>59</v>
      </c>
      <c r="E104" s="12" t="s">
        <v>60</v>
      </c>
      <c r="F104" s="2">
        <v>10</v>
      </c>
      <c r="G104" s="2">
        <v>0</v>
      </c>
      <c r="H104" s="2">
        <f t="shared" si="6"/>
        <v>0</v>
      </c>
      <c r="I104" s="13" t="s">
        <v>32</v>
      </c>
    </row>
    <row r="105" customHeight="1" spans="1:9">
      <c r="A105" s="19">
        <v>45920</v>
      </c>
      <c r="B105" s="13" t="s">
        <v>113</v>
      </c>
      <c r="C105" s="12" t="s">
        <v>2173</v>
      </c>
      <c r="D105" s="13" t="s">
        <v>1962</v>
      </c>
      <c r="E105" s="12" t="s">
        <v>62</v>
      </c>
      <c r="F105" s="2">
        <v>20</v>
      </c>
      <c r="G105" s="2">
        <v>0</v>
      </c>
      <c r="H105" s="2">
        <f t="shared" si="6"/>
        <v>0</v>
      </c>
      <c r="I105" s="13" t="s">
        <v>32</v>
      </c>
    </row>
    <row r="106" customHeight="1" spans="1:9">
      <c r="A106" s="19">
        <v>45921</v>
      </c>
      <c r="B106" s="13" t="s">
        <v>113</v>
      </c>
      <c r="C106" s="12" t="s">
        <v>2174</v>
      </c>
      <c r="D106" s="13" t="s">
        <v>59</v>
      </c>
      <c r="E106" s="12" t="s">
        <v>62</v>
      </c>
      <c r="F106" s="2">
        <v>2010</v>
      </c>
      <c r="G106" s="2">
        <v>0.45</v>
      </c>
      <c r="H106" s="2">
        <f t="shared" si="6"/>
        <v>904.5</v>
      </c>
      <c r="I106" s="13" t="s">
        <v>2139</v>
      </c>
    </row>
    <row r="107" customHeight="1" spans="1:9">
      <c r="A107" s="19">
        <v>45921</v>
      </c>
      <c r="B107" s="13" t="s">
        <v>113</v>
      </c>
      <c r="C107" s="12" t="s">
        <v>2174</v>
      </c>
      <c r="D107" s="13" t="s">
        <v>130</v>
      </c>
      <c r="E107" s="12" t="s">
        <v>123</v>
      </c>
      <c r="F107" s="2">
        <v>10320</v>
      </c>
      <c r="G107" s="2">
        <v>0.45</v>
      </c>
      <c r="H107" s="2">
        <f t="shared" si="6"/>
        <v>4644</v>
      </c>
      <c r="I107" s="13" t="s">
        <v>433</v>
      </c>
    </row>
    <row r="108" customHeight="1" spans="1:9">
      <c r="A108" s="19">
        <v>45921</v>
      </c>
      <c r="B108" s="13" t="s">
        <v>113</v>
      </c>
      <c r="C108" s="12" t="s">
        <v>2174</v>
      </c>
      <c r="D108" s="13" t="s">
        <v>2155</v>
      </c>
      <c r="E108" s="12" t="s">
        <v>62</v>
      </c>
      <c r="F108" s="2">
        <v>340</v>
      </c>
      <c r="G108" s="2">
        <v>0.43</v>
      </c>
      <c r="H108" s="2">
        <f t="shared" si="6"/>
        <v>146.2</v>
      </c>
      <c r="I108" s="13" t="s">
        <v>2139</v>
      </c>
    </row>
    <row r="109" customHeight="1" spans="1:9">
      <c r="A109" s="19">
        <v>45921</v>
      </c>
      <c r="B109" s="13" t="s">
        <v>113</v>
      </c>
      <c r="C109" s="12" t="s">
        <v>2174</v>
      </c>
      <c r="D109" s="13" t="s">
        <v>130</v>
      </c>
      <c r="E109" s="12" t="s">
        <v>62</v>
      </c>
      <c r="F109" s="2">
        <v>10200</v>
      </c>
      <c r="G109" s="2">
        <v>0.4</v>
      </c>
      <c r="H109" s="2">
        <f t="shared" si="6"/>
        <v>4080</v>
      </c>
      <c r="I109" s="13" t="s">
        <v>2175</v>
      </c>
    </row>
    <row r="110" customHeight="1" spans="1:9">
      <c r="A110" s="19">
        <v>45921</v>
      </c>
      <c r="B110" s="13" t="s">
        <v>113</v>
      </c>
      <c r="C110" s="12" t="s">
        <v>2176</v>
      </c>
      <c r="D110" s="13" t="s">
        <v>1962</v>
      </c>
      <c r="E110" s="12" t="s">
        <v>62</v>
      </c>
      <c r="F110" s="2">
        <v>20</v>
      </c>
      <c r="G110" s="2">
        <v>0</v>
      </c>
      <c r="H110" s="2">
        <f t="shared" si="6"/>
        <v>0</v>
      </c>
      <c r="I110" s="13" t="s">
        <v>32</v>
      </c>
    </row>
    <row r="111" customHeight="1" spans="1:9">
      <c r="A111" s="19">
        <v>45922</v>
      </c>
      <c r="B111" s="13" t="s">
        <v>113</v>
      </c>
      <c r="C111" s="12" t="s">
        <v>2177</v>
      </c>
      <c r="D111" s="13" t="s">
        <v>122</v>
      </c>
      <c r="E111" s="12" t="s">
        <v>123</v>
      </c>
      <c r="F111" s="2">
        <v>4410</v>
      </c>
      <c r="G111" s="2">
        <v>0.51</v>
      </c>
      <c r="H111" s="2">
        <f t="shared" ref="H111:H124" si="7">F111*G111</f>
        <v>2249.1</v>
      </c>
      <c r="I111" s="13" t="s">
        <v>984</v>
      </c>
    </row>
    <row r="112" customHeight="1" spans="1:9">
      <c r="A112" s="19">
        <v>45922</v>
      </c>
      <c r="B112" s="13" t="s">
        <v>113</v>
      </c>
      <c r="C112" s="12" t="s">
        <v>2177</v>
      </c>
      <c r="D112" s="13" t="s">
        <v>76</v>
      </c>
      <c r="E112" s="12" t="s">
        <v>123</v>
      </c>
      <c r="F112" s="2">
        <v>6010</v>
      </c>
      <c r="G112" s="2">
        <v>0.45</v>
      </c>
      <c r="H112" s="2">
        <f t="shared" si="7"/>
        <v>2704.5</v>
      </c>
      <c r="I112" s="13" t="s">
        <v>2147</v>
      </c>
    </row>
    <row r="113" customHeight="1" spans="1:10">
      <c r="A113" s="19">
        <v>45922</v>
      </c>
      <c r="B113" s="13" t="s">
        <v>113</v>
      </c>
      <c r="C113" s="12" t="s">
        <v>2177</v>
      </c>
      <c r="D113" s="13" t="s">
        <v>148</v>
      </c>
      <c r="E113" s="12" t="s">
        <v>60</v>
      </c>
      <c r="F113" s="2">
        <v>20000</v>
      </c>
      <c r="G113" s="2">
        <v>0.45</v>
      </c>
      <c r="H113" s="2">
        <f t="shared" si="7"/>
        <v>9000</v>
      </c>
      <c r="I113" s="13" t="s">
        <v>2135</v>
      </c>
    </row>
    <row r="114" customHeight="1" spans="1:10">
      <c r="A114" s="19">
        <v>45922</v>
      </c>
      <c r="B114" s="13" t="s">
        <v>113</v>
      </c>
      <c r="C114" s="12" t="s">
        <v>2177</v>
      </c>
      <c r="D114" s="13" t="s">
        <v>115</v>
      </c>
      <c r="E114" s="12" t="s">
        <v>123</v>
      </c>
      <c r="F114" s="2">
        <v>11975</v>
      </c>
      <c r="G114" s="2">
        <v>0.45</v>
      </c>
      <c r="H114" s="2">
        <f t="shared" si="7"/>
        <v>5388.75</v>
      </c>
      <c r="I114" s="13" t="s">
        <v>805</v>
      </c>
    </row>
    <row r="115" customHeight="1" spans="1:10">
      <c r="A115" s="19">
        <v>45922</v>
      </c>
      <c r="B115" s="13" t="s">
        <v>113</v>
      </c>
      <c r="C115" s="12" t="s">
        <v>2177</v>
      </c>
      <c r="D115" s="13" t="s">
        <v>115</v>
      </c>
      <c r="E115" s="12" t="s">
        <v>123</v>
      </c>
      <c r="F115" s="2">
        <v>22080</v>
      </c>
      <c r="G115" s="2">
        <v>0.45</v>
      </c>
      <c r="H115" s="2">
        <f t="shared" si="7"/>
        <v>9936</v>
      </c>
      <c r="I115" s="13" t="s">
        <v>126</v>
      </c>
    </row>
    <row r="116" customHeight="1" spans="1:10">
      <c r="A116" s="19">
        <v>45922</v>
      </c>
      <c r="B116" s="13" t="s">
        <v>113</v>
      </c>
      <c r="C116" s="12" t="s">
        <v>2177</v>
      </c>
      <c r="D116" s="13" t="s">
        <v>130</v>
      </c>
      <c r="E116" s="12" t="s">
        <v>60</v>
      </c>
      <c r="F116" s="2">
        <v>2040</v>
      </c>
      <c r="G116" s="2">
        <v>0.38</v>
      </c>
      <c r="H116" s="2">
        <f t="shared" si="7"/>
        <v>775.2</v>
      </c>
      <c r="I116" s="13" t="s">
        <v>570</v>
      </c>
    </row>
    <row r="117" customHeight="1" spans="1:10">
      <c r="A117" s="19">
        <v>45922</v>
      </c>
      <c r="B117" s="13" t="s">
        <v>113</v>
      </c>
      <c r="C117" s="12" t="s">
        <v>2178</v>
      </c>
      <c r="D117" s="13" t="s">
        <v>148</v>
      </c>
      <c r="E117" s="12" t="s">
        <v>60</v>
      </c>
      <c r="F117" s="2">
        <v>30250</v>
      </c>
      <c r="G117" s="2">
        <v>0.45</v>
      </c>
      <c r="H117" s="2">
        <f t="shared" si="7"/>
        <v>13612.5</v>
      </c>
      <c r="I117" s="13" t="s">
        <v>2135</v>
      </c>
    </row>
    <row r="118" customHeight="1" spans="1:10">
      <c r="A118" s="19">
        <v>45922</v>
      </c>
      <c r="B118" s="13" t="s">
        <v>113</v>
      </c>
      <c r="C118" s="12" t="s">
        <v>2178</v>
      </c>
      <c r="D118" s="13" t="s">
        <v>130</v>
      </c>
      <c r="E118" s="12" t="s">
        <v>60</v>
      </c>
      <c r="F118" s="2">
        <v>10</v>
      </c>
      <c r="G118" s="2">
        <v>0</v>
      </c>
      <c r="H118" s="2">
        <f t="shared" si="7"/>
        <v>0</v>
      </c>
      <c r="I118" s="13" t="s">
        <v>32</v>
      </c>
    </row>
    <row r="119" customHeight="1" spans="1:10">
      <c r="A119" s="19">
        <v>45922</v>
      </c>
      <c r="B119" s="13" t="s">
        <v>113</v>
      </c>
      <c r="C119" s="12" t="s">
        <v>2178</v>
      </c>
      <c r="D119" s="13" t="s">
        <v>76</v>
      </c>
      <c r="E119" s="12" t="s">
        <v>60</v>
      </c>
      <c r="F119" s="2">
        <v>10</v>
      </c>
      <c r="G119" s="2">
        <v>0</v>
      </c>
      <c r="H119" s="2">
        <f t="shared" si="7"/>
        <v>0</v>
      </c>
      <c r="I119" s="13" t="s">
        <v>32</v>
      </c>
    </row>
    <row r="120" customHeight="1" spans="1:10">
      <c r="A120" s="19">
        <v>45922</v>
      </c>
      <c r="B120" s="13" t="s">
        <v>113</v>
      </c>
      <c r="C120" s="12" t="s">
        <v>2178</v>
      </c>
      <c r="D120" s="13" t="s">
        <v>59</v>
      </c>
      <c r="E120" s="12" t="s">
        <v>60</v>
      </c>
      <c r="F120" s="2">
        <v>10</v>
      </c>
      <c r="G120" s="2">
        <v>0</v>
      </c>
      <c r="H120" s="2">
        <f t="shared" si="7"/>
        <v>0</v>
      </c>
      <c r="I120" s="13" t="s">
        <v>32</v>
      </c>
    </row>
    <row r="121" customHeight="1" spans="1:10">
      <c r="A121" s="19">
        <v>45922</v>
      </c>
      <c r="B121" s="13" t="s">
        <v>113</v>
      </c>
      <c r="C121" s="12" t="s">
        <v>2178</v>
      </c>
      <c r="D121" s="13" t="s">
        <v>59</v>
      </c>
      <c r="E121" s="12" t="s">
        <v>62</v>
      </c>
      <c r="F121" s="2">
        <v>10</v>
      </c>
      <c r="G121" s="2">
        <v>0</v>
      </c>
      <c r="H121" s="2">
        <f t="shared" si="7"/>
        <v>0</v>
      </c>
      <c r="I121" s="13" t="s">
        <v>32</v>
      </c>
    </row>
    <row r="122" customHeight="1" spans="1:10">
      <c r="A122" s="19">
        <v>45924</v>
      </c>
      <c r="B122" s="13" t="s">
        <v>113</v>
      </c>
      <c r="C122" s="12" t="s">
        <v>2179</v>
      </c>
      <c r="D122" s="13" t="s">
        <v>115</v>
      </c>
      <c r="E122" s="12" t="s">
        <v>62</v>
      </c>
      <c r="F122" s="2">
        <v>17310</v>
      </c>
      <c r="G122" s="2">
        <v>0.45</v>
      </c>
      <c r="H122" s="2">
        <f t="shared" si="7"/>
        <v>7789.5</v>
      </c>
      <c r="I122" s="13" t="s">
        <v>149</v>
      </c>
    </row>
    <row r="123" customHeight="1" spans="1:10">
      <c r="A123" s="19">
        <v>45924</v>
      </c>
      <c r="B123" s="13" t="s">
        <v>113</v>
      </c>
      <c r="C123" s="12" t="s">
        <v>2179</v>
      </c>
      <c r="D123" s="13" t="s">
        <v>70</v>
      </c>
      <c r="E123" s="12" t="s">
        <v>123</v>
      </c>
      <c r="F123" s="2">
        <v>40</v>
      </c>
      <c r="G123" s="2">
        <v>0</v>
      </c>
      <c r="H123" s="2">
        <f>F123*J123</f>
        <v>30.8</v>
      </c>
      <c r="I123" s="13" t="s">
        <v>28</v>
      </c>
      <c r="J123" s="13">
        <v>0.77</v>
      </c>
    </row>
    <row r="124" customHeight="1" spans="1:10">
      <c r="A124" s="19">
        <v>45924</v>
      </c>
      <c r="B124" s="13" t="s">
        <v>113</v>
      </c>
      <c r="C124" s="12" t="s">
        <v>2179</v>
      </c>
      <c r="D124" s="13" t="s">
        <v>1443</v>
      </c>
      <c r="E124" s="12" t="s">
        <v>123</v>
      </c>
      <c r="F124" s="2">
        <v>50</v>
      </c>
      <c r="G124" s="2">
        <v>0</v>
      </c>
      <c r="H124" s="2">
        <f>F124*J124</f>
        <v>30</v>
      </c>
      <c r="I124" s="13" t="s">
        <v>28</v>
      </c>
      <c r="J124" s="13">
        <v>0.6</v>
      </c>
    </row>
    <row r="125" customHeight="1" spans="1:10">
      <c r="A125" s="19">
        <v>45925</v>
      </c>
      <c r="B125" s="13" t="s">
        <v>113</v>
      </c>
      <c r="C125" s="12" t="s">
        <v>2180</v>
      </c>
      <c r="D125" s="13" t="s">
        <v>130</v>
      </c>
      <c r="E125" s="12" t="s">
        <v>60</v>
      </c>
      <c r="F125" s="2">
        <v>4000</v>
      </c>
      <c r="G125" s="2">
        <v>0.38</v>
      </c>
      <c r="H125" s="2">
        <f t="shared" ref="H125:H150" si="8">F125*G125</f>
        <v>1520</v>
      </c>
      <c r="I125" s="13" t="s">
        <v>2142</v>
      </c>
    </row>
    <row r="126" customHeight="1" spans="1:10">
      <c r="A126" s="19">
        <v>45925</v>
      </c>
      <c r="B126" s="13" t="s">
        <v>113</v>
      </c>
      <c r="C126" s="12" t="s">
        <v>2180</v>
      </c>
      <c r="D126" s="13" t="s">
        <v>76</v>
      </c>
      <c r="E126" s="12" t="s">
        <v>123</v>
      </c>
      <c r="F126" s="2">
        <v>4000</v>
      </c>
      <c r="G126" s="2">
        <v>0.45</v>
      </c>
      <c r="H126" s="2">
        <f t="shared" si="8"/>
        <v>1800</v>
      </c>
      <c r="I126" s="13" t="s">
        <v>2147</v>
      </c>
    </row>
    <row r="127" customHeight="1" spans="1:10">
      <c r="A127" s="19">
        <v>45925</v>
      </c>
      <c r="B127" s="13" t="s">
        <v>113</v>
      </c>
      <c r="C127" s="12" t="s">
        <v>2180</v>
      </c>
      <c r="D127" s="13" t="s">
        <v>59</v>
      </c>
      <c r="E127" s="12" t="s">
        <v>60</v>
      </c>
      <c r="F127" s="2">
        <v>4000</v>
      </c>
      <c r="G127" s="2">
        <v>0.43</v>
      </c>
      <c r="H127" s="2">
        <f t="shared" si="8"/>
        <v>1720</v>
      </c>
      <c r="I127" s="13" t="s">
        <v>2142</v>
      </c>
    </row>
    <row r="128" customHeight="1" spans="1:10">
      <c r="A128" s="19">
        <v>45925</v>
      </c>
      <c r="B128" s="13" t="s">
        <v>113</v>
      </c>
      <c r="C128" s="12" t="s">
        <v>2180</v>
      </c>
      <c r="D128" s="13" t="s">
        <v>59</v>
      </c>
      <c r="E128" s="12" t="s">
        <v>62</v>
      </c>
      <c r="F128" s="2">
        <v>20000</v>
      </c>
      <c r="G128" s="2">
        <v>0.45</v>
      </c>
      <c r="H128" s="2">
        <f t="shared" si="8"/>
        <v>9000</v>
      </c>
      <c r="I128" s="13" t="s">
        <v>69</v>
      </c>
    </row>
    <row r="129" customHeight="1" spans="1:10">
      <c r="A129" s="19">
        <v>45925</v>
      </c>
      <c r="B129" s="13" t="s">
        <v>113</v>
      </c>
      <c r="C129" s="12" t="s">
        <v>2180</v>
      </c>
      <c r="D129" s="13" t="s">
        <v>115</v>
      </c>
      <c r="E129" s="12" t="s">
        <v>60</v>
      </c>
      <c r="F129" s="2">
        <v>5000</v>
      </c>
      <c r="G129" s="2">
        <v>0.41</v>
      </c>
      <c r="H129" s="2">
        <f t="shared" si="8"/>
        <v>2050</v>
      </c>
      <c r="I129" s="13" t="s">
        <v>340</v>
      </c>
    </row>
    <row r="130" customHeight="1" spans="1:10">
      <c r="A130" s="19">
        <v>45925</v>
      </c>
      <c r="B130" s="13" t="s">
        <v>113</v>
      </c>
      <c r="C130" s="12" t="s">
        <v>2180</v>
      </c>
      <c r="D130" s="13" t="s">
        <v>59</v>
      </c>
      <c r="E130" s="12" t="s">
        <v>60</v>
      </c>
      <c r="F130" s="2">
        <v>10010</v>
      </c>
      <c r="G130" s="2">
        <v>0.49</v>
      </c>
      <c r="H130" s="2">
        <f t="shared" si="8"/>
        <v>4904.9</v>
      </c>
      <c r="I130" s="13" t="s">
        <v>982</v>
      </c>
    </row>
    <row r="131" customHeight="1" spans="1:10">
      <c r="A131" s="19">
        <v>45925</v>
      </c>
      <c r="B131" s="13" t="s">
        <v>113</v>
      </c>
      <c r="C131" s="12" t="s">
        <v>2180</v>
      </c>
      <c r="D131" s="13" t="s">
        <v>115</v>
      </c>
      <c r="E131" s="12" t="s">
        <v>60</v>
      </c>
      <c r="F131" s="2">
        <v>5440</v>
      </c>
      <c r="G131" s="2">
        <v>0.43</v>
      </c>
      <c r="H131" s="2">
        <f t="shared" si="8"/>
        <v>2339.2</v>
      </c>
      <c r="I131" s="13" t="s">
        <v>2181</v>
      </c>
    </row>
    <row r="132" customHeight="1" spans="1:10">
      <c r="A132" s="19">
        <v>45926</v>
      </c>
      <c r="B132" s="13" t="s">
        <v>113</v>
      </c>
      <c r="C132" s="12" t="s">
        <v>2182</v>
      </c>
      <c r="D132" s="13" t="s">
        <v>128</v>
      </c>
      <c r="E132" s="12" t="s">
        <v>123</v>
      </c>
      <c r="F132" s="2">
        <v>300</v>
      </c>
      <c r="G132" s="2">
        <v>0.53</v>
      </c>
      <c r="H132" s="2">
        <f t="shared" si="8"/>
        <v>159</v>
      </c>
      <c r="I132" s="13" t="s">
        <v>805</v>
      </c>
    </row>
    <row r="133" customHeight="1" spans="1:10">
      <c r="A133" s="19">
        <v>45926</v>
      </c>
      <c r="B133" s="13" t="s">
        <v>113</v>
      </c>
      <c r="C133" s="12" t="s">
        <v>2182</v>
      </c>
      <c r="D133" s="13" t="s">
        <v>729</v>
      </c>
      <c r="E133" s="12" t="s">
        <v>62</v>
      </c>
      <c r="F133" s="2">
        <v>6210</v>
      </c>
      <c r="G133" s="2">
        <v>0.6</v>
      </c>
      <c r="H133" s="2">
        <f t="shared" si="8"/>
        <v>3726</v>
      </c>
      <c r="I133" s="13" t="s">
        <v>71</v>
      </c>
    </row>
    <row r="134" customHeight="1" spans="1:10">
      <c r="A134" s="19">
        <v>45926</v>
      </c>
      <c r="B134" s="13" t="s">
        <v>113</v>
      </c>
      <c r="C134" s="12" t="s">
        <v>2182</v>
      </c>
      <c r="D134" s="13" t="s">
        <v>115</v>
      </c>
      <c r="E134" s="12" t="s">
        <v>62</v>
      </c>
      <c r="F134" s="2">
        <v>1210</v>
      </c>
      <c r="G134" s="2">
        <v>0.45</v>
      </c>
      <c r="H134" s="2">
        <f t="shared" si="8"/>
        <v>544.5</v>
      </c>
      <c r="I134" s="13" t="s">
        <v>2139</v>
      </c>
    </row>
    <row r="135" customHeight="1" spans="1:10">
      <c r="A135" s="19">
        <v>45926</v>
      </c>
      <c r="B135" s="13" t="s">
        <v>113</v>
      </c>
      <c r="C135" s="12" t="s">
        <v>2182</v>
      </c>
      <c r="D135" s="13" t="s">
        <v>115</v>
      </c>
      <c r="E135" s="12" t="s">
        <v>361</v>
      </c>
      <c r="F135" s="2">
        <v>102</v>
      </c>
      <c r="G135" s="2">
        <v>0.75</v>
      </c>
      <c r="H135" s="2">
        <f t="shared" si="8"/>
        <v>76.5</v>
      </c>
      <c r="I135" s="13" t="s">
        <v>1990</v>
      </c>
    </row>
    <row r="136" customHeight="1" spans="1:10">
      <c r="A136" s="19">
        <v>45926</v>
      </c>
      <c r="B136" s="13" t="s">
        <v>113</v>
      </c>
      <c r="C136" s="12" t="s">
        <v>2182</v>
      </c>
      <c r="D136" s="13" t="s">
        <v>130</v>
      </c>
      <c r="E136" s="12" t="s">
        <v>60</v>
      </c>
      <c r="F136" s="2">
        <v>26</v>
      </c>
      <c r="G136" s="2">
        <v>0</v>
      </c>
      <c r="H136" s="2">
        <f t="shared" si="8"/>
        <v>0</v>
      </c>
      <c r="I136" s="13" t="s">
        <v>32</v>
      </c>
    </row>
    <row r="137" customHeight="1" spans="1:10">
      <c r="A137" s="19">
        <v>45928</v>
      </c>
      <c r="B137" s="13" t="s">
        <v>113</v>
      </c>
      <c r="C137" s="12" t="s">
        <v>2183</v>
      </c>
      <c r="D137" s="13" t="s">
        <v>130</v>
      </c>
      <c r="E137" s="12" t="s">
        <v>123</v>
      </c>
      <c r="F137" s="2">
        <v>6160</v>
      </c>
      <c r="G137" s="2">
        <v>0.45</v>
      </c>
      <c r="H137" s="2">
        <f t="shared" si="8"/>
        <v>2772</v>
      </c>
      <c r="I137" s="13" t="s">
        <v>117</v>
      </c>
    </row>
    <row r="138" customHeight="1" spans="1:10">
      <c r="A138" s="19">
        <v>45928</v>
      </c>
      <c r="B138" s="13" t="s">
        <v>113</v>
      </c>
      <c r="C138" s="12" t="s">
        <v>2183</v>
      </c>
      <c r="D138" s="13" t="s">
        <v>122</v>
      </c>
      <c r="E138" s="12" t="s">
        <v>127</v>
      </c>
      <c r="F138" s="2">
        <v>100</v>
      </c>
      <c r="G138" s="2">
        <v>0.53</v>
      </c>
      <c r="H138" s="2">
        <f t="shared" si="8"/>
        <v>53</v>
      </c>
      <c r="I138" s="13" t="s">
        <v>2169</v>
      </c>
    </row>
    <row r="139" customHeight="1" spans="1:10">
      <c r="A139" s="19">
        <v>45898</v>
      </c>
      <c r="B139" s="21" t="s">
        <v>121</v>
      </c>
      <c r="C139" s="21"/>
      <c r="D139" s="21" t="s">
        <v>122</v>
      </c>
      <c r="E139" s="21" t="s">
        <v>123</v>
      </c>
      <c r="F139" s="13">
        <v>6110</v>
      </c>
      <c r="G139" s="13">
        <v>0.5</v>
      </c>
      <c r="H139" s="13">
        <f t="shared" si="8"/>
        <v>3055</v>
      </c>
      <c r="I139" s="13" t="s">
        <v>2170</v>
      </c>
    </row>
    <row r="140" customHeight="1" spans="1:10">
      <c r="A140" s="19">
        <v>45898</v>
      </c>
      <c r="B140" s="21" t="s">
        <v>121</v>
      </c>
      <c r="D140" s="13" t="s">
        <v>70</v>
      </c>
      <c r="E140" s="12" t="s">
        <v>136</v>
      </c>
      <c r="F140" s="13">
        <v>4099</v>
      </c>
      <c r="G140" s="13">
        <v>0.53</v>
      </c>
      <c r="H140" s="13">
        <f t="shared" si="8"/>
        <v>2172.47</v>
      </c>
      <c r="I140" s="13" t="s">
        <v>45</v>
      </c>
    </row>
    <row r="141" customHeight="1" spans="1:10">
      <c r="A141" s="19">
        <v>45906</v>
      </c>
      <c r="B141" s="21" t="s">
        <v>121</v>
      </c>
      <c r="D141" s="21" t="s">
        <v>122</v>
      </c>
      <c r="E141" s="21" t="s">
        <v>123</v>
      </c>
      <c r="F141" s="13">
        <v>2060</v>
      </c>
      <c r="G141" s="13">
        <v>0.5</v>
      </c>
      <c r="H141" s="13">
        <f t="shared" si="8"/>
        <v>1030</v>
      </c>
      <c r="I141" s="13" t="s">
        <v>2170</v>
      </c>
    </row>
    <row r="142" customHeight="1" spans="1:10">
      <c r="A142" s="19">
        <v>45906</v>
      </c>
      <c r="B142" s="21" t="s">
        <v>121</v>
      </c>
      <c r="D142" s="21" t="s">
        <v>122</v>
      </c>
      <c r="E142" s="21" t="s">
        <v>2184</v>
      </c>
      <c r="F142" s="13">
        <v>6060</v>
      </c>
      <c r="G142" s="13">
        <v>0.54</v>
      </c>
      <c r="H142" s="13">
        <f t="shared" si="8"/>
        <v>3272.4</v>
      </c>
      <c r="I142" s="13" t="s">
        <v>2170</v>
      </c>
    </row>
    <row r="143" customHeight="1" spans="1:10">
      <c r="A143" s="19">
        <v>45906</v>
      </c>
      <c r="B143" s="21" t="s">
        <v>121</v>
      </c>
      <c r="D143" s="21" t="s">
        <v>134</v>
      </c>
      <c r="E143" s="21" t="s">
        <v>99</v>
      </c>
      <c r="F143" s="13">
        <v>3240</v>
      </c>
      <c r="G143" s="13">
        <v>0.77</v>
      </c>
      <c r="H143" s="13">
        <f t="shared" si="8"/>
        <v>2494.8</v>
      </c>
      <c r="I143" s="13" t="s">
        <v>2147</v>
      </c>
    </row>
    <row r="144" customHeight="1" spans="1:10">
      <c r="A144" s="19">
        <v>45906</v>
      </c>
      <c r="B144" s="21" t="s">
        <v>121</v>
      </c>
      <c r="D144" s="21" t="s">
        <v>134</v>
      </c>
      <c r="E144" s="21" t="s">
        <v>14</v>
      </c>
      <c r="F144" s="13">
        <v>50000</v>
      </c>
      <c r="G144" s="13">
        <v>0.62</v>
      </c>
      <c r="H144" s="13">
        <f t="shared" si="8"/>
        <v>31000</v>
      </c>
      <c r="I144" s="13" t="s">
        <v>61</v>
      </c>
      <c r="J144" s="13" t="s">
        <v>1135</v>
      </c>
    </row>
    <row r="145" customHeight="1" spans="1:10">
      <c r="A145" s="19">
        <v>45906</v>
      </c>
      <c r="B145" s="21" t="s">
        <v>121</v>
      </c>
      <c r="D145" s="21" t="s">
        <v>134</v>
      </c>
      <c r="E145" s="21" t="s">
        <v>99</v>
      </c>
      <c r="F145" s="13">
        <v>15000</v>
      </c>
      <c r="G145" s="13">
        <v>0.77</v>
      </c>
      <c r="H145" s="13">
        <f t="shared" si="8"/>
        <v>11550</v>
      </c>
      <c r="I145" s="13" t="s">
        <v>1400</v>
      </c>
      <c r="J145" s="13" t="s">
        <v>1135</v>
      </c>
    </row>
    <row r="146" customHeight="1" spans="1:10">
      <c r="A146" s="19">
        <v>45920</v>
      </c>
      <c r="B146" s="21" t="s">
        <v>121</v>
      </c>
      <c r="D146" s="21" t="s">
        <v>70</v>
      </c>
      <c r="E146" s="12" t="s">
        <v>62</v>
      </c>
      <c r="F146" s="13">
        <v>4205</v>
      </c>
      <c r="G146" s="13">
        <v>0.52</v>
      </c>
      <c r="H146" s="13">
        <f t="shared" si="8"/>
        <v>2186.6</v>
      </c>
      <c r="I146" s="13" t="s">
        <v>45</v>
      </c>
    </row>
    <row r="147" customHeight="1" spans="1:10">
      <c r="A147" s="19">
        <v>45920</v>
      </c>
      <c r="B147" s="21" t="s">
        <v>121</v>
      </c>
      <c r="D147" s="21" t="s">
        <v>70</v>
      </c>
      <c r="E147" s="12" t="s">
        <v>62</v>
      </c>
      <c r="F147" s="13">
        <v>4105</v>
      </c>
      <c r="G147" s="13">
        <v>0.53</v>
      </c>
      <c r="H147" s="13">
        <f t="shared" si="8"/>
        <v>2175.65</v>
      </c>
      <c r="I147" s="13" t="s">
        <v>45</v>
      </c>
    </row>
    <row r="148" customHeight="1" spans="1:10">
      <c r="A148" s="19">
        <v>45924</v>
      </c>
      <c r="B148" s="21" t="s">
        <v>121</v>
      </c>
      <c r="D148" s="21" t="s">
        <v>762</v>
      </c>
      <c r="E148" s="12" t="s">
        <v>361</v>
      </c>
      <c r="F148" s="13">
        <v>2555</v>
      </c>
      <c r="G148" s="13">
        <v>1.35</v>
      </c>
      <c r="H148" s="13">
        <f t="shared" si="8"/>
        <v>3449.25</v>
      </c>
      <c r="I148" s="13" t="s">
        <v>570</v>
      </c>
    </row>
    <row r="149" customHeight="1" spans="1:10">
      <c r="A149" s="19">
        <v>45927</v>
      </c>
      <c r="B149" s="21" t="s">
        <v>121</v>
      </c>
      <c r="D149" s="21" t="s">
        <v>762</v>
      </c>
      <c r="E149" s="12" t="s">
        <v>361</v>
      </c>
      <c r="F149" s="13">
        <v>1035</v>
      </c>
      <c r="G149" s="13">
        <v>1.35</v>
      </c>
      <c r="H149" s="13">
        <f t="shared" si="8"/>
        <v>1397.25</v>
      </c>
      <c r="I149" s="13" t="s">
        <v>570</v>
      </c>
    </row>
    <row r="150" customHeight="1" spans="1:10">
      <c r="A150" s="19">
        <v>45906</v>
      </c>
      <c r="B150" s="21" t="s">
        <v>121</v>
      </c>
      <c r="D150" s="21" t="s">
        <v>122</v>
      </c>
      <c r="E150" s="21" t="s">
        <v>2184</v>
      </c>
      <c r="F150" s="13">
        <v>6200</v>
      </c>
      <c r="G150" s="13">
        <v>0.54</v>
      </c>
      <c r="H150" s="13">
        <f t="shared" si="8"/>
        <v>3348</v>
      </c>
      <c r="I150" s="13" t="s">
        <v>2170</v>
      </c>
    </row>
    <row r="151" customHeight="1" spans="1:10">
      <c r="A151" s="19">
        <v>45897</v>
      </c>
      <c r="B151" s="12" t="s">
        <v>101</v>
      </c>
      <c r="C151" s="12">
        <v>20250828</v>
      </c>
      <c r="D151" s="12" t="s">
        <v>107</v>
      </c>
      <c r="E151" s="21" t="s">
        <v>62</v>
      </c>
      <c r="F151" s="2">
        <v>22520</v>
      </c>
      <c r="G151" s="2">
        <v>0.75</v>
      </c>
      <c r="H151" s="2">
        <f t="shared" ref="H151:H184" si="9">F151*G151</f>
        <v>16890</v>
      </c>
      <c r="I151" s="13" t="s">
        <v>45</v>
      </c>
    </row>
    <row r="152" customHeight="1" spans="1:10">
      <c r="A152" s="19">
        <v>45899</v>
      </c>
      <c r="B152" s="12" t="s">
        <v>101</v>
      </c>
      <c r="C152" s="12">
        <v>20250830</v>
      </c>
      <c r="D152" s="12" t="s">
        <v>107</v>
      </c>
      <c r="E152" s="21" t="s">
        <v>62</v>
      </c>
      <c r="F152" s="2">
        <v>635</v>
      </c>
      <c r="G152" s="2">
        <v>0.75</v>
      </c>
      <c r="H152" s="2">
        <f t="shared" si="9"/>
        <v>476.25</v>
      </c>
      <c r="I152" s="13" t="s">
        <v>45</v>
      </c>
    </row>
    <row r="153" customHeight="1" spans="1:10">
      <c r="A153" s="19">
        <v>45906</v>
      </c>
      <c r="B153" s="12" t="s">
        <v>101</v>
      </c>
      <c r="C153" s="12">
        <v>20250905</v>
      </c>
      <c r="D153" s="12" t="s">
        <v>754</v>
      </c>
      <c r="E153" s="12" t="s">
        <v>1405</v>
      </c>
      <c r="F153" s="2">
        <v>1005</v>
      </c>
      <c r="G153" s="2">
        <v>1.1</v>
      </c>
      <c r="H153" s="2">
        <f t="shared" si="9"/>
        <v>1105.5</v>
      </c>
      <c r="I153" s="13" t="s">
        <v>1991</v>
      </c>
    </row>
    <row r="154" customHeight="1" spans="1:10">
      <c r="A154" s="19">
        <v>45906</v>
      </c>
      <c r="B154" s="12" t="s">
        <v>101</v>
      </c>
      <c r="C154" s="12">
        <v>20250905</v>
      </c>
      <c r="D154" s="12" t="s">
        <v>752</v>
      </c>
      <c r="E154" s="12" t="s">
        <v>124</v>
      </c>
      <c r="F154" s="20">
        <v>30000</v>
      </c>
      <c r="G154" s="2">
        <v>0.57</v>
      </c>
      <c r="H154" s="2">
        <f t="shared" si="9"/>
        <v>17100</v>
      </c>
      <c r="I154" s="13" t="s">
        <v>396</v>
      </c>
    </row>
    <row r="155" customHeight="1" spans="1:10">
      <c r="A155" s="19">
        <v>45907</v>
      </c>
      <c r="B155" s="12" t="s">
        <v>101</v>
      </c>
      <c r="C155" s="12">
        <v>20250906</v>
      </c>
      <c r="D155" s="12" t="s">
        <v>752</v>
      </c>
      <c r="E155" s="12" t="s">
        <v>124</v>
      </c>
      <c r="F155" s="20">
        <v>40000</v>
      </c>
      <c r="G155" s="2">
        <v>0.57</v>
      </c>
      <c r="H155" s="2">
        <f t="shared" si="9"/>
        <v>22800</v>
      </c>
      <c r="I155" s="13" t="s">
        <v>396</v>
      </c>
    </row>
    <row r="156" customHeight="1" spans="1:10">
      <c r="A156" s="19">
        <v>45907</v>
      </c>
      <c r="B156" s="12" t="s">
        <v>101</v>
      </c>
      <c r="C156" s="12">
        <v>20250906</v>
      </c>
      <c r="D156" s="12" t="s">
        <v>107</v>
      </c>
      <c r="E156" s="21" t="s">
        <v>60</v>
      </c>
      <c r="F156" s="2">
        <v>3025</v>
      </c>
      <c r="G156" s="2">
        <v>0.73</v>
      </c>
      <c r="H156" s="2">
        <f t="shared" si="9"/>
        <v>2208.25</v>
      </c>
      <c r="I156" s="13" t="s">
        <v>2185</v>
      </c>
    </row>
    <row r="157" customHeight="1" spans="1:10">
      <c r="A157" s="19">
        <v>45909</v>
      </c>
      <c r="B157" s="12" t="s">
        <v>101</v>
      </c>
      <c r="C157" s="12">
        <v>20250909</v>
      </c>
      <c r="D157" s="12" t="s">
        <v>752</v>
      </c>
      <c r="E157" s="12" t="s">
        <v>124</v>
      </c>
      <c r="F157" s="20">
        <v>35000</v>
      </c>
      <c r="G157" s="2">
        <v>0.57</v>
      </c>
      <c r="H157" s="2">
        <f t="shared" si="9"/>
        <v>19950</v>
      </c>
      <c r="I157" s="13" t="s">
        <v>396</v>
      </c>
    </row>
    <row r="158" customHeight="1" spans="1:10">
      <c r="A158" s="19">
        <v>45910</v>
      </c>
      <c r="B158" s="12" t="s">
        <v>101</v>
      </c>
      <c r="C158" s="12">
        <v>20250910</v>
      </c>
      <c r="D158" s="12" t="s">
        <v>362</v>
      </c>
      <c r="E158" s="12" t="s">
        <v>85</v>
      </c>
      <c r="F158" s="2">
        <v>14510</v>
      </c>
      <c r="G158" s="2">
        <v>0.95</v>
      </c>
      <c r="H158" s="2">
        <f t="shared" si="9"/>
        <v>13784.5</v>
      </c>
      <c r="I158" s="13" t="s">
        <v>363</v>
      </c>
    </row>
    <row r="159" customHeight="1" spans="1:10">
      <c r="A159" s="19">
        <v>45910</v>
      </c>
      <c r="B159" s="12" t="s">
        <v>101</v>
      </c>
      <c r="C159" s="12">
        <v>20250910</v>
      </c>
      <c r="D159" s="12" t="s">
        <v>104</v>
      </c>
      <c r="E159" s="12" t="s">
        <v>99</v>
      </c>
      <c r="F159" s="2">
        <v>20010</v>
      </c>
      <c r="G159" s="2">
        <v>0.93</v>
      </c>
      <c r="H159" s="2">
        <f t="shared" si="9"/>
        <v>18609.3</v>
      </c>
      <c r="I159" s="13" t="s">
        <v>105</v>
      </c>
    </row>
    <row r="160" customHeight="1" spans="1:10">
      <c r="A160" s="19">
        <v>45911</v>
      </c>
      <c r="B160" s="12" t="s">
        <v>101</v>
      </c>
      <c r="C160" s="12">
        <v>20250911</v>
      </c>
      <c r="D160" s="12" t="s">
        <v>752</v>
      </c>
      <c r="E160" s="12" t="s">
        <v>124</v>
      </c>
      <c r="F160" s="20">
        <v>38500</v>
      </c>
      <c r="G160" s="2">
        <v>0.57</v>
      </c>
      <c r="H160" s="2">
        <f t="shared" si="9"/>
        <v>21945</v>
      </c>
      <c r="I160" s="13" t="s">
        <v>396</v>
      </c>
    </row>
    <row r="161" customHeight="1" spans="1:9">
      <c r="A161" s="19">
        <v>45913</v>
      </c>
      <c r="B161" s="12" t="s">
        <v>101</v>
      </c>
      <c r="C161" s="12">
        <v>20250913</v>
      </c>
      <c r="D161" s="12" t="s">
        <v>115</v>
      </c>
      <c r="E161" s="21" t="s">
        <v>60</v>
      </c>
      <c r="F161" s="2">
        <v>22150</v>
      </c>
      <c r="G161" s="2">
        <v>0.5</v>
      </c>
      <c r="H161" s="2">
        <f t="shared" si="9"/>
        <v>11075</v>
      </c>
      <c r="I161" s="13" t="s">
        <v>570</v>
      </c>
    </row>
    <row r="162" customHeight="1" spans="1:9">
      <c r="A162" s="19">
        <v>45913</v>
      </c>
      <c r="B162" s="12" t="s">
        <v>101</v>
      </c>
      <c r="C162" s="12">
        <v>20250913</v>
      </c>
      <c r="D162" s="12" t="s">
        <v>752</v>
      </c>
      <c r="E162" s="12" t="s">
        <v>124</v>
      </c>
      <c r="F162" s="20">
        <v>25000</v>
      </c>
      <c r="G162" s="2">
        <v>0.57</v>
      </c>
      <c r="H162" s="2">
        <f t="shared" si="9"/>
        <v>14250</v>
      </c>
      <c r="I162" s="13" t="s">
        <v>396</v>
      </c>
    </row>
    <row r="163" customHeight="1" spans="1:9">
      <c r="A163" s="19">
        <v>45915</v>
      </c>
      <c r="B163" s="12" t="s">
        <v>101</v>
      </c>
      <c r="C163" s="12">
        <v>20250907</v>
      </c>
      <c r="D163" s="12" t="s">
        <v>107</v>
      </c>
      <c r="E163" s="21" t="s">
        <v>60</v>
      </c>
      <c r="F163" s="2">
        <v>2010</v>
      </c>
      <c r="G163" s="2">
        <v>0.78</v>
      </c>
      <c r="H163" s="2">
        <f t="shared" si="9"/>
        <v>1567.8</v>
      </c>
      <c r="I163" s="13" t="s">
        <v>1301</v>
      </c>
    </row>
    <row r="164" customHeight="1" spans="1:9">
      <c r="A164" s="19">
        <v>45915</v>
      </c>
      <c r="B164" s="12" t="s">
        <v>101</v>
      </c>
      <c r="C164" s="12">
        <v>20250907</v>
      </c>
      <c r="D164" s="12" t="s">
        <v>102</v>
      </c>
      <c r="E164" s="21" t="s">
        <v>60</v>
      </c>
      <c r="F164" s="2">
        <v>205</v>
      </c>
      <c r="G164" s="2">
        <v>0.8</v>
      </c>
      <c r="H164" s="2">
        <f t="shared" si="9"/>
        <v>164</v>
      </c>
      <c r="I164" s="13" t="s">
        <v>25</v>
      </c>
    </row>
    <row r="165" customHeight="1" spans="1:9">
      <c r="A165" s="19">
        <v>45915</v>
      </c>
      <c r="B165" s="12" t="s">
        <v>101</v>
      </c>
      <c r="C165" s="12">
        <v>20250907</v>
      </c>
      <c r="D165" s="12" t="s">
        <v>752</v>
      </c>
      <c r="E165" s="12" t="s">
        <v>124</v>
      </c>
      <c r="F165" s="20">
        <v>30000</v>
      </c>
      <c r="G165" s="2">
        <v>0.57</v>
      </c>
      <c r="H165" s="2">
        <f t="shared" si="9"/>
        <v>17100</v>
      </c>
      <c r="I165" s="13" t="s">
        <v>396</v>
      </c>
    </row>
    <row r="166" customHeight="1" spans="1:9">
      <c r="A166" s="19">
        <v>45917</v>
      </c>
      <c r="B166" s="12" t="s">
        <v>101</v>
      </c>
      <c r="C166" s="12">
        <v>20250908</v>
      </c>
      <c r="D166" s="12" t="s">
        <v>752</v>
      </c>
      <c r="E166" s="12" t="s">
        <v>124</v>
      </c>
      <c r="F166" s="20">
        <v>40000</v>
      </c>
      <c r="G166" s="2">
        <v>0.57</v>
      </c>
      <c r="H166" s="2">
        <f t="shared" si="9"/>
        <v>22800</v>
      </c>
      <c r="I166" s="13" t="s">
        <v>396</v>
      </c>
    </row>
    <row r="167" customHeight="1" spans="1:9">
      <c r="A167" s="19">
        <v>45918</v>
      </c>
      <c r="B167" s="12" t="s">
        <v>101</v>
      </c>
      <c r="C167" s="12">
        <v>20250909</v>
      </c>
      <c r="D167" s="12" t="s">
        <v>752</v>
      </c>
      <c r="E167" s="12" t="s">
        <v>124</v>
      </c>
      <c r="F167" s="20">
        <v>52500</v>
      </c>
      <c r="G167" s="2">
        <v>0.57</v>
      </c>
      <c r="H167" s="2">
        <f t="shared" si="9"/>
        <v>29925</v>
      </c>
      <c r="I167" s="13" t="s">
        <v>396</v>
      </c>
    </row>
    <row r="168" customHeight="1" spans="1:9">
      <c r="A168" s="19">
        <v>45920</v>
      </c>
      <c r="B168" s="12" t="s">
        <v>101</v>
      </c>
      <c r="C168" s="12">
        <v>20250910</v>
      </c>
      <c r="D168" s="12" t="s">
        <v>754</v>
      </c>
      <c r="E168" s="12" t="s">
        <v>124</v>
      </c>
      <c r="F168" s="2">
        <v>2005</v>
      </c>
      <c r="G168" s="2">
        <v>1.1</v>
      </c>
      <c r="H168" s="2">
        <f t="shared" si="9"/>
        <v>2205.5</v>
      </c>
      <c r="I168" s="13" t="s">
        <v>1991</v>
      </c>
    </row>
    <row r="169" customHeight="1" spans="1:9">
      <c r="A169" s="19">
        <v>45920</v>
      </c>
      <c r="B169" s="12" t="s">
        <v>101</v>
      </c>
      <c r="C169" s="12">
        <v>20250910</v>
      </c>
      <c r="D169" s="12" t="s">
        <v>362</v>
      </c>
      <c r="E169" s="12" t="s">
        <v>124</v>
      </c>
      <c r="F169" s="2">
        <v>30</v>
      </c>
      <c r="G169" s="2">
        <v>0.95</v>
      </c>
      <c r="H169" s="2">
        <f t="shared" si="9"/>
        <v>28.5</v>
      </c>
      <c r="I169" s="13" t="s">
        <v>363</v>
      </c>
    </row>
    <row r="170" customHeight="1" spans="1:9">
      <c r="A170" s="19">
        <v>45920</v>
      </c>
      <c r="B170" s="12" t="s">
        <v>101</v>
      </c>
      <c r="C170" s="12">
        <v>20250910</v>
      </c>
      <c r="D170" s="12" t="s">
        <v>752</v>
      </c>
      <c r="E170" s="12" t="s">
        <v>124</v>
      </c>
      <c r="F170" s="2">
        <v>50000</v>
      </c>
      <c r="G170" s="2">
        <v>0.57</v>
      </c>
      <c r="H170" s="2">
        <f t="shared" si="9"/>
        <v>28500</v>
      </c>
      <c r="I170" s="13" t="s">
        <v>396</v>
      </c>
    </row>
    <row r="171" customHeight="1" spans="1:9">
      <c r="A171" s="19">
        <v>45922</v>
      </c>
      <c r="B171" s="12" t="s">
        <v>101</v>
      </c>
      <c r="C171" s="12">
        <v>20250911</v>
      </c>
      <c r="D171" s="12" t="s">
        <v>752</v>
      </c>
      <c r="E171" s="12" t="s">
        <v>124</v>
      </c>
      <c r="F171" s="2">
        <v>40000</v>
      </c>
      <c r="G171" s="2">
        <v>0.57</v>
      </c>
      <c r="H171" s="2">
        <f t="shared" si="9"/>
        <v>22800</v>
      </c>
      <c r="I171" s="13" t="s">
        <v>396</v>
      </c>
    </row>
    <row r="172" customHeight="1" spans="1:9">
      <c r="A172" s="19">
        <v>45923</v>
      </c>
      <c r="B172" s="12" t="s">
        <v>101</v>
      </c>
      <c r="C172" s="12">
        <v>20250912</v>
      </c>
      <c r="D172" s="12" t="s">
        <v>752</v>
      </c>
      <c r="E172" s="12" t="s">
        <v>124</v>
      </c>
      <c r="F172" s="2">
        <v>30000</v>
      </c>
      <c r="G172" s="2">
        <v>0.57</v>
      </c>
      <c r="H172" s="2">
        <f t="shared" si="9"/>
        <v>17100</v>
      </c>
      <c r="I172" s="13" t="s">
        <v>396</v>
      </c>
    </row>
    <row r="173" customHeight="1" spans="1:9">
      <c r="A173" s="19">
        <v>45923</v>
      </c>
      <c r="B173" s="12" t="s">
        <v>101</v>
      </c>
      <c r="C173" s="12">
        <v>20250912</v>
      </c>
      <c r="D173" s="12" t="s">
        <v>115</v>
      </c>
      <c r="E173" s="12" t="s">
        <v>60</v>
      </c>
      <c r="F173" s="2">
        <v>2210</v>
      </c>
      <c r="G173" s="2">
        <v>0.5</v>
      </c>
      <c r="H173" s="2">
        <f t="shared" si="9"/>
        <v>1105</v>
      </c>
      <c r="I173" s="13" t="s">
        <v>71</v>
      </c>
    </row>
    <row r="174" customHeight="1" spans="1:9">
      <c r="A174" s="19">
        <v>45924</v>
      </c>
      <c r="B174" s="12" t="s">
        <v>101</v>
      </c>
      <c r="C174" s="12">
        <v>20250913</v>
      </c>
      <c r="D174" s="12" t="s">
        <v>752</v>
      </c>
      <c r="E174" s="12" t="s">
        <v>124</v>
      </c>
      <c r="F174" s="2">
        <v>40000</v>
      </c>
      <c r="G174" s="2">
        <v>0.57</v>
      </c>
      <c r="H174" s="2">
        <f t="shared" si="9"/>
        <v>22800</v>
      </c>
      <c r="I174" s="13" t="s">
        <v>396</v>
      </c>
    </row>
    <row r="175" customHeight="1" spans="1:9">
      <c r="A175" s="19">
        <v>45926</v>
      </c>
      <c r="B175" s="12" t="s">
        <v>101</v>
      </c>
      <c r="C175" s="12">
        <v>20250914</v>
      </c>
      <c r="D175" s="12" t="s">
        <v>2186</v>
      </c>
      <c r="E175" s="12" t="s">
        <v>212</v>
      </c>
      <c r="F175" s="2">
        <v>20010</v>
      </c>
      <c r="G175" s="2">
        <v>0.93</v>
      </c>
      <c r="H175" s="2">
        <f t="shared" si="9"/>
        <v>18609.3</v>
      </c>
      <c r="I175" s="13" t="s">
        <v>105</v>
      </c>
    </row>
    <row r="176" customHeight="1" spans="1:9">
      <c r="A176" s="19">
        <v>45926</v>
      </c>
      <c r="B176" s="12" t="s">
        <v>101</v>
      </c>
      <c r="C176" s="12">
        <v>20250914</v>
      </c>
      <c r="D176" s="12" t="s">
        <v>130</v>
      </c>
      <c r="E176" s="12" t="s">
        <v>60</v>
      </c>
      <c r="F176" s="2">
        <v>4105</v>
      </c>
      <c r="G176" s="2">
        <v>0.45</v>
      </c>
      <c r="H176" s="2">
        <f t="shared" si="9"/>
        <v>1847.25</v>
      </c>
      <c r="I176" s="13" t="s">
        <v>45</v>
      </c>
    </row>
    <row r="177" customHeight="1" spans="1:10">
      <c r="A177" s="19">
        <v>45927</v>
      </c>
      <c r="B177" s="12" t="s">
        <v>101</v>
      </c>
      <c r="C177" s="12">
        <v>20250915</v>
      </c>
      <c r="D177" s="12" t="s">
        <v>752</v>
      </c>
      <c r="E177" s="12" t="s">
        <v>124</v>
      </c>
      <c r="F177" s="2">
        <v>50000</v>
      </c>
      <c r="G177" s="2">
        <v>0.57</v>
      </c>
      <c r="H177" s="2">
        <f t="shared" si="9"/>
        <v>28500</v>
      </c>
      <c r="I177" s="13" t="s">
        <v>396</v>
      </c>
    </row>
    <row r="178" customHeight="1" spans="1:10">
      <c r="A178" s="19">
        <v>45928</v>
      </c>
      <c r="B178" s="12" t="s">
        <v>101</v>
      </c>
      <c r="C178" s="12">
        <v>20250916</v>
      </c>
      <c r="D178" s="12" t="s">
        <v>148</v>
      </c>
      <c r="E178" s="12" t="s">
        <v>99</v>
      </c>
      <c r="F178" s="2">
        <v>102</v>
      </c>
      <c r="G178" s="2">
        <v>0.78</v>
      </c>
      <c r="H178" s="2">
        <f t="shared" si="9"/>
        <v>79.56</v>
      </c>
      <c r="I178" s="13" t="s">
        <v>1990</v>
      </c>
    </row>
    <row r="179" customHeight="1" spans="1:10">
      <c r="A179" s="19">
        <v>45897</v>
      </c>
      <c r="B179" s="13" t="s">
        <v>1818</v>
      </c>
      <c r="C179" s="13" t="s">
        <v>2187</v>
      </c>
      <c r="D179" s="13" t="s">
        <v>2188</v>
      </c>
      <c r="E179" s="13" t="s">
        <v>158</v>
      </c>
      <c r="F179" s="13">
        <v>50000</v>
      </c>
      <c r="G179" s="13">
        <v>0.17</v>
      </c>
      <c r="H179" s="13">
        <f t="shared" ref="H179:H211" si="10">F179*G179</f>
        <v>8500</v>
      </c>
      <c r="I179" s="13" t="s">
        <v>1827</v>
      </c>
      <c r="J179" s="13" t="s">
        <v>46</v>
      </c>
    </row>
    <row r="180" customHeight="1" spans="1:10">
      <c r="A180" s="19">
        <v>45897</v>
      </c>
      <c r="B180" s="13" t="s">
        <v>1818</v>
      </c>
      <c r="C180" s="13" t="s">
        <v>2187</v>
      </c>
      <c r="D180" s="13" t="s">
        <v>2189</v>
      </c>
      <c r="E180" s="13" t="s">
        <v>158</v>
      </c>
      <c r="F180" s="13">
        <v>30000</v>
      </c>
      <c r="G180" s="13">
        <v>0.2</v>
      </c>
      <c r="H180" s="13">
        <f t="shared" si="10"/>
        <v>6000</v>
      </c>
      <c r="I180" s="13" t="s">
        <v>61</v>
      </c>
      <c r="J180" s="13" t="s">
        <v>46</v>
      </c>
    </row>
    <row r="181" customHeight="1" spans="1:10">
      <c r="A181" s="19">
        <v>45897</v>
      </c>
      <c r="B181" s="13" t="s">
        <v>1818</v>
      </c>
      <c r="C181" s="13" t="s">
        <v>2187</v>
      </c>
      <c r="D181" s="13" t="s">
        <v>2190</v>
      </c>
      <c r="E181" s="13" t="s">
        <v>158</v>
      </c>
      <c r="F181" s="13">
        <v>20000</v>
      </c>
      <c r="G181" s="13">
        <v>0.17</v>
      </c>
      <c r="H181" s="13">
        <f t="shared" si="10"/>
        <v>3400</v>
      </c>
      <c r="I181" s="13" t="s">
        <v>2191</v>
      </c>
      <c r="J181" s="13" t="s">
        <v>46</v>
      </c>
    </row>
    <row r="182" customHeight="1" spans="1:10">
      <c r="A182" s="19">
        <v>45897</v>
      </c>
      <c r="B182" s="13" t="s">
        <v>1818</v>
      </c>
      <c r="C182" s="13" t="s">
        <v>2187</v>
      </c>
      <c r="D182" s="13" t="s">
        <v>2192</v>
      </c>
      <c r="E182" s="13" t="s">
        <v>158</v>
      </c>
      <c r="F182" s="13">
        <v>20000</v>
      </c>
      <c r="G182" s="13">
        <v>0.17</v>
      </c>
      <c r="H182" s="13">
        <f t="shared" si="10"/>
        <v>3400</v>
      </c>
      <c r="I182" s="13" t="s">
        <v>1827</v>
      </c>
      <c r="J182" s="13" t="s">
        <v>46</v>
      </c>
    </row>
    <row r="183" s="21" customFormat="1" customHeight="1" spans="1:10">
      <c r="A183" s="29">
        <v>45897</v>
      </c>
      <c r="B183" s="21" t="s">
        <v>1818</v>
      </c>
      <c r="C183" s="21" t="s">
        <v>2193</v>
      </c>
      <c r="D183" s="21" t="s">
        <v>1828</v>
      </c>
      <c r="E183" s="21" t="s">
        <v>158</v>
      </c>
      <c r="F183" s="21">
        <v>10200</v>
      </c>
      <c r="G183" s="21">
        <v>0.28</v>
      </c>
      <c r="H183" s="21">
        <f t="shared" si="10"/>
        <v>2856</v>
      </c>
      <c r="I183" s="21" t="s">
        <v>2194</v>
      </c>
      <c r="J183" s="13" t="s">
        <v>46</v>
      </c>
    </row>
    <row r="184" customHeight="1" spans="1:10">
      <c r="A184" s="29">
        <v>45898</v>
      </c>
      <c r="B184" s="21" t="s">
        <v>1818</v>
      </c>
      <c r="C184" s="21" t="s">
        <v>2195</v>
      </c>
      <c r="D184" s="13" t="s">
        <v>2196</v>
      </c>
      <c r="E184" s="21" t="s">
        <v>158</v>
      </c>
      <c r="F184" s="13">
        <v>2100</v>
      </c>
      <c r="G184" s="13">
        <v>0.14</v>
      </c>
      <c r="H184" s="13">
        <f t="shared" si="10"/>
        <v>294</v>
      </c>
      <c r="I184" s="13" t="s">
        <v>283</v>
      </c>
      <c r="J184" s="13" t="s">
        <v>1135</v>
      </c>
    </row>
    <row r="185" customHeight="1" spans="1:10">
      <c r="A185" s="29">
        <v>45899</v>
      </c>
      <c r="B185" s="21" t="s">
        <v>1818</v>
      </c>
      <c r="C185" s="21" t="s">
        <v>2197</v>
      </c>
      <c r="D185" s="21" t="s">
        <v>2198</v>
      </c>
      <c r="E185" s="21" t="s">
        <v>158</v>
      </c>
      <c r="F185" s="13">
        <v>30000</v>
      </c>
      <c r="G185" s="13">
        <v>0.25</v>
      </c>
      <c r="H185" s="13">
        <f t="shared" si="10"/>
        <v>7500</v>
      </c>
      <c r="I185" s="13" t="s">
        <v>61</v>
      </c>
      <c r="J185" s="13" t="s">
        <v>46</v>
      </c>
    </row>
    <row r="186" customHeight="1" spans="1:10">
      <c r="A186" s="29">
        <v>45899</v>
      </c>
      <c r="B186" s="21" t="s">
        <v>1818</v>
      </c>
      <c r="C186" s="21" t="s">
        <v>2199</v>
      </c>
      <c r="D186" s="13" t="s">
        <v>2200</v>
      </c>
      <c r="E186" s="21" t="s">
        <v>158</v>
      </c>
      <c r="F186" s="13">
        <v>3280</v>
      </c>
      <c r="G186" s="13">
        <v>0.17</v>
      </c>
      <c r="H186" s="13">
        <f t="shared" si="10"/>
        <v>557.6</v>
      </c>
      <c r="I186" s="13" t="s">
        <v>2147</v>
      </c>
      <c r="J186" s="13" t="s">
        <v>2201</v>
      </c>
    </row>
    <row r="187" customHeight="1" spans="1:10">
      <c r="A187" s="29">
        <v>45905</v>
      </c>
      <c r="B187" s="21" t="s">
        <v>1818</v>
      </c>
      <c r="C187" s="21" t="s">
        <v>2202</v>
      </c>
      <c r="D187" s="13" t="s">
        <v>2203</v>
      </c>
      <c r="E187" s="21" t="s">
        <v>158</v>
      </c>
      <c r="F187" s="2">
        <v>15050</v>
      </c>
      <c r="G187" s="2">
        <v>0.16</v>
      </c>
      <c r="H187" s="2">
        <f t="shared" si="10"/>
        <v>2408</v>
      </c>
      <c r="I187" s="13" t="s">
        <v>1400</v>
      </c>
      <c r="J187" s="13" t="s">
        <v>2204</v>
      </c>
    </row>
    <row r="188" customHeight="1" spans="1:10">
      <c r="A188" s="29">
        <v>45905</v>
      </c>
      <c r="B188" s="21" t="s">
        <v>1818</v>
      </c>
      <c r="C188" s="21" t="s">
        <v>2205</v>
      </c>
      <c r="D188" s="13" t="s">
        <v>2203</v>
      </c>
      <c r="E188" s="21" t="s">
        <v>158</v>
      </c>
      <c r="F188" s="2">
        <v>35000</v>
      </c>
      <c r="G188" s="2">
        <v>0.16</v>
      </c>
      <c r="H188" s="2">
        <f t="shared" si="10"/>
        <v>5600</v>
      </c>
      <c r="I188" s="13" t="s">
        <v>61</v>
      </c>
      <c r="J188" s="13" t="s">
        <v>46</v>
      </c>
    </row>
    <row r="189" customHeight="1" spans="1:10">
      <c r="A189" s="29">
        <v>45906</v>
      </c>
      <c r="B189" s="21" t="s">
        <v>1818</v>
      </c>
      <c r="C189" s="21" t="s">
        <v>2206</v>
      </c>
      <c r="D189" s="13" t="s">
        <v>2189</v>
      </c>
      <c r="E189" s="13" t="s">
        <v>158</v>
      </c>
      <c r="F189" s="2">
        <v>4020</v>
      </c>
      <c r="G189" s="2">
        <v>0.2</v>
      </c>
      <c r="H189" s="2">
        <f t="shared" si="10"/>
        <v>804</v>
      </c>
      <c r="I189" s="13" t="s">
        <v>406</v>
      </c>
    </row>
    <row r="190" customHeight="1" spans="1:10">
      <c r="A190" s="29">
        <v>45908</v>
      </c>
      <c r="B190" s="21" t="s">
        <v>1818</v>
      </c>
      <c r="C190" s="21" t="s">
        <v>2207</v>
      </c>
      <c r="D190" s="13" t="s">
        <v>2196</v>
      </c>
      <c r="E190" s="21" t="s">
        <v>158</v>
      </c>
      <c r="F190" s="2">
        <v>5000</v>
      </c>
      <c r="G190" s="2">
        <v>0.17</v>
      </c>
      <c r="H190" s="2">
        <f t="shared" si="10"/>
        <v>850</v>
      </c>
      <c r="I190" s="13" t="s">
        <v>2208</v>
      </c>
      <c r="J190" s="13" t="s">
        <v>2209</v>
      </c>
    </row>
    <row r="191" customHeight="1" spans="1:10">
      <c r="A191" s="29">
        <v>45908</v>
      </c>
      <c r="B191" s="21" t="s">
        <v>1818</v>
      </c>
      <c r="C191" s="21" t="s">
        <v>2210</v>
      </c>
      <c r="D191" s="13" t="s">
        <v>2196</v>
      </c>
      <c r="E191" s="21" t="s">
        <v>158</v>
      </c>
      <c r="F191" s="2">
        <v>20000</v>
      </c>
      <c r="G191" s="2">
        <v>0.17</v>
      </c>
      <c r="H191" s="2">
        <f t="shared" si="10"/>
        <v>3400</v>
      </c>
      <c r="I191" s="13" t="s">
        <v>61</v>
      </c>
      <c r="J191" s="13" t="s">
        <v>46</v>
      </c>
    </row>
    <row r="192" customHeight="1" spans="1:10">
      <c r="A192" s="29">
        <v>45913</v>
      </c>
      <c r="B192" s="21" t="s">
        <v>1818</v>
      </c>
      <c r="C192" s="21" t="s">
        <v>2211</v>
      </c>
      <c r="D192" s="13" t="s">
        <v>2190</v>
      </c>
      <c r="E192" s="21" t="s">
        <v>158</v>
      </c>
      <c r="F192" s="2">
        <v>50000</v>
      </c>
      <c r="G192" s="2">
        <v>0.17</v>
      </c>
      <c r="H192" s="2">
        <f t="shared" si="10"/>
        <v>8500</v>
      </c>
      <c r="I192" s="13" t="s">
        <v>61</v>
      </c>
    </row>
    <row r="193" customHeight="1" spans="1:10">
      <c r="A193" s="29">
        <v>45918</v>
      </c>
      <c r="B193" s="21" t="s">
        <v>1818</v>
      </c>
      <c r="C193" s="21" t="s">
        <v>2212</v>
      </c>
      <c r="D193" s="13" t="s">
        <v>2213</v>
      </c>
      <c r="E193" s="13" t="s">
        <v>158</v>
      </c>
      <c r="F193" s="2">
        <v>10000</v>
      </c>
      <c r="G193" s="2">
        <v>0.2</v>
      </c>
      <c r="H193" s="2">
        <f t="shared" si="10"/>
        <v>2000</v>
      </c>
      <c r="I193" s="13" t="s">
        <v>2214</v>
      </c>
      <c r="J193" s="13" t="s">
        <v>2209</v>
      </c>
    </row>
    <row r="194" customHeight="1" spans="1:10">
      <c r="A194" s="29">
        <v>45912</v>
      </c>
      <c r="B194" s="21" t="s">
        <v>1818</v>
      </c>
      <c r="C194" s="21" t="s">
        <v>2215</v>
      </c>
      <c r="D194" s="13" t="s">
        <v>2189</v>
      </c>
      <c r="E194" s="13" t="s">
        <v>158</v>
      </c>
      <c r="F194" s="2">
        <v>6000</v>
      </c>
      <c r="G194" s="2">
        <v>0.2</v>
      </c>
      <c r="H194" s="2">
        <f t="shared" si="10"/>
        <v>1200</v>
      </c>
      <c r="I194" s="13" t="s">
        <v>406</v>
      </c>
    </row>
    <row r="195" customHeight="1" spans="1:10">
      <c r="A195" s="29">
        <v>45919</v>
      </c>
      <c r="B195" s="21" t="s">
        <v>1818</v>
      </c>
      <c r="C195" s="21" t="s">
        <v>2216</v>
      </c>
      <c r="D195" s="13" t="s">
        <v>2213</v>
      </c>
      <c r="E195" s="13" t="s">
        <v>158</v>
      </c>
      <c r="F195" s="2">
        <v>50000</v>
      </c>
      <c r="G195" s="2">
        <v>0.2</v>
      </c>
      <c r="H195" s="2">
        <f t="shared" si="10"/>
        <v>10000</v>
      </c>
      <c r="I195" s="13" t="s">
        <v>2217</v>
      </c>
      <c r="J195" s="13" t="s">
        <v>46</v>
      </c>
    </row>
    <row r="196" customHeight="1" spans="1:10">
      <c r="A196" s="29">
        <v>45920</v>
      </c>
      <c r="B196" s="21" t="s">
        <v>1818</v>
      </c>
      <c r="C196" s="21" t="s">
        <v>2218</v>
      </c>
      <c r="D196" s="13" t="s">
        <v>2219</v>
      </c>
      <c r="E196" s="13" t="s">
        <v>461</v>
      </c>
      <c r="F196" s="2">
        <v>30000</v>
      </c>
      <c r="G196" s="2">
        <v>0.16</v>
      </c>
      <c r="H196" s="2">
        <f t="shared" si="10"/>
        <v>4800</v>
      </c>
      <c r="I196" s="13" t="s">
        <v>61</v>
      </c>
      <c r="J196" s="13" t="s">
        <v>46</v>
      </c>
    </row>
    <row r="197" customHeight="1" spans="1:10">
      <c r="A197" s="29">
        <v>45923</v>
      </c>
      <c r="B197" s="21" t="s">
        <v>1818</v>
      </c>
      <c r="C197" s="21" t="s">
        <v>2220</v>
      </c>
      <c r="D197" s="13" t="s">
        <v>2189</v>
      </c>
      <c r="E197" s="13" t="s">
        <v>158</v>
      </c>
      <c r="F197" s="2">
        <v>10000</v>
      </c>
      <c r="G197" s="2">
        <v>0.28</v>
      </c>
      <c r="H197" s="2">
        <f t="shared" si="10"/>
        <v>2800</v>
      </c>
      <c r="I197" s="13" t="s">
        <v>61</v>
      </c>
      <c r="J197" s="13" t="s">
        <v>46</v>
      </c>
    </row>
    <row r="198" customHeight="1" spans="1:10">
      <c r="A198" s="29">
        <v>45927</v>
      </c>
      <c r="B198" s="21" t="s">
        <v>1818</v>
      </c>
      <c r="C198" s="21" t="s">
        <v>2221</v>
      </c>
      <c r="D198" s="13" t="s">
        <v>2219</v>
      </c>
      <c r="E198" s="13" t="s">
        <v>158</v>
      </c>
      <c r="F198" s="2">
        <v>10000</v>
      </c>
      <c r="G198" s="2">
        <v>0.16</v>
      </c>
      <c r="H198" s="2">
        <f t="shared" si="10"/>
        <v>1600</v>
      </c>
      <c r="I198" s="13" t="s">
        <v>61</v>
      </c>
      <c r="J198" s="13" t="s">
        <v>46</v>
      </c>
    </row>
    <row r="199" customHeight="1" spans="1:10">
      <c r="A199" s="29">
        <v>45928</v>
      </c>
      <c r="B199" s="21" t="s">
        <v>1818</v>
      </c>
      <c r="C199" s="21" t="s">
        <v>2222</v>
      </c>
      <c r="D199" s="13" t="s">
        <v>2223</v>
      </c>
      <c r="E199" s="13" t="s">
        <v>158</v>
      </c>
      <c r="F199" s="2">
        <v>1000</v>
      </c>
      <c r="G199" s="2">
        <v>0.25</v>
      </c>
      <c r="H199" s="2">
        <f t="shared" si="10"/>
        <v>250</v>
      </c>
      <c r="I199" s="13" t="s">
        <v>2224</v>
      </c>
    </row>
    <row r="200" customHeight="1" spans="1:10">
      <c r="A200" s="29">
        <v>45928</v>
      </c>
      <c r="B200" s="21" t="s">
        <v>1818</v>
      </c>
      <c r="C200" s="21" t="s">
        <v>2222</v>
      </c>
      <c r="D200" s="13" t="s">
        <v>2223</v>
      </c>
      <c r="E200" s="13" t="s">
        <v>158</v>
      </c>
      <c r="F200" s="2">
        <v>19000</v>
      </c>
      <c r="G200" s="2">
        <v>0.25</v>
      </c>
      <c r="H200" s="2">
        <f t="shared" si="10"/>
        <v>4750</v>
      </c>
      <c r="I200" s="13" t="s">
        <v>61</v>
      </c>
      <c r="J200" s="13" t="s">
        <v>46</v>
      </c>
    </row>
    <row r="201" customHeight="1" spans="1:10">
      <c r="A201" s="19">
        <v>45897</v>
      </c>
      <c r="B201" s="13" t="s">
        <v>97</v>
      </c>
      <c r="D201" s="13" t="s">
        <v>2048</v>
      </c>
      <c r="E201" s="13" t="s">
        <v>2049</v>
      </c>
      <c r="F201" s="2">
        <v>4005</v>
      </c>
      <c r="G201" s="2">
        <v>0.95</v>
      </c>
      <c r="H201" s="2">
        <f t="shared" si="10"/>
        <v>3804.75</v>
      </c>
      <c r="I201" s="13" t="s">
        <v>208</v>
      </c>
    </row>
    <row r="202" customHeight="1" spans="1:10">
      <c r="A202" s="19">
        <v>45897</v>
      </c>
      <c r="B202" s="13" t="s">
        <v>97</v>
      </c>
      <c r="D202" s="13" t="s">
        <v>387</v>
      </c>
      <c r="E202" s="13" t="s">
        <v>2051</v>
      </c>
      <c r="F202" s="2">
        <v>3010</v>
      </c>
      <c r="G202" s="2">
        <v>1.35</v>
      </c>
      <c r="H202" s="2">
        <f t="shared" si="10"/>
        <v>4063.5</v>
      </c>
      <c r="I202" s="13" t="s">
        <v>235</v>
      </c>
    </row>
    <row r="203" customHeight="1" spans="1:10">
      <c r="A203" s="19">
        <v>45907</v>
      </c>
      <c r="B203" s="13" t="s">
        <v>97</v>
      </c>
      <c r="D203" s="13" t="s">
        <v>98</v>
      </c>
      <c r="E203" s="13" t="s">
        <v>99</v>
      </c>
      <c r="F203" s="2">
        <v>605</v>
      </c>
      <c r="G203" s="2">
        <v>0.83</v>
      </c>
      <c r="H203" s="2">
        <f t="shared" si="10"/>
        <v>502.15</v>
      </c>
      <c r="I203" s="13" t="s">
        <v>330</v>
      </c>
    </row>
    <row r="204" customHeight="1" spans="1:10">
      <c r="A204" s="19">
        <v>45910</v>
      </c>
      <c r="B204" s="13" t="s">
        <v>97</v>
      </c>
      <c r="D204" s="13" t="s">
        <v>98</v>
      </c>
      <c r="E204" s="13" t="s">
        <v>99</v>
      </c>
      <c r="F204" s="2">
        <v>10</v>
      </c>
      <c r="G204" s="2">
        <v>0</v>
      </c>
      <c r="H204" s="2">
        <f t="shared" si="10"/>
        <v>0</v>
      </c>
      <c r="I204" s="13" t="s">
        <v>2150</v>
      </c>
    </row>
    <row r="205" customHeight="1" spans="1:10">
      <c r="A205" s="19">
        <v>45910</v>
      </c>
      <c r="B205" s="13" t="s">
        <v>97</v>
      </c>
      <c r="D205" s="13" t="s">
        <v>387</v>
      </c>
      <c r="E205" s="13" t="s">
        <v>2051</v>
      </c>
      <c r="F205" s="2">
        <v>6070</v>
      </c>
      <c r="G205" s="2">
        <v>1.35</v>
      </c>
      <c r="H205" s="2">
        <f t="shared" si="10"/>
        <v>8194.5</v>
      </c>
      <c r="I205" s="13" t="s">
        <v>235</v>
      </c>
    </row>
    <row r="206" customHeight="1" spans="1:10">
      <c r="A206" s="19">
        <v>45916</v>
      </c>
      <c r="B206" s="13" t="s">
        <v>97</v>
      </c>
      <c r="D206" s="13" t="s">
        <v>98</v>
      </c>
      <c r="E206" s="13" t="s">
        <v>99</v>
      </c>
      <c r="F206" s="2">
        <v>5005</v>
      </c>
      <c r="G206" s="2">
        <v>0.83</v>
      </c>
      <c r="H206" s="2">
        <f t="shared" si="10"/>
        <v>4154.15</v>
      </c>
      <c r="I206" s="13" t="s">
        <v>100</v>
      </c>
    </row>
    <row r="207" customHeight="1" spans="1:10">
      <c r="A207" s="19">
        <v>45916</v>
      </c>
      <c r="B207" s="13" t="s">
        <v>97</v>
      </c>
      <c r="D207" s="13" t="s">
        <v>387</v>
      </c>
      <c r="E207" s="13" t="s">
        <v>2051</v>
      </c>
      <c r="F207" s="2">
        <v>4415</v>
      </c>
      <c r="G207" s="2">
        <v>1.35</v>
      </c>
      <c r="H207" s="2">
        <f t="shared" si="10"/>
        <v>5960.25</v>
      </c>
      <c r="I207" s="13" t="s">
        <v>235</v>
      </c>
    </row>
    <row r="208" customHeight="1" spans="1:10">
      <c r="A208" s="19">
        <v>45923</v>
      </c>
      <c r="B208" s="13" t="s">
        <v>97</v>
      </c>
      <c r="D208" s="13" t="s">
        <v>270</v>
      </c>
      <c r="E208" s="13" t="s">
        <v>14</v>
      </c>
      <c r="F208" s="2">
        <v>11760</v>
      </c>
      <c r="G208" s="2">
        <v>1.2</v>
      </c>
      <c r="H208" s="2">
        <f t="shared" si="10"/>
        <v>14112</v>
      </c>
      <c r="I208" s="13" t="s">
        <v>271</v>
      </c>
      <c r="J208" s="13" t="s">
        <v>46</v>
      </c>
    </row>
    <row r="209" customHeight="1" spans="1:10">
      <c r="A209" s="19">
        <v>45901</v>
      </c>
      <c r="B209" s="13" t="s">
        <v>74</v>
      </c>
      <c r="C209" s="13" t="s">
        <v>2225</v>
      </c>
      <c r="D209" s="13" t="s">
        <v>59</v>
      </c>
      <c r="E209" s="12" t="s">
        <v>62</v>
      </c>
      <c r="F209" s="2">
        <v>9000</v>
      </c>
      <c r="G209" s="2">
        <v>0.6</v>
      </c>
      <c r="H209" s="2">
        <f t="shared" si="10"/>
        <v>5400</v>
      </c>
      <c r="I209" s="13" t="s">
        <v>77</v>
      </c>
      <c r="J209" s="30" t="s">
        <v>2226</v>
      </c>
    </row>
    <row r="210" customHeight="1" spans="1:10">
      <c r="A210" s="19">
        <v>45908</v>
      </c>
      <c r="B210" s="13" t="s">
        <v>74</v>
      </c>
      <c r="C210" s="13" t="s">
        <v>2227</v>
      </c>
      <c r="D210" s="13" t="s">
        <v>59</v>
      </c>
      <c r="E210" s="12" t="s">
        <v>60</v>
      </c>
      <c r="F210" s="2">
        <v>179</v>
      </c>
      <c r="G210" s="2">
        <v>0.58</v>
      </c>
      <c r="H210" s="2">
        <f t="shared" si="10"/>
        <v>103.82</v>
      </c>
      <c r="I210" s="13" t="s">
        <v>78</v>
      </c>
    </row>
    <row r="211" customHeight="1" spans="1:10">
      <c r="A211" s="19">
        <v>45927</v>
      </c>
      <c r="B211" s="13" t="s">
        <v>74</v>
      </c>
      <c r="C211" s="13" t="s">
        <v>2228</v>
      </c>
      <c r="D211" s="13" t="s">
        <v>59</v>
      </c>
      <c r="E211" s="12" t="s">
        <v>60</v>
      </c>
      <c r="F211" s="2">
        <v>2083</v>
      </c>
      <c r="G211" s="2">
        <v>0.58</v>
      </c>
      <c r="H211" s="2">
        <f t="shared" si="10"/>
        <v>1208.14</v>
      </c>
      <c r="I211" s="13" t="s">
        <v>78</v>
      </c>
    </row>
    <row r="212" customHeight="1" spans="1:10">
      <c r="A212" s="19">
        <v>45895</v>
      </c>
      <c r="B212" s="13" t="s">
        <v>906</v>
      </c>
      <c r="C212" s="13" t="s">
        <v>2229</v>
      </c>
      <c r="D212" s="13" t="s">
        <v>1615</v>
      </c>
      <c r="E212" s="13" t="s">
        <v>158</v>
      </c>
      <c r="F212" s="2">
        <v>170000</v>
      </c>
      <c r="G212" s="2">
        <v>0.17</v>
      </c>
      <c r="H212" s="13">
        <f t="shared" ref="H212:H233" si="11">F212*G212</f>
        <v>28900</v>
      </c>
      <c r="I212" s="13" t="s">
        <v>1827</v>
      </c>
      <c r="J212" s="13" t="s">
        <v>46</v>
      </c>
    </row>
    <row r="213" customHeight="1" spans="1:10">
      <c r="A213" s="19">
        <v>45897</v>
      </c>
      <c r="B213" s="13" t="s">
        <v>906</v>
      </c>
      <c r="C213" s="13" t="s">
        <v>2229</v>
      </c>
      <c r="D213" s="13" t="s">
        <v>1803</v>
      </c>
      <c r="E213" s="13" t="s">
        <v>158</v>
      </c>
      <c r="F213" s="2">
        <v>60000</v>
      </c>
      <c r="G213" s="2">
        <v>0.17</v>
      </c>
      <c r="H213" s="13">
        <f t="shared" si="11"/>
        <v>10200</v>
      </c>
      <c r="I213" s="13" t="s">
        <v>2191</v>
      </c>
      <c r="J213" s="13" t="s">
        <v>46</v>
      </c>
    </row>
    <row r="214" customHeight="1" spans="1:10">
      <c r="A214" s="19">
        <v>45898</v>
      </c>
      <c r="B214" s="13" t="s">
        <v>906</v>
      </c>
      <c r="C214" s="13" t="s">
        <v>2230</v>
      </c>
      <c r="D214" s="13" t="s">
        <v>2231</v>
      </c>
      <c r="E214" s="13" t="s">
        <v>158</v>
      </c>
      <c r="F214" s="2">
        <v>50000</v>
      </c>
      <c r="G214" s="2">
        <v>0.23</v>
      </c>
      <c r="H214" s="13">
        <f t="shared" si="11"/>
        <v>11500</v>
      </c>
      <c r="I214" s="13" t="s">
        <v>1909</v>
      </c>
      <c r="J214" s="13" t="s">
        <v>46</v>
      </c>
    </row>
    <row r="215" customHeight="1" spans="1:10">
      <c r="A215" s="19">
        <v>45898</v>
      </c>
      <c r="B215" s="13" t="s">
        <v>906</v>
      </c>
      <c r="C215" s="13" t="s">
        <v>2230</v>
      </c>
      <c r="D215" s="13" t="s">
        <v>1619</v>
      </c>
      <c r="E215" s="13" t="s">
        <v>158</v>
      </c>
      <c r="F215" s="2">
        <v>100000</v>
      </c>
      <c r="G215" s="2">
        <v>0.17</v>
      </c>
      <c r="H215" s="13">
        <f t="shared" si="11"/>
        <v>17000</v>
      </c>
      <c r="I215" s="13" t="s">
        <v>2191</v>
      </c>
      <c r="J215" s="13" t="s">
        <v>46</v>
      </c>
    </row>
    <row r="216" customHeight="1" spans="1:10">
      <c r="A216" s="19">
        <v>45898</v>
      </c>
      <c r="B216" s="13" t="s">
        <v>906</v>
      </c>
      <c r="C216" s="13" t="s">
        <v>2230</v>
      </c>
      <c r="D216" s="13" t="s">
        <v>1615</v>
      </c>
      <c r="E216" s="13" t="s">
        <v>158</v>
      </c>
      <c r="F216" s="2">
        <v>110000</v>
      </c>
      <c r="G216" s="2">
        <v>0.17</v>
      </c>
      <c r="H216" s="13">
        <f t="shared" si="11"/>
        <v>18700</v>
      </c>
      <c r="I216" s="13" t="s">
        <v>1827</v>
      </c>
      <c r="J216" s="13" t="s">
        <v>46</v>
      </c>
    </row>
    <row r="217" customHeight="1" spans="1:10">
      <c r="A217" s="19">
        <v>45899</v>
      </c>
      <c r="B217" s="13" t="s">
        <v>906</v>
      </c>
      <c r="C217" s="13" t="s">
        <v>2232</v>
      </c>
      <c r="D217" s="13" t="s">
        <v>1803</v>
      </c>
      <c r="E217" s="13" t="s">
        <v>158</v>
      </c>
      <c r="F217" s="2">
        <v>85000</v>
      </c>
      <c r="G217" s="2">
        <v>0.17</v>
      </c>
      <c r="H217" s="13">
        <f t="shared" si="11"/>
        <v>14450</v>
      </c>
      <c r="I217" s="13" t="s">
        <v>2191</v>
      </c>
      <c r="J217" s="13" t="s">
        <v>46</v>
      </c>
    </row>
    <row r="218" customHeight="1" spans="1:10">
      <c r="A218" s="19">
        <v>45902</v>
      </c>
      <c r="B218" s="13" t="s">
        <v>906</v>
      </c>
      <c r="C218" s="13" t="s">
        <v>2233</v>
      </c>
      <c r="D218" s="13" t="s">
        <v>1619</v>
      </c>
      <c r="E218" s="13" t="s">
        <v>158</v>
      </c>
      <c r="F218" s="2">
        <v>100000</v>
      </c>
      <c r="G218" s="2">
        <v>0.17</v>
      </c>
      <c r="H218" s="13">
        <f t="shared" si="11"/>
        <v>17000</v>
      </c>
      <c r="I218" s="13" t="s">
        <v>2191</v>
      </c>
      <c r="J218" s="13" t="s">
        <v>46</v>
      </c>
    </row>
    <row r="219" customHeight="1" spans="1:10">
      <c r="A219" s="19">
        <v>45902</v>
      </c>
      <c r="B219" s="13" t="s">
        <v>906</v>
      </c>
      <c r="C219" s="13" t="s">
        <v>2233</v>
      </c>
      <c r="D219" s="13" t="s">
        <v>1615</v>
      </c>
      <c r="E219" s="13" t="s">
        <v>158</v>
      </c>
      <c r="F219" s="2">
        <v>90000</v>
      </c>
      <c r="G219" s="2">
        <v>0.17</v>
      </c>
      <c r="H219" s="13">
        <f t="shared" si="11"/>
        <v>15300</v>
      </c>
      <c r="I219" s="13" t="s">
        <v>1827</v>
      </c>
      <c r="J219" s="13" t="s">
        <v>46</v>
      </c>
    </row>
    <row r="220" customHeight="1" spans="1:10">
      <c r="A220" s="19">
        <v>45903</v>
      </c>
      <c r="B220" s="13" t="s">
        <v>906</v>
      </c>
      <c r="C220" s="13" t="s">
        <v>2234</v>
      </c>
      <c r="D220" s="13" t="s">
        <v>1803</v>
      </c>
      <c r="E220" s="13" t="s">
        <v>158</v>
      </c>
      <c r="F220" s="2">
        <v>55000</v>
      </c>
      <c r="G220" s="2">
        <v>0.17</v>
      </c>
      <c r="H220" s="13">
        <f t="shared" si="11"/>
        <v>9350</v>
      </c>
      <c r="I220" s="13" t="s">
        <v>1827</v>
      </c>
      <c r="J220" s="13" t="s">
        <v>46</v>
      </c>
    </row>
    <row r="221" customHeight="1" spans="1:10">
      <c r="A221" s="19">
        <v>45903</v>
      </c>
      <c r="B221" s="13" t="s">
        <v>906</v>
      </c>
      <c r="C221" s="13" t="s">
        <v>2234</v>
      </c>
      <c r="D221" s="13" t="s">
        <v>1803</v>
      </c>
      <c r="E221" s="13" t="s">
        <v>158</v>
      </c>
      <c r="F221" s="2">
        <v>5000</v>
      </c>
      <c r="G221" s="2">
        <v>0.17</v>
      </c>
      <c r="H221" s="13">
        <f t="shared" si="11"/>
        <v>850</v>
      </c>
      <c r="I221" s="13" t="s">
        <v>1827</v>
      </c>
      <c r="J221" s="13" t="s">
        <v>46</v>
      </c>
    </row>
    <row r="222" customHeight="1" spans="1:10">
      <c r="A222" s="19">
        <v>45903</v>
      </c>
      <c r="B222" s="13" t="s">
        <v>906</v>
      </c>
      <c r="C222" s="13" t="s">
        <v>2234</v>
      </c>
      <c r="D222" s="13" t="s">
        <v>1619</v>
      </c>
      <c r="E222" s="13" t="s">
        <v>158</v>
      </c>
      <c r="F222" s="2">
        <v>100000</v>
      </c>
      <c r="G222" s="2">
        <v>0.17</v>
      </c>
      <c r="H222" s="13">
        <f t="shared" si="11"/>
        <v>17000</v>
      </c>
      <c r="I222" s="13" t="s">
        <v>2191</v>
      </c>
      <c r="J222" s="13" t="s">
        <v>46</v>
      </c>
    </row>
    <row r="223" customHeight="1" spans="1:10">
      <c r="A223" s="19">
        <v>45905</v>
      </c>
      <c r="B223" s="13" t="s">
        <v>906</v>
      </c>
      <c r="C223" s="13" t="s">
        <v>2235</v>
      </c>
      <c r="D223" s="13" t="s">
        <v>1803</v>
      </c>
      <c r="E223" s="13" t="s">
        <v>158</v>
      </c>
      <c r="F223" s="2">
        <v>55000</v>
      </c>
      <c r="G223" s="2">
        <v>0.17</v>
      </c>
      <c r="H223" s="13">
        <f t="shared" si="11"/>
        <v>9350</v>
      </c>
      <c r="I223" s="13" t="s">
        <v>2191</v>
      </c>
      <c r="J223" s="13" t="s">
        <v>46</v>
      </c>
    </row>
    <row r="224" customHeight="1" spans="1:10">
      <c r="A224" s="19">
        <v>45905</v>
      </c>
      <c r="B224" s="13" t="s">
        <v>906</v>
      </c>
      <c r="C224" s="13" t="s">
        <v>2235</v>
      </c>
      <c r="D224" s="13" t="s">
        <v>1615</v>
      </c>
      <c r="E224" s="13" t="s">
        <v>158</v>
      </c>
      <c r="F224" s="2">
        <v>30000</v>
      </c>
      <c r="G224" s="2">
        <v>0.17</v>
      </c>
      <c r="H224" s="13">
        <f t="shared" si="11"/>
        <v>5100</v>
      </c>
      <c r="I224" s="13" t="s">
        <v>1827</v>
      </c>
      <c r="J224" s="13" t="s">
        <v>46</v>
      </c>
    </row>
    <row r="225" customHeight="1" spans="1:10">
      <c r="A225" s="19">
        <v>45908</v>
      </c>
      <c r="B225" s="13" t="s">
        <v>906</v>
      </c>
      <c r="C225" s="13" t="s">
        <v>2236</v>
      </c>
      <c r="D225" s="13" t="s">
        <v>1803</v>
      </c>
      <c r="E225" s="13" t="s">
        <v>158</v>
      </c>
      <c r="F225" s="2">
        <v>40000</v>
      </c>
      <c r="G225" s="2">
        <v>0.17</v>
      </c>
      <c r="H225" s="13">
        <f t="shared" si="11"/>
        <v>6800</v>
      </c>
      <c r="I225" s="13" t="s">
        <v>1827</v>
      </c>
      <c r="J225" s="13" t="s">
        <v>46</v>
      </c>
    </row>
    <row r="226" customHeight="1" spans="1:10">
      <c r="A226" s="19">
        <v>45908</v>
      </c>
      <c r="B226" s="13" t="s">
        <v>906</v>
      </c>
      <c r="C226" s="13" t="s">
        <v>2237</v>
      </c>
      <c r="D226" s="13" t="s">
        <v>1803</v>
      </c>
      <c r="E226" s="13" t="s">
        <v>158</v>
      </c>
      <c r="F226" s="2">
        <v>100000</v>
      </c>
      <c r="G226" s="2">
        <v>0.17</v>
      </c>
      <c r="H226" s="13">
        <f t="shared" si="11"/>
        <v>17000</v>
      </c>
      <c r="I226" s="13" t="s">
        <v>2191</v>
      </c>
      <c r="J226" s="13" t="s">
        <v>46</v>
      </c>
    </row>
    <row r="227" customHeight="1" spans="1:10">
      <c r="A227" s="19">
        <v>45910</v>
      </c>
      <c r="B227" s="13" t="s">
        <v>906</v>
      </c>
      <c r="C227" s="13" t="s">
        <v>2238</v>
      </c>
      <c r="D227" s="13" t="s">
        <v>1615</v>
      </c>
      <c r="E227" s="13" t="s">
        <v>158</v>
      </c>
      <c r="F227" s="2">
        <v>100000</v>
      </c>
      <c r="G227" s="2">
        <v>0.17</v>
      </c>
      <c r="H227" s="13">
        <f t="shared" si="11"/>
        <v>17000</v>
      </c>
      <c r="I227" s="13" t="s">
        <v>61</v>
      </c>
      <c r="J227" s="13" t="s">
        <v>46</v>
      </c>
    </row>
    <row r="228" customHeight="1" spans="1:10">
      <c r="A228" s="19">
        <v>45911</v>
      </c>
      <c r="B228" s="13" t="s">
        <v>906</v>
      </c>
      <c r="C228" s="13" t="s">
        <v>2238</v>
      </c>
      <c r="D228" s="13" t="s">
        <v>1808</v>
      </c>
      <c r="E228" s="13" t="s">
        <v>158</v>
      </c>
      <c r="F228" s="2">
        <v>100000</v>
      </c>
      <c r="G228" s="2">
        <v>0.2</v>
      </c>
      <c r="H228" s="13">
        <f t="shared" si="11"/>
        <v>20000</v>
      </c>
      <c r="I228" s="13" t="s">
        <v>61</v>
      </c>
      <c r="J228" s="13" t="s">
        <v>46</v>
      </c>
    </row>
    <row r="229" customHeight="1" spans="1:10">
      <c r="A229" s="19">
        <v>45917</v>
      </c>
      <c r="B229" s="13" t="s">
        <v>906</v>
      </c>
      <c r="C229" s="13" t="s">
        <v>2239</v>
      </c>
      <c r="D229" s="13" t="s">
        <v>1615</v>
      </c>
      <c r="E229" s="13" t="s">
        <v>158</v>
      </c>
      <c r="F229" s="2">
        <v>240000</v>
      </c>
      <c r="G229" s="2">
        <v>0.17</v>
      </c>
      <c r="H229" s="13">
        <f t="shared" si="11"/>
        <v>40800</v>
      </c>
      <c r="I229" s="13" t="s">
        <v>61</v>
      </c>
      <c r="J229" s="13" t="s">
        <v>46</v>
      </c>
    </row>
    <row r="230" customHeight="1" spans="1:10">
      <c r="A230" s="19">
        <v>45920</v>
      </c>
      <c r="B230" s="13" t="s">
        <v>906</v>
      </c>
      <c r="C230" s="13" t="s">
        <v>2240</v>
      </c>
      <c r="D230" s="13" t="s">
        <v>1803</v>
      </c>
      <c r="E230" s="13" t="s">
        <v>158</v>
      </c>
      <c r="F230" s="2">
        <v>100000</v>
      </c>
      <c r="G230" s="2">
        <v>0.17</v>
      </c>
      <c r="H230" s="13">
        <f t="shared" si="11"/>
        <v>17000</v>
      </c>
      <c r="I230" s="13" t="s">
        <v>2191</v>
      </c>
      <c r="J230" s="13" t="s">
        <v>46</v>
      </c>
    </row>
    <row r="231" customHeight="1" spans="1:10">
      <c r="A231" s="19">
        <v>45925</v>
      </c>
      <c r="B231" s="13" t="s">
        <v>906</v>
      </c>
      <c r="C231" s="13" t="s">
        <v>2241</v>
      </c>
      <c r="D231" s="13" t="s">
        <v>1828</v>
      </c>
      <c r="E231" s="13" t="s">
        <v>158</v>
      </c>
      <c r="F231" s="2">
        <v>30000</v>
      </c>
      <c r="G231" s="2">
        <v>0.28</v>
      </c>
      <c r="H231" s="13">
        <f t="shared" si="11"/>
        <v>8400</v>
      </c>
      <c r="I231" s="13" t="s">
        <v>61</v>
      </c>
      <c r="J231" s="13" t="s">
        <v>46</v>
      </c>
    </row>
    <row r="232" customHeight="1" spans="1:10">
      <c r="A232" s="19">
        <v>45925</v>
      </c>
      <c r="B232" s="13" t="s">
        <v>906</v>
      </c>
      <c r="C232" s="13" t="s">
        <v>2241</v>
      </c>
      <c r="D232" s="13" t="s">
        <v>1803</v>
      </c>
      <c r="E232" s="13" t="s">
        <v>158</v>
      </c>
      <c r="F232" s="2">
        <v>100000</v>
      </c>
      <c r="G232" s="2">
        <v>0.17</v>
      </c>
      <c r="H232" s="13">
        <f t="shared" si="11"/>
        <v>17000</v>
      </c>
      <c r="I232" s="13" t="s">
        <v>2191</v>
      </c>
      <c r="J232" s="13" t="s">
        <v>46</v>
      </c>
    </row>
    <row r="233" customHeight="1" spans="1:10">
      <c r="A233" s="19">
        <v>45897</v>
      </c>
      <c r="B233" s="13" t="s">
        <v>11</v>
      </c>
      <c r="C233" s="13" t="s">
        <v>2242</v>
      </c>
      <c r="D233" s="13" t="s">
        <v>188</v>
      </c>
      <c r="E233" s="13" t="s">
        <v>14</v>
      </c>
      <c r="F233" s="13">
        <v>10000</v>
      </c>
      <c r="G233" s="13">
        <v>1.05</v>
      </c>
      <c r="H233" s="13">
        <f t="shared" si="11"/>
        <v>10500</v>
      </c>
      <c r="I233" s="13" t="s">
        <v>189</v>
      </c>
      <c r="J233" s="13" t="s">
        <v>46</v>
      </c>
    </row>
    <row r="234" customHeight="1" spans="1:10">
      <c r="A234" s="19">
        <v>45897</v>
      </c>
      <c r="B234" s="13" t="s">
        <v>11</v>
      </c>
      <c r="C234" s="13" t="s">
        <v>2242</v>
      </c>
      <c r="D234" s="13" t="s">
        <v>390</v>
      </c>
      <c r="E234" s="13" t="s">
        <v>14</v>
      </c>
      <c r="F234" s="13">
        <v>10000</v>
      </c>
      <c r="G234" s="13">
        <v>1.1</v>
      </c>
      <c r="H234" s="13">
        <f t="shared" ref="H234:H254" si="12">F234*G234</f>
        <v>11000</v>
      </c>
      <c r="I234" s="13" t="s">
        <v>300</v>
      </c>
      <c r="J234" s="13" t="s">
        <v>46</v>
      </c>
    </row>
    <row r="235" customHeight="1" spans="1:10">
      <c r="A235" s="19">
        <v>45897</v>
      </c>
      <c r="B235" s="13" t="s">
        <v>11</v>
      </c>
      <c r="C235" s="13" t="s">
        <v>2242</v>
      </c>
      <c r="D235" s="13" t="s">
        <v>823</v>
      </c>
      <c r="E235" s="13" t="s">
        <v>14</v>
      </c>
      <c r="F235" s="13">
        <v>25000</v>
      </c>
      <c r="G235" s="13">
        <v>1.4</v>
      </c>
      <c r="H235" s="13">
        <f t="shared" si="12"/>
        <v>35000</v>
      </c>
      <c r="I235" s="13" t="s">
        <v>1429</v>
      </c>
      <c r="J235" s="13" t="s">
        <v>46</v>
      </c>
    </row>
    <row r="236" customHeight="1" spans="1:10">
      <c r="A236" s="19">
        <v>45898</v>
      </c>
      <c r="B236" s="13" t="s">
        <v>11</v>
      </c>
      <c r="C236" s="13" t="s">
        <v>2243</v>
      </c>
      <c r="D236" s="13" t="s">
        <v>18</v>
      </c>
      <c r="E236" s="13" t="s">
        <v>14</v>
      </c>
      <c r="F236" s="13">
        <v>50000</v>
      </c>
      <c r="G236" s="13">
        <v>0.7</v>
      </c>
      <c r="H236" s="13">
        <f t="shared" si="12"/>
        <v>35000</v>
      </c>
      <c r="I236" s="13" t="s">
        <v>2135</v>
      </c>
      <c r="J236" s="13" t="s">
        <v>46</v>
      </c>
    </row>
    <row r="237" customHeight="1" spans="1:10">
      <c r="A237" s="19">
        <v>45898</v>
      </c>
      <c r="B237" s="13" t="s">
        <v>11</v>
      </c>
      <c r="C237" s="13" t="s">
        <v>2243</v>
      </c>
      <c r="D237" s="13" t="s">
        <v>523</v>
      </c>
      <c r="E237" s="13" t="s">
        <v>14</v>
      </c>
      <c r="F237" s="13">
        <v>5020</v>
      </c>
      <c r="G237" s="13">
        <v>0.8</v>
      </c>
      <c r="H237" s="13">
        <f t="shared" si="12"/>
        <v>4016</v>
      </c>
      <c r="I237" s="13" t="s">
        <v>2244</v>
      </c>
      <c r="J237" s="13" t="s">
        <v>46</v>
      </c>
    </row>
    <row r="238" customHeight="1" spans="1:10">
      <c r="A238" s="19">
        <v>45901</v>
      </c>
      <c r="B238" s="13" t="s">
        <v>11</v>
      </c>
      <c r="C238" s="13" t="s">
        <v>2245</v>
      </c>
      <c r="D238" s="13" t="s">
        <v>47</v>
      </c>
      <c r="E238" s="13" t="s">
        <v>14</v>
      </c>
      <c r="F238" s="2">
        <v>1540</v>
      </c>
      <c r="G238" s="2">
        <v>0.95</v>
      </c>
      <c r="H238" s="2">
        <f t="shared" si="12"/>
        <v>1463</v>
      </c>
      <c r="I238" s="13" t="s">
        <v>133</v>
      </c>
    </row>
    <row r="239" customHeight="1" spans="1:10">
      <c r="A239" s="19">
        <v>45901</v>
      </c>
      <c r="B239" s="13" t="s">
        <v>11</v>
      </c>
      <c r="C239" s="13" t="s">
        <v>2245</v>
      </c>
      <c r="D239" s="13" t="s">
        <v>183</v>
      </c>
      <c r="E239" s="13" t="s">
        <v>14</v>
      </c>
      <c r="F239" s="2">
        <v>1020</v>
      </c>
      <c r="G239" s="2">
        <v>0.95</v>
      </c>
      <c r="H239" s="2">
        <f t="shared" si="12"/>
        <v>969</v>
      </c>
      <c r="I239" s="13" t="s">
        <v>126</v>
      </c>
    </row>
    <row r="240" customHeight="1" spans="1:10">
      <c r="A240" s="19">
        <v>45901</v>
      </c>
      <c r="B240" s="13" t="s">
        <v>11</v>
      </c>
      <c r="C240" s="13" t="s">
        <v>2246</v>
      </c>
      <c r="D240" s="13" t="s">
        <v>368</v>
      </c>
      <c r="E240" s="13" t="s">
        <v>14</v>
      </c>
      <c r="F240" s="2">
        <v>10000</v>
      </c>
      <c r="G240" s="2">
        <v>0.75</v>
      </c>
      <c r="H240" s="2">
        <f t="shared" si="12"/>
        <v>7500</v>
      </c>
      <c r="I240" s="13" t="s">
        <v>2247</v>
      </c>
      <c r="J240" s="13" t="s">
        <v>46</v>
      </c>
    </row>
    <row r="241" customHeight="1" spans="1:10">
      <c r="A241" s="19">
        <v>45902</v>
      </c>
      <c r="B241" s="13" t="s">
        <v>11</v>
      </c>
      <c r="C241" s="13" t="s">
        <v>2248</v>
      </c>
      <c r="D241" s="13" t="s">
        <v>18</v>
      </c>
      <c r="E241" s="13" t="s">
        <v>14</v>
      </c>
      <c r="F241" s="2">
        <v>50000</v>
      </c>
      <c r="G241" s="2">
        <v>0.7</v>
      </c>
      <c r="H241" s="2">
        <f t="shared" si="12"/>
        <v>35000</v>
      </c>
      <c r="I241" s="13" t="s">
        <v>2135</v>
      </c>
      <c r="J241" s="13" t="s">
        <v>46</v>
      </c>
    </row>
    <row r="242" customHeight="1" spans="1:10">
      <c r="A242" s="19">
        <v>45902</v>
      </c>
      <c r="B242" s="13" t="s">
        <v>11</v>
      </c>
      <c r="C242" s="13" t="s">
        <v>2248</v>
      </c>
      <c r="D242" s="13" t="s">
        <v>399</v>
      </c>
      <c r="E242" s="13" t="s">
        <v>14</v>
      </c>
      <c r="F242" s="2">
        <v>1550</v>
      </c>
      <c r="G242" s="2">
        <v>1.1</v>
      </c>
      <c r="H242" s="2">
        <f t="shared" si="12"/>
        <v>1705</v>
      </c>
      <c r="I242" s="13" t="s">
        <v>805</v>
      </c>
      <c r="J242" s="13" t="s">
        <v>46</v>
      </c>
    </row>
    <row r="243" customHeight="1" spans="1:10">
      <c r="A243" s="19">
        <v>45902</v>
      </c>
      <c r="B243" s="13" t="s">
        <v>11</v>
      </c>
      <c r="C243" s="13" t="s">
        <v>2248</v>
      </c>
      <c r="D243" s="13" t="s">
        <v>183</v>
      </c>
      <c r="E243" s="13" t="s">
        <v>14</v>
      </c>
      <c r="F243" s="2">
        <v>44050</v>
      </c>
      <c r="G243" s="2">
        <v>0.95</v>
      </c>
      <c r="H243" s="2">
        <f t="shared" si="12"/>
        <v>41847.5</v>
      </c>
      <c r="I243" s="13" t="s">
        <v>126</v>
      </c>
      <c r="J243" s="13" t="s">
        <v>46</v>
      </c>
    </row>
    <row r="244" customHeight="1" spans="1:10">
      <c r="A244" s="19">
        <v>45902</v>
      </c>
      <c r="B244" s="13" t="s">
        <v>11</v>
      </c>
      <c r="C244" s="13" t="s">
        <v>2249</v>
      </c>
      <c r="D244" s="13" t="s">
        <v>382</v>
      </c>
      <c r="E244" s="13" t="s">
        <v>14</v>
      </c>
      <c r="F244" s="2">
        <v>1010</v>
      </c>
      <c r="G244" s="20">
        <v>0.65</v>
      </c>
      <c r="H244" s="2">
        <f t="shared" si="12"/>
        <v>656.5</v>
      </c>
      <c r="I244" s="13" t="s">
        <v>503</v>
      </c>
    </row>
    <row r="245" customHeight="1" spans="1:10">
      <c r="A245" s="19">
        <v>45902</v>
      </c>
      <c r="B245" s="13" t="s">
        <v>11</v>
      </c>
      <c r="C245" s="13" t="s">
        <v>2249</v>
      </c>
      <c r="D245" s="13" t="s">
        <v>1156</v>
      </c>
      <c r="E245" s="13" t="s">
        <v>14</v>
      </c>
      <c r="F245" s="2">
        <v>3010</v>
      </c>
      <c r="G245" s="2">
        <v>1.2</v>
      </c>
      <c r="H245" s="2">
        <f t="shared" si="12"/>
        <v>3612</v>
      </c>
      <c r="I245" s="13" t="s">
        <v>1991</v>
      </c>
    </row>
    <row r="246" customHeight="1" spans="1:10">
      <c r="A246" s="19">
        <v>45903</v>
      </c>
      <c r="B246" s="13" t="s">
        <v>11</v>
      </c>
      <c r="C246" s="13" t="s">
        <v>2250</v>
      </c>
      <c r="D246" s="13" t="s">
        <v>183</v>
      </c>
      <c r="E246" s="13" t="s">
        <v>14</v>
      </c>
      <c r="F246" s="2">
        <v>6000</v>
      </c>
      <c r="G246" s="2">
        <v>0.95</v>
      </c>
      <c r="H246" s="2">
        <f t="shared" si="12"/>
        <v>5700</v>
      </c>
      <c r="I246" s="13" t="s">
        <v>857</v>
      </c>
      <c r="J246" s="13" t="s">
        <v>46</v>
      </c>
    </row>
    <row r="247" customHeight="1" spans="1:10">
      <c r="A247" s="19">
        <v>45903</v>
      </c>
      <c r="B247" s="13" t="s">
        <v>11</v>
      </c>
      <c r="C247" s="13" t="s">
        <v>2250</v>
      </c>
      <c r="D247" s="13" t="s">
        <v>696</v>
      </c>
      <c r="E247" s="13" t="s">
        <v>14</v>
      </c>
      <c r="F247" s="2">
        <v>1550</v>
      </c>
      <c r="G247" s="2">
        <v>1.05</v>
      </c>
      <c r="H247" s="2">
        <f t="shared" si="12"/>
        <v>1627.5</v>
      </c>
      <c r="I247" s="13" t="s">
        <v>2185</v>
      </c>
      <c r="J247" s="13" t="s">
        <v>46</v>
      </c>
    </row>
    <row r="248" customHeight="1" spans="1:10">
      <c r="A248" s="19">
        <v>45904</v>
      </c>
      <c r="B248" s="13" t="s">
        <v>11</v>
      </c>
      <c r="C248" s="13" t="s">
        <v>2251</v>
      </c>
      <c r="D248" s="13" t="s">
        <v>110</v>
      </c>
      <c r="E248" s="13" t="s">
        <v>14</v>
      </c>
      <c r="F248" s="2">
        <v>1000</v>
      </c>
      <c r="G248" s="2">
        <v>0.7</v>
      </c>
      <c r="H248" s="2">
        <f t="shared" si="12"/>
        <v>700</v>
      </c>
      <c r="I248" s="13" t="s">
        <v>243</v>
      </c>
      <c r="J248" s="13" t="s">
        <v>1135</v>
      </c>
    </row>
    <row r="249" customHeight="1" spans="1:10">
      <c r="A249" s="19">
        <v>45904</v>
      </c>
      <c r="B249" s="13" t="s">
        <v>11</v>
      </c>
      <c r="C249" s="13" t="s">
        <v>2252</v>
      </c>
      <c r="D249" s="13" t="s">
        <v>382</v>
      </c>
      <c r="E249" s="13" t="s">
        <v>14</v>
      </c>
      <c r="F249" s="2">
        <v>5100</v>
      </c>
      <c r="G249" s="2">
        <v>0.65</v>
      </c>
      <c r="H249" s="2">
        <f t="shared" si="12"/>
        <v>3315</v>
      </c>
      <c r="I249" s="13" t="s">
        <v>1400</v>
      </c>
    </row>
    <row r="250" customHeight="1" spans="1:10">
      <c r="A250" s="19">
        <v>45904</v>
      </c>
      <c r="B250" s="13" t="s">
        <v>11</v>
      </c>
      <c r="C250" s="13" t="s">
        <v>2252</v>
      </c>
      <c r="D250" s="13" t="s">
        <v>474</v>
      </c>
      <c r="E250" s="13" t="s">
        <v>14</v>
      </c>
      <c r="F250" s="2">
        <v>205</v>
      </c>
      <c r="G250" s="2">
        <v>2.5</v>
      </c>
      <c r="H250" s="2">
        <f t="shared" si="12"/>
        <v>512.5</v>
      </c>
      <c r="I250" s="13" t="s">
        <v>330</v>
      </c>
    </row>
    <row r="251" customHeight="1" spans="1:10">
      <c r="A251" s="19">
        <v>45904</v>
      </c>
      <c r="B251" s="13" t="s">
        <v>11</v>
      </c>
      <c r="C251" s="13" t="s">
        <v>2252</v>
      </c>
      <c r="D251" s="13" t="s">
        <v>285</v>
      </c>
      <c r="E251" s="13" t="s">
        <v>14</v>
      </c>
      <c r="F251" s="2">
        <v>105</v>
      </c>
      <c r="G251" s="2">
        <v>1.75</v>
      </c>
      <c r="H251" s="2">
        <f t="shared" si="12"/>
        <v>183.75</v>
      </c>
      <c r="I251" s="13" t="s">
        <v>28</v>
      </c>
    </row>
    <row r="252" customHeight="1" spans="1:10">
      <c r="A252" s="19">
        <v>45904</v>
      </c>
      <c r="B252" s="13" t="s">
        <v>11</v>
      </c>
      <c r="C252" s="13" t="s">
        <v>2252</v>
      </c>
      <c r="D252" s="13" t="s">
        <v>823</v>
      </c>
      <c r="E252" s="13" t="s">
        <v>14</v>
      </c>
      <c r="F252" s="2">
        <v>55</v>
      </c>
      <c r="G252" s="2">
        <v>1.4</v>
      </c>
      <c r="H252" s="2">
        <f t="shared" si="12"/>
        <v>77</v>
      </c>
      <c r="I252" s="13" t="s">
        <v>28</v>
      </c>
    </row>
    <row r="253" customHeight="1" spans="1:10">
      <c r="A253" s="19">
        <v>45904</v>
      </c>
      <c r="B253" s="13" t="s">
        <v>11</v>
      </c>
      <c r="C253" s="13" t="s">
        <v>2252</v>
      </c>
      <c r="D253" s="13" t="s">
        <v>27</v>
      </c>
      <c r="E253" s="13" t="s">
        <v>14</v>
      </c>
      <c r="F253" s="2">
        <v>47</v>
      </c>
      <c r="G253" s="2">
        <v>1.75</v>
      </c>
      <c r="H253" s="2">
        <f t="shared" si="12"/>
        <v>82.25</v>
      </c>
      <c r="I253" s="13" t="s">
        <v>982</v>
      </c>
    </row>
    <row r="254" customHeight="1" spans="1:10">
      <c r="A254" s="19">
        <v>45905</v>
      </c>
      <c r="B254" s="13" t="s">
        <v>11</v>
      </c>
      <c r="C254" s="13" t="s">
        <v>2253</v>
      </c>
      <c r="D254" s="13" t="s">
        <v>1650</v>
      </c>
      <c r="E254" s="13" t="s">
        <v>14</v>
      </c>
      <c r="F254" s="2">
        <v>105</v>
      </c>
      <c r="G254" s="2">
        <v>1.5</v>
      </c>
      <c r="H254" s="2">
        <f t="shared" si="12"/>
        <v>157.5</v>
      </c>
      <c r="I254" s="13" t="s">
        <v>2254</v>
      </c>
    </row>
    <row r="255" customHeight="1" spans="1:10">
      <c r="A255" s="19">
        <v>45905</v>
      </c>
      <c r="B255" s="13" t="s">
        <v>11</v>
      </c>
      <c r="C255" s="13" t="s">
        <v>2255</v>
      </c>
      <c r="D255" s="13" t="s">
        <v>183</v>
      </c>
      <c r="E255" s="13" t="s">
        <v>14</v>
      </c>
      <c r="F255" s="2">
        <v>50</v>
      </c>
      <c r="G255" s="2">
        <v>0.95</v>
      </c>
      <c r="H255" s="2">
        <f t="shared" ref="H255:H272" si="13">F255*G255</f>
        <v>47.5</v>
      </c>
      <c r="I255" s="13" t="s">
        <v>126</v>
      </c>
    </row>
    <row r="256" customHeight="1" spans="1:10">
      <c r="A256" s="19">
        <v>45905</v>
      </c>
      <c r="B256" s="13" t="s">
        <v>11</v>
      </c>
      <c r="C256" s="13" t="s">
        <v>2256</v>
      </c>
      <c r="D256" s="13" t="s">
        <v>723</v>
      </c>
      <c r="E256" s="13" t="s">
        <v>14</v>
      </c>
      <c r="F256" s="2">
        <v>1040</v>
      </c>
      <c r="G256" s="2">
        <v>1.8</v>
      </c>
      <c r="H256" s="2">
        <f t="shared" si="13"/>
        <v>1872</v>
      </c>
      <c r="I256" s="13" t="s">
        <v>587</v>
      </c>
    </row>
    <row r="257" customHeight="1" spans="1:11">
      <c r="A257" s="19">
        <v>45905</v>
      </c>
      <c r="B257" s="13" t="s">
        <v>11</v>
      </c>
      <c r="C257" s="13" t="s">
        <v>2256</v>
      </c>
      <c r="D257" s="13" t="s">
        <v>713</v>
      </c>
      <c r="E257" s="13" t="s">
        <v>14</v>
      </c>
      <c r="F257" s="2">
        <v>20</v>
      </c>
      <c r="G257" s="2">
        <v>1</v>
      </c>
      <c r="H257" s="2">
        <f t="shared" si="13"/>
        <v>20</v>
      </c>
      <c r="I257" s="13" t="s">
        <v>79</v>
      </c>
    </row>
    <row r="258" customHeight="1" spans="1:11">
      <c r="A258" s="19">
        <v>45905</v>
      </c>
      <c r="B258" s="13" t="s">
        <v>11</v>
      </c>
      <c r="C258" s="13" t="s">
        <v>2257</v>
      </c>
      <c r="D258" s="13" t="s">
        <v>399</v>
      </c>
      <c r="E258" s="13" t="s">
        <v>14</v>
      </c>
      <c r="F258" s="2">
        <v>5300</v>
      </c>
      <c r="G258" s="2">
        <v>1.1</v>
      </c>
      <c r="H258" s="2">
        <f t="shared" si="13"/>
        <v>5830</v>
      </c>
      <c r="I258" s="13" t="s">
        <v>412</v>
      </c>
      <c r="J258" s="13" t="s">
        <v>46</v>
      </c>
    </row>
    <row r="259" customHeight="1" spans="1:11">
      <c r="A259" s="19">
        <v>45905</v>
      </c>
      <c r="B259" s="13" t="s">
        <v>11</v>
      </c>
      <c r="C259" s="13" t="s">
        <v>2257</v>
      </c>
      <c r="D259" s="13" t="s">
        <v>851</v>
      </c>
      <c r="E259" s="13" t="s">
        <v>14</v>
      </c>
      <c r="F259" s="2">
        <v>4010</v>
      </c>
      <c r="G259" s="2">
        <v>1.7</v>
      </c>
      <c r="H259" s="2">
        <f t="shared" si="13"/>
        <v>6817</v>
      </c>
      <c r="I259" s="13" t="s">
        <v>406</v>
      </c>
      <c r="J259" s="13" t="s">
        <v>46</v>
      </c>
    </row>
    <row r="260" customHeight="1" spans="1:11">
      <c r="A260" s="19">
        <v>45905</v>
      </c>
      <c r="B260" s="13" t="s">
        <v>11</v>
      </c>
      <c r="C260" s="13" t="s">
        <v>2257</v>
      </c>
      <c r="D260" s="13" t="s">
        <v>1342</v>
      </c>
      <c r="E260" s="13" t="s">
        <v>14</v>
      </c>
      <c r="F260" s="2">
        <v>20000</v>
      </c>
      <c r="G260" s="2">
        <v>1</v>
      </c>
      <c r="H260" s="2">
        <f t="shared" si="13"/>
        <v>20000</v>
      </c>
      <c r="I260" s="13" t="s">
        <v>1453</v>
      </c>
      <c r="J260" s="13" t="s">
        <v>46</v>
      </c>
    </row>
    <row r="261" customHeight="1" spans="1:11">
      <c r="A261" s="19">
        <v>45905</v>
      </c>
      <c r="B261" s="13" t="s">
        <v>11</v>
      </c>
      <c r="C261" s="13" t="s">
        <v>2257</v>
      </c>
      <c r="D261" s="13" t="s">
        <v>47</v>
      </c>
      <c r="E261" s="13" t="s">
        <v>14</v>
      </c>
      <c r="F261" s="2">
        <v>30000</v>
      </c>
      <c r="G261" s="2">
        <v>0.95</v>
      </c>
      <c r="H261" s="2">
        <f t="shared" si="13"/>
        <v>28500</v>
      </c>
      <c r="I261" s="13" t="s">
        <v>2258</v>
      </c>
      <c r="J261" s="13" t="s">
        <v>46</v>
      </c>
    </row>
    <row r="262" customHeight="1" spans="1:11">
      <c r="A262" s="19">
        <v>45906</v>
      </c>
      <c r="B262" s="13" t="s">
        <v>11</v>
      </c>
      <c r="C262" s="13" t="s">
        <v>2259</v>
      </c>
      <c r="D262" s="13" t="s">
        <v>851</v>
      </c>
      <c r="E262" s="13" t="s">
        <v>14</v>
      </c>
      <c r="F262" s="2">
        <v>4010</v>
      </c>
      <c r="G262" s="2">
        <v>1.7</v>
      </c>
      <c r="H262" s="2">
        <f t="shared" si="13"/>
        <v>6817</v>
      </c>
      <c r="I262" s="13" t="s">
        <v>406</v>
      </c>
    </row>
    <row r="263" customHeight="1" spans="1:11">
      <c r="A263" s="19">
        <v>45906</v>
      </c>
      <c r="B263" s="13" t="s">
        <v>11</v>
      </c>
      <c r="C263" s="13" t="s">
        <v>2260</v>
      </c>
      <c r="D263" s="13" t="s">
        <v>18</v>
      </c>
      <c r="E263" s="13" t="s">
        <v>14</v>
      </c>
      <c r="F263" s="2">
        <v>1515</v>
      </c>
      <c r="G263" s="2">
        <v>0.7</v>
      </c>
      <c r="H263" s="2">
        <f t="shared" si="13"/>
        <v>1060.5</v>
      </c>
      <c r="I263" s="13" t="s">
        <v>296</v>
      </c>
    </row>
    <row r="264" customHeight="1" spans="1:11">
      <c r="A264" s="19">
        <v>45908</v>
      </c>
      <c r="B264" s="13" t="s">
        <v>11</v>
      </c>
      <c r="C264" s="13" t="s">
        <v>2261</v>
      </c>
      <c r="D264" s="13" t="s">
        <v>183</v>
      </c>
      <c r="E264" s="13" t="s">
        <v>14</v>
      </c>
      <c r="F264" s="2">
        <v>4010</v>
      </c>
      <c r="G264" s="2">
        <v>0.95</v>
      </c>
      <c r="H264" s="2">
        <f t="shared" si="13"/>
        <v>3809.5</v>
      </c>
      <c r="I264" s="13" t="s">
        <v>2208</v>
      </c>
    </row>
    <row r="265" customHeight="1" spans="1:11">
      <c r="A265" s="19">
        <v>45908</v>
      </c>
      <c r="B265" s="13" t="s">
        <v>11</v>
      </c>
      <c r="C265" s="13" t="s">
        <v>2262</v>
      </c>
      <c r="D265" s="13" t="s">
        <v>2263</v>
      </c>
      <c r="E265" s="13" t="s">
        <v>14</v>
      </c>
      <c r="F265" s="2">
        <v>30800</v>
      </c>
      <c r="G265" s="2">
        <v>1.05</v>
      </c>
      <c r="H265" s="2">
        <f t="shared" si="13"/>
        <v>32340</v>
      </c>
      <c r="I265" s="13" t="s">
        <v>1718</v>
      </c>
      <c r="J265" s="13" t="s">
        <v>46</v>
      </c>
    </row>
    <row r="266" customHeight="1" spans="1:11">
      <c r="A266" s="19">
        <v>45908</v>
      </c>
      <c r="B266" s="13" t="s">
        <v>11</v>
      </c>
      <c r="C266" s="13" t="s">
        <v>2262</v>
      </c>
      <c r="D266" s="13" t="s">
        <v>18</v>
      </c>
      <c r="E266" s="13" t="s">
        <v>14</v>
      </c>
      <c r="F266" s="2">
        <v>50000</v>
      </c>
      <c r="G266" s="2">
        <v>0.7</v>
      </c>
      <c r="H266" s="2">
        <f t="shared" si="13"/>
        <v>35000</v>
      </c>
      <c r="I266" s="13" t="s">
        <v>61</v>
      </c>
      <c r="J266" s="13" t="s">
        <v>46</v>
      </c>
    </row>
    <row r="267" customHeight="1" spans="1:11">
      <c r="A267" s="19">
        <v>45908</v>
      </c>
      <c r="B267" s="13" t="s">
        <v>11</v>
      </c>
      <c r="C267" s="13" t="s">
        <v>2262</v>
      </c>
      <c r="D267" s="13" t="s">
        <v>389</v>
      </c>
      <c r="E267" s="13" t="s">
        <v>14</v>
      </c>
      <c r="F267" s="13">
        <v>9030</v>
      </c>
      <c r="G267" s="13">
        <v>1.4</v>
      </c>
      <c r="H267" s="13">
        <f t="shared" si="13"/>
        <v>12642</v>
      </c>
      <c r="I267" s="13" t="s">
        <v>1429</v>
      </c>
      <c r="J267" s="13" t="s">
        <v>46</v>
      </c>
      <c r="K267" s="13" t="s">
        <v>1135</v>
      </c>
    </row>
    <row r="268" customHeight="1" spans="1:11">
      <c r="A268" s="19">
        <v>45909</v>
      </c>
      <c r="B268" s="13" t="s">
        <v>11</v>
      </c>
      <c r="C268" s="13" t="s">
        <v>2264</v>
      </c>
      <c r="D268" s="13" t="s">
        <v>560</v>
      </c>
      <c r="E268" s="13" t="s">
        <v>14</v>
      </c>
      <c r="F268" s="2">
        <v>53</v>
      </c>
      <c r="G268" s="20">
        <v>1.1</v>
      </c>
      <c r="H268" s="2">
        <f t="shared" si="13"/>
        <v>58.3</v>
      </c>
      <c r="I268" s="13" t="s">
        <v>28</v>
      </c>
      <c r="J268" s="13" t="s">
        <v>46</v>
      </c>
    </row>
    <row r="269" customHeight="1" spans="1:11">
      <c r="A269" s="19">
        <v>45909</v>
      </c>
      <c r="B269" s="13" t="s">
        <v>11</v>
      </c>
      <c r="C269" s="13" t="s">
        <v>2264</v>
      </c>
      <c r="D269" s="13" t="s">
        <v>395</v>
      </c>
      <c r="E269" s="13" t="s">
        <v>14</v>
      </c>
      <c r="F269" s="2">
        <v>53</v>
      </c>
      <c r="G269" s="20">
        <v>1</v>
      </c>
      <c r="H269" s="2">
        <f t="shared" si="13"/>
        <v>53</v>
      </c>
      <c r="I269" s="13" t="s">
        <v>28</v>
      </c>
      <c r="J269" s="13" t="s">
        <v>46</v>
      </c>
    </row>
    <row r="270" customHeight="1" spans="1:11">
      <c r="A270" s="19">
        <v>45910</v>
      </c>
      <c r="B270" s="13" t="s">
        <v>11</v>
      </c>
      <c r="C270" s="13" t="s">
        <v>2265</v>
      </c>
      <c r="D270" s="13" t="s">
        <v>27</v>
      </c>
      <c r="E270" s="13" t="s">
        <v>14</v>
      </c>
      <c r="F270" s="2">
        <v>10000</v>
      </c>
      <c r="G270" s="2">
        <v>1.7</v>
      </c>
      <c r="H270" s="2">
        <f t="shared" si="13"/>
        <v>17000</v>
      </c>
      <c r="I270" s="13" t="s">
        <v>61</v>
      </c>
      <c r="J270" s="13" t="s">
        <v>46</v>
      </c>
    </row>
    <row r="271" customHeight="1" spans="1:11">
      <c r="A271" s="19">
        <v>45910</v>
      </c>
      <c r="B271" s="13" t="s">
        <v>11</v>
      </c>
      <c r="C271" s="13" t="s">
        <v>2265</v>
      </c>
      <c r="D271" s="13" t="s">
        <v>47</v>
      </c>
      <c r="E271" s="13" t="s">
        <v>14</v>
      </c>
      <c r="F271" s="2">
        <v>50000</v>
      </c>
      <c r="G271" s="2">
        <v>0.95</v>
      </c>
      <c r="H271" s="2">
        <f t="shared" si="13"/>
        <v>47500</v>
      </c>
      <c r="I271" s="13" t="s">
        <v>2258</v>
      </c>
      <c r="J271" s="13" t="s">
        <v>46</v>
      </c>
    </row>
    <row r="272" customHeight="1" spans="1:11">
      <c r="A272" s="19">
        <v>45910</v>
      </c>
      <c r="B272" s="13" t="s">
        <v>11</v>
      </c>
      <c r="C272" s="13" t="s">
        <v>2265</v>
      </c>
      <c r="D272" s="13" t="s">
        <v>310</v>
      </c>
      <c r="E272" s="13" t="s">
        <v>14</v>
      </c>
      <c r="F272" s="2">
        <v>11050</v>
      </c>
      <c r="G272" s="2">
        <v>1.2</v>
      </c>
      <c r="H272" s="2">
        <f t="shared" si="13"/>
        <v>13260</v>
      </c>
      <c r="I272" s="13" t="s">
        <v>2009</v>
      </c>
      <c r="J272" s="13" t="s">
        <v>46</v>
      </c>
    </row>
    <row r="273" customHeight="1" spans="1:11">
      <c r="A273" s="19">
        <v>45910</v>
      </c>
      <c r="B273" s="13" t="s">
        <v>11</v>
      </c>
      <c r="C273" s="13" t="s">
        <v>2266</v>
      </c>
      <c r="D273" s="13" t="s">
        <v>946</v>
      </c>
      <c r="E273" s="13" t="s">
        <v>14</v>
      </c>
      <c r="F273" s="2">
        <v>30000</v>
      </c>
      <c r="G273" s="2">
        <v>2.8</v>
      </c>
      <c r="H273" s="2">
        <f t="shared" ref="H273:H292" si="14">F273*G273</f>
        <v>84000</v>
      </c>
      <c r="I273" s="13" t="s">
        <v>396</v>
      </c>
    </row>
    <row r="274" customHeight="1" spans="1:11">
      <c r="A274" s="19">
        <v>45911</v>
      </c>
      <c r="B274" s="13" t="s">
        <v>11</v>
      </c>
      <c r="C274" s="13" t="s">
        <v>2267</v>
      </c>
      <c r="D274" s="13" t="s">
        <v>851</v>
      </c>
      <c r="E274" s="13" t="s">
        <v>14</v>
      </c>
      <c r="F274" s="2">
        <v>5100</v>
      </c>
      <c r="G274" s="2">
        <v>1.7</v>
      </c>
      <c r="H274" s="2">
        <f t="shared" si="14"/>
        <v>8670</v>
      </c>
      <c r="I274" s="13" t="s">
        <v>406</v>
      </c>
    </row>
    <row r="275" customHeight="1" spans="1:11">
      <c r="A275" s="19">
        <v>45911</v>
      </c>
      <c r="B275" s="13" t="s">
        <v>11</v>
      </c>
      <c r="C275" s="13" t="s">
        <v>2268</v>
      </c>
      <c r="D275" s="13" t="s">
        <v>110</v>
      </c>
      <c r="E275" s="13" t="s">
        <v>14</v>
      </c>
      <c r="F275" s="2">
        <v>53</v>
      </c>
      <c r="G275" s="2">
        <v>0.7</v>
      </c>
      <c r="H275" s="2">
        <f t="shared" si="14"/>
        <v>37.1</v>
      </c>
      <c r="I275" s="13" t="s">
        <v>2269</v>
      </c>
    </row>
    <row r="276" customHeight="1" spans="1:11">
      <c r="A276" s="19">
        <v>45912</v>
      </c>
      <c r="B276" s="13" t="s">
        <v>11</v>
      </c>
      <c r="C276" s="13" t="s">
        <v>2270</v>
      </c>
      <c r="D276" s="13" t="s">
        <v>368</v>
      </c>
      <c r="E276" s="13" t="s">
        <v>14</v>
      </c>
      <c r="F276" s="2">
        <v>10130</v>
      </c>
      <c r="G276" s="2">
        <v>0.75</v>
      </c>
      <c r="H276" s="2">
        <f t="shared" si="14"/>
        <v>7597.5</v>
      </c>
      <c r="I276" s="13" t="s">
        <v>2271</v>
      </c>
    </row>
    <row r="277" customHeight="1" spans="1:11">
      <c r="A277" s="19">
        <v>45912</v>
      </c>
      <c r="B277" s="13" t="s">
        <v>11</v>
      </c>
      <c r="C277" s="13" t="s">
        <v>2270</v>
      </c>
      <c r="D277" s="13" t="s">
        <v>183</v>
      </c>
      <c r="E277" s="13" t="s">
        <v>14</v>
      </c>
      <c r="F277" s="2">
        <v>55</v>
      </c>
      <c r="G277" s="2">
        <v>0.95</v>
      </c>
      <c r="H277" s="2">
        <f t="shared" si="14"/>
        <v>52.25</v>
      </c>
      <c r="I277" s="13" t="s">
        <v>2208</v>
      </c>
    </row>
    <row r="278" customHeight="1" spans="1:11">
      <c r="A278" s="19">
        <v>45912</v>
      </c>
      <c r="B278" s="13" t="s">
        <v>11</v>
      </c>
      <c r="C278" s="13" t="s">
        <v>2270</v>
      </c>
      <c r="D278" s="13" t="s">
        <v>2272</v>
      </c>
      <c r="E278" s="13" t="s">
        <v>14</v>
      </c>
      <c r="F278" s="2">
        <v>20</v>
      </c>
      <c r="G278" s="2">
        <v>1.2</v>
      </c>
      <c r="H278" s="2">
        <f t="shared" si="14"/>
        <v>24</v>
      </c>
      <c r="I278" s="13" t="s">
        <v>503</v>
      </c>
    </row>
    <row r="279" customHeight="1" spans="1:11">
      <c r="A279" s="19">
        <v>45912</v>
      </c>
      <c r="B279" s="13" t="s">
        <v>11</v>
      </c>
      <c r="C279" s="13" t="s">
        <v>2273</v>
      </c>
      <c r="D279" s="13" t="s">
        <v>2263</v>
      </c>
      <c r="E279" s="13" t="s">
        <v>14</v>
      </c>
      <c r="F279" s="2">
        <v>400</v>
      </c>
      <c r="G279" s="2">
        <v>1.05</v>
      </c>
      <c r="H279" s="2">
        <f t="shared" si="14"/>
        <v>420</v>
      </c>
      <c r="I279" s="13" t="s">
        <v>1718</v>
      </c>
    </row>
    <row r="280" customHeight="1" spans="1:11">
      <c r="A280" s="19">
        <v>45912</v>
      </c>
      <c r="B280" s="13" t="s">
        <v>11</v>
      </c>
      <c r="C280" s="13" t="s">
        <v>2274</v>
      </c>
      <c r="D280" s="13" t="s">
        <v>368</v>
      </c>
      <c r="E280" s="13" t="s">
        <v>14</v>
      </c>
      <c r="F280" s="2">
        <v>39870</v>
      </c>
      <c r="G280" s="2">
        <v>0.75</v>
      </c>
      <c r="H280" s="2">
        <f t="shared" si="14"/>
        <v>29902.5</v>
      </c>
      <c r="I280" s="13" t="s">
        <v>61</v>
      </c>
      <c r="J280" s="13" t="s">
        <v>46</v>
      </c>
    </row>
    <row r="281" customHeight="1" spans="1:11">
      <c r="A281" s="19">
        <v>45912</v>
      </c>
      <c r="B281" s="13" t="s">
        <v>11</v>
      </c>
      <c r="C281" s="13" t="s">
        <v>2274</v>
      </c>
      <c r="D281" s="13" t="s">
        <v>399</v>
      </c>
      <c r="E281" s="13" t="s">
        <v>14</v>
      </c>
      <c r="F281" s="2">
        <v>5000</v>
      </c>
      <c r="G281" s="2">
        <v>1.1</v>
      </c>
      <c r="H281" s="2">
        <f t="shared" si="14"/>
        <v>5500</v>
      </c>
      <c r="I281" s="13" t="s">
        <v>61</v>
      </c>
      <c r="J281" s="13" t="s">
        <v>46</v>
      </c>
    </row>
    <row r="282" customHeight="1" spans="1:11">
      <c r="A282" s="19">
        <v>45913</v>
      </c>
      <c r="B282" s="13" t="s">
        <v>11</v>
      </c>
      <c r="C282" s="13" t="s">
        <v>2275</v>
      </c>
      <c r="D282" s="13" t="s">
        <v>1173</v>
      </c>
      <c r="E282" s="13" t="s">
        <v>14</v>
      </c>
      <c r="F282" s="2">
        <v>96</v>
      </c>
      <c r="G282" s="20">
        <v>1.5</v>
      </c>
      <c r="H282" s="2">
        <f t="shared" si="14"/>
        <v>144</v>
      </c>
      <c r="I282" s="13" t="s">
        <v>1931</v>
      </c>
    </row>
    <row r="283" customHeight="1" spans="1:11">
      <c r="A283" s="19">
        <v>45913</v>
      </c>
      <c r="B283" s="13" t="s">
        <v>11</v>
      </c>
      <c r="C283" s="13" t="s">
        <v>2276</v>
      </c>
      <c r="D283" s="13" t="s">
        <v>2277</v>
      </c>
      <c r="E283" s="13" t="s">
        <v>14</v>
      </c>
      <c r="F283" s="2">
        <v>10010</v>
      </c>
      <c r="G283" s="2">
        <v>0.93</v>
      </c>
      <c r="H283" s="2">
        <f t="shared" si="14"/>
        <v>9309.3</v>
      </c>
      <c r="I283" s="13" t="s">
        <v>1546</v>
      </c>
      <c r="J283" s="13" t="s">
        <v>46</v>
      </c>
    </row>
    <row r="284" customHeight="1" spans="1:11">
      <c r="A284" s="19">
        <v>45913</v>
      </c>
      <c r="B284" s="13" t="s">
        <v>11</v>
      </c>
      <c r="C284" s="13" t="s">
        <v>2276</v>
      </c>
      <c r="D284" s="13" t="s">
        <v>27</v>
      </c>
      <c r="E284" s="13" t="s">
        <v>14</v>
      </c>
      <c r="F284" s="2">
        <v>19220</v>
      </c>
      <c r="G284" s="2">
        <v>1.75</v>
      </c>
      <c r="H284" s="2">
        <f t="shared" si="14"/>
        <v>33635</v>
      </c>
      <c r="I284" s="13" t="s">
        <v>982</v>
      </c>
      <c r="J284" s="13" t="s">
        <v>46</v>
      </c>
    </row>
    <row r="285" customHeight="1" spans="1:11">
      <c r="A285" s="19">
        <v>45913</v>
      </c>
      <c r="B285" s="13" t="s">
        <v>11</v>
      </c>
      <c r="C285" s="13" t="s">
        <v>2276</v>
      </c>
      <c r="D285" s="13" t="s">
        <v>493</v>
      </c>
      <c r="E285" s="13" t="s">
        <v>14</v>
      </c>
      <c r="F285" s="2">
        <v>50000</v>
      </c>
      <c r="G285" s="2">
        <v>0.8</v>
      </c>
      <c r="H285" s="2">
        <f t="shared" si="14"/>
        <v>40000</v>
      </c>
      <c r="I285" s="13" t="s">
        <v>61</v>
      </c>
      <c r="J285" s="13" t="s">
        <v>46</v>
      </c>
    </row>
    <row r="286" customHeight="1" spans="1:11">
      <c r="A286" s="19">
        <v>45913</v>
      </c>
      <c r="B286" s="13" t="s">
        <v>11</v>
      </c>
      <c r="C286" s="13" t="s">
        <v>2278</v>
      </c>
      <c r="D286" s="13" t="s">
        <v>1173</v>
      </c>
      <c r="E286" s="13" t="s">
        <v>14</v>
      </c>
      <c r="F286" s="2">
        <v>7200</v>
      </c>
      <c r="G286" s="20">
        <v>1.5</v>
      </c>
      <c r="H286" s="2">
        <f t="shared" si="14"/>
        <v>10800</v>
      </c>
      <c r="I286" s="13" t="s">
        <v>1931</v>
      </c>
      <c r="J286" s="13" t="s">
        <v>46</v>
      </c>
    </row>
    <row r="287" customHeight="1" spans="1:11">
      <c r="A287" s="19">
        <v>45915</v>
      </c>
      <c r="B287" s="13" t="s">
        <v>11</v>
      </c>
      <c r="C287" s="13" t="s">
        <v>2279</v>
      </c>
      <c r="D287" s="13" t="s">
        <v>946</v>
      </c>
      <c r="E287" s="13" t="s">
        <v>14</v>
      </c>
      <c r="F287" s="13">
        <v>20000</v>
      </c>
      <c r="G287" s="13">
        <v>2.8</v>
      </c>
      <c r="H287" s="13">
        <f t="shared" si="14"/>
        <v>56000</v>
      </c>
      <c r="I287" s="13" t="s">
        <v>396</v>
      </c>
      <c r="K287" s="13" t="s">
        <v>1135</v>
      </c>
    </row>
    <row r="288" customHeight="1" spans="1:11">
      <c r="A288" s="19">
        <v>45915</v>
      </c>
      <c r="B288" s="13" t="s">
        <v>11</v>
      </c>
      <c r="C288" s="13" t="s">
        <v>2280</v>
      </c>
      <c r="D288" s="13" t="s">
        <v>27</v>
      </c>
      <c r="E288" s="13" t="s">
        <v>14</v>
      </c>
      <c r="F288" s="2">
        <v>11120</v>
      </c>
      <c r="G288" s="2">
        <v>1.75</v>
      </c>
      <c r="H288" s="2">
        <f t="shared" si="14"/>
        <v>19460</v>
      </c>
      <c r="I288" s="13" t="s">
        <v>2281</v>
      </c>
    </row>
    <row r="289" customHeight="1" spans="1:10">
      <c r="A289" s="19">
        <v>45915</v>
      </c>
      <c r="B289" s="13" t="s">
        <v>11</v>
      </c>
      <c r="C289" s="13" t="s">
        <v>2282</v>
      </c>
      <c r="D289" s="13" t="s">
        <v>234</v>
      </c>
      <c r="E289" s="13" t="s">
        <v>14</v>
      </c>
      <c r="F289" s="2">
        <v>1300</v>
      </c>
      <c r="G289" s="2">
        <v>1</v>
      </c>
      <c r="H289" s="2">
        <f t="shared" si="14"/>
        <v>1300</v>
      </c>
      <c r="I289" s="13" t="s">
        <v>1465</v>
      </c>
    </row>
    <row r="290" customHeight="1" spans="1:10">
      <c r="A290" s="19">
        <v>45915</v>
      </c>
      <c r="B290" s="13" t="s">
        <v>11</v>
      </c>
      <c r="C290" s="13" t="s">
        <v>2282</v>
      </c>
      <c r="D290" s="13" t="s">
        <v>328</v>
      </c>
      <c r="E290" s="13" t="s">
        <v>14</v>
      </c>
      <c r="F290" s="2">
        <v>2010</v>
      </c>
      <c r="G290" s="20">
        <v>1.1</v>
      </c>
      <c r="H290" s="2">
        <f t="shared" si="14"/>
        <v>2211</v>
      </c>
      <c r="I290" s="13" t="s">
        <v>984</v>
      </c>
    </row>
    <row r="291" customHeight="1" spans="1:10">
      <c r="A291" s="19">
        <v>45915</v>
      </c>
      <c r="B291" s="13" t="s">
        <v>11</v>
      </c>
      <c r="C291" s="13" t="s">
        <v>2282</v>
      </c>
      <c r="D291" s="13" t="s">
        <v>368</v>
      </c>
      <c r="E291" s="13" t="s">
        <v>14</v>
      </c>
      <c r="F291" s="2">
        <v>36</v>
      </c>
      <c r="G291" s="2">
        <v>0.75</v>
      </c>
      <c r="H291" s="2">
        <f t="shared" si="14"/>
        <v>27</v>
      </c>
      <c r="I291" s="13" t="s">
        <v>570</v>
      </c>
    </row>
    <row r="292" customHeight="1" spans="1:10">
      <c r="A292" s="19">
        <v>45916</v>
      </c>
      <c r="B292" s="13" t="s">
        <v>11</v>
      </c>
      <c r="C292" s="13" t="s">
        <v>2283</v>
      </c>
      <c r="D292" s="13" t="s">
        <v>1707</v>
      </c>
      <c r="E292" s="13" t="s">
        <v>14</v>
      </c>
      <c r="F292" s="2">
        <v>205</v>
      </c>
      <c r="G292" s="2">
        <v>1.35</v>
      </c>
      <c r="H292" s="2">
        <f t="shared" si="14"/>
        <v>276.75</v>
      </c>
      <c r="I292" s="13" t="s">
        <v>2284</v>
      </c>
    </row>
    <row r="293" customHeight="1" spans="1:10">
      <c r="A293" s="19">
        <v>45916</v>
      </c>
      <c r="B293" s="13" t="s">
        <v>11</v>
      </c>
      <c r="C293" s="13" t="s">
        <v>2285</v>
      </c>
      <c r="D293" s="13" t="s">
        <v>680</v>
      </c>
      <c r="E293" s="13" t="s">
        <v>14</v>
      </c>
      <c r="F293" s="2">
        <v>49820</v>
      </c>
      <c r="G293" s="2">
        <v>1.1</v>
      </c>
      <c r="H293" s="2">
        <f t="shared" ref="H293:H305" si="15">F293*G293</f>
        <v>54802</v>
      </c>
      <c r="I293" s="13" t="s">
        <v>61</v>
      </c>
    </row>
    <row r="294" customHeight="1" spans="1:10">
      <c r="A294" s="19">
        <v>45916</v>
      </c>
      <c r="B294" s="13" t="s">
        <v>11</v>
      </c>
      <c r="C294" s="13" t="s">
        <v>2285</v>
      </c>
      <c r="D294" s="13" t="s">
        <v>851</v>
      </c>
      <c r="E294" s="13" t="s">
        <v>14</v>
      </c>
      <c r="F294" s="2">
        <v>30000</v>
      </c>
      <c r="G294" s="2">
        <v>1.7</v>
      </c>
      <c r="H294" s="2">
        <f t="shared" si="15"/>
        <v>51000</v>
      </c>
      <c r="I294" s="13" t="s">
        <v>406</v>
      </c>
      <c r="J294" s="13" t="s">
        <v>46</v>
      </c>
    </row>
    <row r="295" customHeight="1" spans="1:10">
      <c r="A295" s="19">
        <v>45916</v>
      </c>
      <c r="B295" s="13" t="s">
        <v>11</v>
      </c>
      <c r="C295" s="13" t="s">
        <v>2285</v>
      </c>
      <c r="D295" s="13" t="s">
        <v>27</v>
      </c>
      <c r="E295" s="13" t="s">
        <v>14</v>
      </c>
      <c r="F295" s="2">
        <v>18900</v>
      </c>
      <c r="G295" s="2">
        <v>1.75</v>
      </c>
      <c r="H295" s="2">
        <f t="shared" si="15"/>
        <v>33075</v>
      </c>
      <c r="I295" s="13" t="s">
        <v>2286</v>
      </c>
    </row>
    <row r="296" customHeight="1" spans="1:10">
      <c r="A296" s="19">
        <v>45916</v>
      </c>
      <c r="B296" s="13" t="s">
        <v>11</v>
      </c>
      <c r="C296" s="13" t="s">
        <v>2285</v>
      </c>
      <c r="D296" s="13" t="s">
        <v>368</v>
      </c>
      <c r="E296" s="13" t="s">
        <v>14</v>
      </c>
      <c r="F296" s="2">
        <v>29130</v>
      </c>
      <c r="G296" s="2">
        <v>0.75</v>
      </c>
      <c r="H296" s="2">
        <f t="shared" si="15"/>
        <v>21847.5</v>
      </c>
      <c r="I296" s="13" t="s">
        <v>61</v>
      </c>
    </row>
    <row r="297" customHeight="1" spans="1:10">
      <c r="A297" s="19">
        <v>45916</v>
      </c>
      <c r="B297" s="13" t="s">
        <v>11</v>
      </c>
      <c r="C297" s="13" t="s">
        <v>2285</v>
      </c>
      <c r="D297" s="13" t="s">
        <v>399</v>
      </c>
      <c r="E297" s="13" t="s">
        <v>14</v>
      </c>
      <c r="F297" s="2">
        <v>5000</v>
      </c>
      <c r="G297" s="2">
        <v>1.1</v>
      </c>
      <c r="H297" s="2">
        <f t="shared" si="15"/>
        <v>5500</v>
      </c>
      <c r="I297" s="13" t="s">
        <v>982</v>
      </c>
    </row>
    <row r="298" customHeight="1" spans="1:10">
      <c r="A298" s="19">
        <v>45916</v>
      </c>
      <c r="B298" s="13" t="s">
        <v>11</v>
      </c>
      <c r="C298" s="13" t="s">
        <v>2285</v>
      </c>
      <c r="D298" s="13" t="s">
        <v>2287</v>
      </c>
      <c r="E298" s="13" t="s">
        <v>14</v>
      </c>
      <c r="F298" s="2">
        <v>2600</v>
      </c>
      <c r="G298" s="2">
        <v>1</v>
      </c>
      <c r="H298" s="2">
        <f t="shared" si="15"/>
        <v>2600</v>
      </c>
      <c r="I298" s="13" t="s">
        <v>466</v>
      </c>
    </row>
    <row r="299" customHeight="1" spans="1:10">
      <c r="A299" s="19">
        <v>45916</v>
      </c>
      <c r="B299" s="13" t="s">
        <v>11</v>
      </c>
      <c r="C299" s="13" t="s">
        <v>2285</v>
      </c>
      <c r="D299" s="13" t="s">
        <v>13</v>
      </c>
      <c r="E299" s="13" t="s">
        <v>14</v>
      </c>
      <c r="F299" s="2">
        <v>4860</v>
      </c>
      <c r="G299" s="2">
        <v>1.4</v>
      </c>
      <c r="H299" s="2">
        <f t="shared" si="15"/>
        <v>6804</v>
      </c>
      <c r="I299" s="13" t="s">
        <v>2288</v>
      </c>
    </row>
    <row r="300" customHeight="1" spans="1:10">
      <c r="A300" s="19">
        <v>45916</v>
      </c>
      <c r="B300" s="13" t="s">
        <v>11</v>
      </c>
      <c r="C300" s="13" t="s">
        <v>2289</v>
      </c>
      <c r="D300" s="13" t="s">
        <v>1156</v>
      </c>
      <c r="E300" s="13" t="s">
        <v>14</v>
      </c>
      <c r="F300" s="2">
        <v>5000</v>
      </c>
      <c r="G300" s="2">
        <v>1.2</v>
      </c>
      <c r="H300" s="2">
        <f t="shared" si="15"/>
        <v>6000</v>
      </c>
      <c r="I300" s="13" t="s">
        <v>2290</v>
      </c>
    </row>
    <row r="301" customHeight="1" spans="1:10">
      <c r="A301" s="19">
        <v>45916</v>
      </c>
      <c r="B301" s="13" t="s">
        <v>11</v>
      </c>
      <c r="C301" s="13" t="s">
        <v>2291</v>
      </c>
      <c r="D301" s="13" t="s">
        <v>2277</v>
      </c>
      <c r="E301" s="13" t="s">
        <v>14</v>
      </c>
      <c r="F301" s="2">
        <v>14030</v>
      </c>
      <c r="G301" s="2">
        <v>0.93</v>
      </c>
      <c r="H301" s="2">
        <f t="shared" si="15"/>
        <v>13047.9</v>
      </c>
      <c r="I301" s="13" t="s">
        <v>1546</v>
      </c>
    </row>
    <row r="302" customHeight="1" spans="1:10">
      <c r="A302" s="19">
        <v>45916</v>
      </c>
      <c r="B302" s="13" t="s">
        <v>11</v>
      </c>
      <c r="C302" s="13" t="s">
        <v>2292</v>
      </c>
      <c r="D302" s="13" t="s">
        <v>27</v>
      </c>
      <c r="E302" s="13" t="s">
        <v>14</v>
      </c>
      <c r="F302" s="2">
        <v>455</v>
      </c>
      <c r="G302" s="2">
        <v>1.75</v>
      </c>
      <c r="H302" s="2">
        <f t="shared" si="15"/>
        <v>796.25</v>
      </c>
      <c r="I302" s="13" t="s">
        <v>2009</v>
      </c>
    </row>
    <row r="303" customHeight="1" spans="1:10">
      <c r="A303" s="19">
        <v>45916</v>
      </c>
      <c r="B303" s="13" t="s">
        <v>11</v>
      </c>
      <c r="C303" s="13" t="s">
        <v>2292</v>
      </c>
      <c r="D303" s="13" t="s">
        <v>392</v>
      </c>
      <c r="E303" s="13" t="s">
        <v>14</v>
      </c>
      <c r="F303" s="2">
        <v>305</v>
      </c>
      <c r="G303" s="2">
        <v>1.1</v>
      </c>
      <c r="H303" s="2">
        <f t="shared" si="15"/>
        <v>335.5</v>
      </c>
      <c r="I303" s="13" t="s">
        <v>415</v>
      </c>
    </row>
    <row r="304" customHeight="1" spans="1:10">
      <c r="A304" s="19">
        <v>45916</v>
      </c>
      <c r="B304" s="13" t="s">
        <v>11</v>
      </c>
      <c r="C304" s="13" t="s">
        <v>2293</v>
      </c>
      <c r="D304" s="13" t="s">
        <v>1188</v>
      </c>
      <c r="E304" s="13" t="s">
        <v>14</v>
      </c>
      <c r="F304" s="2">
        <v>10000</v>
      </c>
      <c r="G304" s="2">
        <v>1</v>
      </c>
      <c r="H304" s="2">
        <f t="shared" si="15"/>
        <v>10000</v>
      </c>
      <c r="I304" s="13" t="s">
        <v>2294</v>
      </c>
      <c r="J304" s="13" t="s">
        <v>46</v>
      </c>
    </row>
    <row r="305" customHeight="1" spans="1:10">
      <c r="A305" s="19">
        <v>45917</v>
      </c>
      <c r="B305" s="13" t="s">
        <v>11</v>
      </c>
      <c r="C305" s="13" t="s">
        <v>2295</v>
      </c>
      <c r="D305" s="13" t="s">
        <v>328</v>
      </c>
      <c r="E305" s="13" t="s">
        <v>14</v>
      </c>
      <c r="F305" s="2">
        <v>100</v>
      </c>
      <c r="G305" s="20">
        <v>1.1</v>
      </c>
      <c r="H305" s="2">
        <v>120</v>
      </c>
      <c r="I305" s="13" t="s">
        <v>984</v>
      </c>
    </row>
    <row r="306" customHeight="1" spans="1:10">
      <c r="A306" s="19">
        <v>45917</v>
      </c>
      <c r="B306" s="13" t="s">
        <v>11</v>
      </c>
      <c r="C306" s="13" t="s">
        <v>2296</v>
      </c>
      <c r="D306" s="13" t="s">
        <v>683</v>
      </c>
      <c r="E306" s="13" t="s">
        <v>14</v>
      </c>
      <c r="F306" s="2">
        <v>5010</v>
      </c>
      <c r="G306" s="2">
        <v>0.9</v>
      </c>
      <c r="H306" s="2">
        <f t="shared" ref="H306:H330" si="16">F306*G306</f>
        <v>4509</v>
      </c>
      <c r="I306" s="13" t="s">
        <v>684</v>
      </c>
      <c r="J306" s="13" t="s">
        <v>46</v>
      </c>
    </row>
    <row r="307" customHeight="1" spans="1:10">
      <c r="A307" s="19">
        <v>45918</v>
      </c>
      <c r="B307" s="13" t="s">
        <v>11</v>
      </c>
      <c r="C307" s="13" t="s">
        <v>2297</v>
      </c>
      <c r="D307" s="13" t="s">
        <v>1707</v>
      </c>
      <c r="E307" s="13" t="s">
        <v>14</v>
      </c>
      <c r="F307" s="2">
        <v>3020</v>
      </c>
      <c r="G307" s="2">
        <v>1.35</v>
      </c>
      <c r="H307" s="2">
        <f t="shared" si="16"/>
        <v>4077</v>
      </c>
      <c r="I307" s="13" t="s">
        <v>2284</v>
      </c>
    </row>
    <row r="308" customHeight="1" spans="1:10">
      <c r="A308" s="19">
        <v>45918</v>
      </c>
      <c r="B308" s="13" t="s">
        <v>11</v>
      </c>
      <c r="C308" s="13" t="s">
        <v>2297</v>
      </c>
      <c r="D308" s="13" t="s">
        <v>723</v>
      </c>
      <c r="E308" s="13" t="s">
        <v>14</v>
      </c>
      <c r="F308" s="2">
        <v>1210</v>
      </c>
      <c r="G308" s="2">
        <v>1.8</v>
      </c>
      <c r="H308" s="2">
        <f t="shared" si="16"/>
        <v>2178</v>
      </c>
      <c r="I308" s="13" t="s">
        <v>587</v>
      </c>
    </row>
    <row r="309" customHeight="1" spans="1:10">
      <c r="A309" s="19">
        <v>45918</v>
      </c>
      <c r="B309" s="13" t="s">
        <v>11</v>
      </c>
      <c r="C309" s="13" t="s">
        <v>2297</v>
      </c>
      <c r="D309" s="13" t="s">
        <v>586</v>
      </c>
      <c r="E309" s="13" t="s">
        <v>14</v>
      </c>
      <c r="F309" s="2">
        <v>55</v>
      </c>
      <c r="G309" s="2">
        <v>1.9</v>
      </c>
      <c r="H309" s="2">
        <f t="shared" si="16"/>
        <v>104.5</v>
      </c>
      <c r="I309" s="13" t="s">
        <v>15</v>
      </c>
    </row>
    <row r="310" customHeight="1" spans="1:10">
      <c r="A310" s="19">
        <v>45918</v>
      </c>
      <c r="B310" s="13" t="s">
        <v>11</v>
      </c>
      <c r="C310" s="13" t="s">
        <v>2298</v>
      </c>
      <c r="D310" s="13" t="s">
        <v>723</v>
      </c>
      <c r="E310" s="13" t="s">
        <v>14</v>
      </c>
      <c r="F310" s="2">
        <v>850</v>
      </c>
      <c r="G310" s="2">
        <v>1.8</v>
      </c>
      <c r="H310" s="2">
        <f t="shared" si="16"/>
        <v>1530</v>
      </c>
      <c r="I310" s="13" t="s">
        <v>587</v>
      </c>
    </row>
    <row r="311" customHeight="1" spans="1:10">
      <c r="A311" s="19">
        <v>45918</v>
      </c>
      <c r="B311" s="13" t="s">
        <v>11</v>
      </c>
      <c r="C311" s="13" t="s">
        <v>2298</v>
      </c>
      <c r="D311" s="13" t="s">
        <v>256</v>
      </c>
      <c r="E311" s="13" t="s">
        <v>14</v>
      </c>
      <c r="F311" s="2">
        <v>20</v>
      </c>
      <c r="G311" s="2">
        <v>0.73</v>
      </c>
      <c r="H311" s="2">
        <f t="shared" si="16"/>
        <v>14.6</v>
      </c>
      <c r="I311" s="13" t="s">
        <v>133</v>
      </c>
    </row>
    <row r="312" customHeight="1" spans="1:10">
      <c r="A312" s="19">
        <v>45918</v>
      </c>
      <c r="B312" s="13" t="s">
        <v>11</v>
      </c>
      <c r="C312" s="13" t="s">
        <v>2299</v>
      </c>
      <c r="D312" s="13" t="s">
        <v>2272</v>
      </c>
      <c r="E312" s="13" t="s">
        <v>14</v>
      </c>
      <c r="F312" s="2">
        <v>6060</v>
      </c>
      <c r="G312" s="2">
        <v>1.2</v>
      </c>
      <c r="H312" s="2">
        <f t="shared" si="16"/>
        <v>7272</v>
      </c>
      <c r="I312" s="13" t="s">
        <v>503</v>
      </c>
    </row>
    <row r="313" ht="22" customHeight="1" spans="1:10">
      <c r="A313" s="19">
        <v>45918</v>
      </c>
      <c r="B313" s="13" t="s">
        <v>11</v>
      </c>
      <c r="C313" s="13" t="s">
        <v>2299</v>
      </c>
      <c r="D313" s="13" t="s">
        <v>683</v>
      </c>
      <c r="E313" s="13" t="s">
        <v>14</v>
      </c>
      <c r="F313" s="2">
        <v>50</v>
      </c>
      <c r="G313" s="2">
        <v>0.9</v>
      </c>
      <c r="H313" s="2">
        <f t="shared" si="16"/>
        <v>45</v>
      </c>
      <c r="I313" s="13" t="s">
        <v>684</v>
      </c>
      <c r="J313" s="13" t="s">
        <v>46</v>
      </c>
    </row>
    <row r="314" ht="22" customHeight="1" spans="1:10">
      <c r="A314" s="19">
        <v>45919</v>
      </c>
      <c r="B314" s="13" t="s">
        <v>11</v>
      </c>
      <c r="C314" s="13" t="s">
        <v>2300</v>
      </c>
      <c r="D314" s="13" t="s">
        <v>314</v>
      </c>
      <c r="E314" s="13" t="s">
        <v>14</v>
      </c>
      <c r="F314" s="2">
        <v>20000</v>
      </c>
      <c r="G314" s="2">
        <v>1.45</v>
      </c>
      <c r="H314" s="2">
        <f t="shared" si="16"/>
        <v>29000</v>
      </c>
      <c r="I314" s="13" t="s">
        <v>271</v>
      </c>
      <c r="J314" s="13" t="s">
        <v>46</v>
      </c>
    </row>
    <row r="315" ht="22" customHeight="1" spans="1:10">
      <c r="A315" s="19">
        <v>45919</v>
      </c>
      <c r="B315" s="13" t="s">
        <v>11</v>
      </c>
      <c r="C315" s="13" t="s">
        <v>2300</v>
      </c>
      <c r="D315" s="13" t="s">
        <v>493</v>
      </c>
      <c r="E315" s="13" t="s">
        <v>14</v>
      </c>
      <c r="F315" s="2">
        <v>50000</v>
      </c>
      <c r="G315" s="2">
        <v>0.8</v>
      </c>
      <c r="H315" s="2">
        <f t="shared" si="16"/>
        <v>40000</v>
      </c>
      <c r="I315" s="13" t="s">
        <v>271</v>
      </c>
      <c r="J315" s="13" t="s">
        <v>46</v>
      </c>
    </row>
    <row r="316" ht="22" customHeight="1" spans="1:10">
      <c r="A316" s="19">
        <v>45920</v>
      </c>
      <c r="B316" s="13" t="s">
        <v>11</v>
      </c>
      <c r="C316" s="13" t="s">
        <v>2301</v>
      </c>
      <c r="D316" s="13" t="s">
        <v>519</v>
      </c>
      <c r="E316" s="13" t="s">
        <v>14</v>
      </c>
      <c r="F316" s="2">
        <v>53</v>
      </c>
      <c r="G316" s="20">
        <v>1.1</v>
      </c>
      <c r="H316" s="2">
        <f t="shared" si="16"/>
        <v>58.3</v>
      </c>
      <c r="I316" s="13" t="s">
        <v>2302</v>
      </c>
    </row>
    <row r="317" ht="22" customHeight="1" spans="1:10">
      <c r="A317" s="19">
        <v>45922</v>
      </c>
      <c r="B317" s="13" t="s">
        <v>11</v>
      </c>
      <c r="C317" s="13" t="s">
        <v>2303</v>
      </c>
      <c r="D317" s="13" t="s">
        <v>328</v>
      </c>
      <c r="E317" s="13" t="s">
        <v>14</v>
      </c>
      <c r="F317" s="2">
        <v>100</v>
      </c>
      <c r="G317" s="20">
        <v>1.1</v>
      </c>
      <c r="H317" s="2">
        <f t="shared" si="16"/>
        <v>110</v>
      </c>
      <c r="I317" s="13" t="s">
        <v>984</v>
      </c>
    </row>
    <row r="318" ht="22" customHeight="1" spans="1:10">
      <c r="A318" s="19">
        <v>45922</v>
      </c>
      <c r="B318" s="13" t="s">
        <v>11</v>
      </c>
      <c r="C318" s="13" t="s">
        <v>2304</v>
      </c>
      <c r="D318" s="13" t="s">
        <v>1188</v>
      </c>
      <c r="E318" s="13" t="s">
        <v>14</v>
      </c>
      <c r="F318" s="2">
        <v>3000</v>
      </c>
      <c r="G318" s="2">
        <v>1</v>
      </c>
      <c r="H318" s="2">
        <f t="shared" si="16"/>
        <v>3000</v>
      </c>
      <c r="I318" s="13" t="s">
        <v>805</v>
      </c>
    </row>
    <row r="319" ht="22" customHeight="1" spans="1:10">
      <c r="A319" s="19">
        <v>45922</v>
      </c>
      <c r="B319" s="13" t="s">
        <v>11</v>
      </c>
      <c r="C319" s="13" t="s">
        <v>2305</v>
      </c>
      <c r="D319" s="13" t="s">
        <v>288</v>
      </c>
      <c r="E319" s="13" t="s">
        <v>14</v>
      </c>
      <c r="F319" s="2">
        <v>53</v>
      </c>
      <c r="G319" s="2">
        <v>2.4</v>
      </c>
      <c r="H319" s="2">
        <f t="shared" si="16"/>
        <v>127.2</v>
      </c>
      <c r="I319" s="13" t="s">
        <v>28</v>
      </c>
    </row>
    <row r="320" ht="22" customHeight="1" spans="1:10">
      <c r="A320" s="19">
        <v>45922</v>
      </c>
      <c r="B320" s="13" t="s">
        <v>11</v>
      </c>
      <c r="C320" s="13" t="s">
        <v>2305</v>
      </c>
      <c r="D320" s="13" t="s">
        <v>305</v>
      </c>
      <c r="E320" s="13" t="s">
        <v>14</v>
      </c>
      <c r="F320" s="2">
        <v>103</v>
      </c>
      <c r="G320" s="20">
        <v>3.2</v>
      </c>
      <c r="H320" s="2">
        <f t="shared" si="16"/>
        <v>329.6</v>
      </c>
      <c r="I320" s="13" t="s">
        <v>28</v>
      </c>
    </row>
    <row r="321" ht="22" customHeight="1" spans="1:10">
      <c r="A321" s="19">
        <v>45922</v>
      </c>
      <c r="B321" s="13" t="s">
        <v>11</v>
      </c>
      <c r="C321" s="13" t="s">
        <v>2305</v>
      </c>
      <c r="D321" s="13" t="s">
        <v>181</v>
      </c>
      <c r="E321" s="13" t="s">
        <v>14</v>
      </c>
      <c r="F321" s="2">
        <v>33</v>
      </c>
      <c r="G321" s="2">
        <v>2.3</v>
      </c>
      <c r="H321" s="2">
        <f t="shared" si="16"/>
        <v>75.9</v>
      </c>
      <c r="I321" s="13" t="s">
        <v>28</v>
      </c>
    </row>
    <row r="322" ht="22" customHeight="1" spans="1:10">
      <c r="A322" s="19">
        <v>45922</v>
      </c>
      <c r="B322" s="13" t="s">
        <v>11</v>
      </c>
      <c r="C322" s="13" t="s">
        <v>2305</v>
      </c>
      <c r="D322" s="13" t="s">
        <v>398</v>
      </c>
      <c r="E322" s="13" t="s">
        <v>14</v>
      </c>
      <c r="F322" s="2">
        <v>53</v>
      </c>
      <c r="G322" s="2">
        <v>1.1</v>
      </c>
      <c r="H322" s="2">
        <f t="shared" si="16"/>
        <v>58.3</v>
      </c>
      <c r="I322" s="13" t="s">
        <v>28</v>
      </c>
    </row>
    <row r="323" ht="22" customHeight="1" spans="1:10">
      <c r="A323" s="19">
        <v>45922</v>
      </c>
      <c r="B323" s="13" t="s">
        <v>11</v>
      </c>
      <c r="C323" s="13" t="s">
        <v>2304</v>
      </c>
      <c r="D323" s="13" t="s">
        <v>1188</v>
      </c>
      <c r="E323" s="13" t="s">
        <v>14</v>
      </c>
      <c r="F323" s="2">
        <v>3000</v>
      </c>
      <c r="G323" s="2">
        <v>1</v>
      </c>
      <c r="H323" s="2">
        <f t="shared" si="16"/>
        <v>3000</v>
      </c>
      <c r="I323" s="13" t="s">
        <v>805</v>
      </c>
    </row>
    <row r="324" ht="22" customHeight="1" spans="1:10">
      <c r="A324" s="19">
        <v>45922</v>
      </c>
      <c r="B324" s="13" t="s">
        <v>11</v>
      </c>
      <c r="C324" s="13" t="s">
        <v>2306</v>
      </c>
      <c r="D324" s="13" t="s">
        <v>21</v>
      </c>
      <c r="E324" s="13" t="s">
        <v>14</v>
      </c>
      <c r="F324" s="2">
        <v>100000</v>
      </c>
      <c r="G324" s="2">
        <v>0.95</v>
      </c>
      <c r="H324" s="2">
        <f t="shared" ref="H324:H338" si="17">F324*G324</f>
        <v>95000</v>
      </c>
      <c r="I324" s="13" t="s">
        <v>1429</v>
      </c>
    </row>
    <row r="325" ht="22" customHeight="1" spans="1:10">
      <c r="A325" s="19">
        <v>45922</v>
      </c>
      <c r="B325" s="13" t="s">
        <v>11</v>
      </c>
      <c r="C325" s="13" t="s">
        <v>2306</v>
      </c>
      <c r="D325" s="13" t="s">
        <v>1428</v>
      </c>
      <c r="E325" s="13" t="s">
        <v>14</v>
      </c>
      <c r="F325" s="2">
        <v>50000</v>
      </c>
      <c r="G325" s="2">
        <v>1.3</v>
      </c>
      <c r="H325" s="2">
        <f t="shared" si="17"/>
        <v>65000</v>
      </c>
      <c r="I325" s="13" t="s">
        <v>1429</v>
      </c>
    </row>
    <row r="326" ht="22" customHeight="1" spans="1:10">
      <c r="A326" s="19">
        <v>45922</v>
      </c>
      <c r="B326" s="13" t="s">
        <v>11</v>
      </c>
      <c r="C326" s="13" t="s">
        <v>2306</v>
      </c>
      <c r="D326" s="13" t="s">
        <v>823</v>
      </c>
      <c r="E326" s="13" t="s">
        <v>14</v>
      </c>
      <c r="F326" s="2">
        <v>30000</v>
      </c>
      <c r="G326" s="2">
        <v>1.4</v>
      </c>
      <c r="H326" s="2">
        <f t="shared" si="17"/>
        <v>42000</v>
      </c>
      <c r="I326" s="13" t="s">
        <v>271</v>
      </c>
    </row>
    <row r="327" ht="22" customHeight="1" spans="1:10">
      <c r="A327" s="19">
        <v>45922</v>
      </c>
      <c r="B327" s="13" t="s">
        <v>11</v>
      </c>
      <c r="C327" s="13" t="s">
        <v>2306</v>
      </c>
      <c r="D327" s="13" t="s">
        <v>2277</v>
      </c>
      <c r="E327" s="13" t="s">
        <v>14</v>
      </c>
      <c r="F327" s="2">
        <v>36200</v>
      </c>
      <c r="G327" s="2">
        <v>0.93</v>
      </c>
      <c r="H327" s="2">
        <f t="shared" si="17"/>
        <v>33666</v>
      </c>
      <c r="I327" s="13" t="s">
        <v>1546</v>
      </c>
    </row>
    <row r="328" ht="22" customHeight="1" spans="1:10">
      <c r="A328" s="19">
        <v>45922</v>
      </c>
      <c r="B328" s="13" t="s">
        <v>11</v>
      </c>
      <c r="C328" s="13" t="s">
        <v>2306</v>
      </c>
      <c r="D328" s="13" t="s">
        <v>38</v>
      </c>
      <c r="E328" s="13" t="s">
        <v>14</v>
      </c>
      <c r="F328" s="2">
        <v>20000</v>
      </c>
      <c r="G328" s="2">
        <v>1.3</v>
      </c>
      <c r="H328" s="2">
        <f t="shared" si="17"/>
        <v>26000</v>
      </c>
      <c r="I328" s="13" t="s">
        <v>61</v>
      </c>
    </row>
    <row r="329" ht="22" customHeight="1" spans="1:10">
      <c r="A329" s="19">
        <v>45922</v>
      </c>
      <c r="B329" s="13" t="s">
        <v>11</v>
      </c>
      <c r="C329" s="13" t="s">
        <v>2306</v>
      </c>
      <c r="D329" s="13" t="s">
        <v>18</v>
      </c>
      <c r="E329" s="13" t="s">
        <v>14</v>
      </c>
      <c r="F329" s="2">
        <v>20000</v>
      </c>
      <c r="G329" s="2">
        <v>0.7</v>
      </c>
      <c r="H329" s="2">
        <f t="shared" si="17"/>
        <v>14000</v>
      </c>
      <c r="I329" s="13" t="s">
        <v>61</v>
      </c>
    </row>
    <row r="330" ht="22" customHeight="1" spans="1:10">
      <c r="A330" s="19">
        <v>45922</v>
      </c>
      <c r="B330" s="13" t="s">
        <v>11</v>
      </c>
      <c r="C330" s="13" t="s">
        <v>2306</v>
      </c>
      <c r="D330" s="13" t="s">
        <v>84</v>
      </c>
      <c r="E330" s="13" t="s">
        <v>14</v>
      </c>
      <c r="F330" s="2">
        <v>4750</v>
      </c>
      <c r="G330" s="2">
        <v>1</v>
      </c>
      <c r="H330" s="2">
        <f t="shared" si="17"/>
        <v>4750</v>
      </c>
      <c r="I330" s="13" t="s">
        <v>466</v>
      </c>
    </row>
    <row r="331" ht="22" customHeight="1" spans="1:10">
      <c r="A331" s="19">
        <v>45922</v>
      </c>
      <c r="B331" s="13" t="s">
        <v>11</v>
      </c>
      <c r="C331" s="13" t="s">
        <v>2306</v>
      </c>
      <c r="D331" s="13" t="s">
        <v>493</v>
      </c>
      <c r="E331" s="13" t="s">
        <v>14</v>
      </c>
      <c r="F331" s="2">
        <v>50000</v>
      </c>
      <c r="G331" s="2">
        <v>0.8</v>
      </c>
      <c r="H331" s="2">
        <f t="shared" si="17"/>
        <v>40000</v>
      </c>
      <c r="I331" s="13" t="s">
        <v>271</v>
      </c>
    </row>
    <row r="332" ht="22" customHeight="1" spans="1:10">
      <c r="A332" s="19">
        <v>45923</v>
      </c>
      <c r="B332" s="13" t="s">
        <v>11</v>
      </c>
      <c r="C332" s="13" t="s">
        <v>2307</v>
      </c>
      <c r="D332" s="13" t="s">
        <v>368</v>
      </c>
      <c r="E332" s="13" t="s">
        <v>14</v>
      </c>
      <c r="F332" s="2">
        <v>5000</v>
      </c>
      <c r="G332" s="2">
        <v>0.75</v>
      </c>
      <c r="H332" s="2">
        <f t="shared" si="17"/>
        <v>3750</v>
      </c>
      <c r="I332" s="13" t="s">
        <v>570</v>
      </c>
    </row>
    <row r="333" ht="22" customHeight="1" spans="1:10">
      <c r="A333" s="19">
        <v>45926</v>
      </c>
      <c r="B333" s="13" t="s">
        <v>11</v>
      </c>
      <c r="C333" s="13" t="s">
        <v>2308</v>
      </c>
      <c r="D333" s="13" t="s">
        <v>1428</v>
      </c>
      <c r="E333" s="13" t="s">
        <v>14</v>
      </c>
      <c r="F333" s="2">
        <v>100000</v>
      </c>
      <c r="G333" s="2">
        <v>1.3</v>
      </c>
      <c r="H333" s="2">
        <f t="shared" si="17"/>
        <v>130000</v>
      </c>
      <c r="I333" s="13" t="s">
        <v>1429</v>
      </c>
      <c r="J333" s="13" t="s">
        <v>46</v>
      </c>
    </row>
    <row r="334" ht="22" customHeight="1" spans="1:10">
      <c r="A334" s="19">
        <v>45926</v>
      </c>
      <c r="B334" s="13" t="s">
        <v>11</v>
      </c>
      <c r="C334" s="13" t="s">
        <v>2308</v>
      </c>
      <c r="D334" s="13" t="s">
        <v>823</v>
      </c>
      <c r="E334" s="13" t="s">
        <v>14</v>
      </c>
      <c r="F334" s="2">
        <v>20000</v>
      </c>
      <c r="G334" s="2">
        <v>1.4</v>
      </c>
      <c r="H334" s="2">
        <f t="shared" si="17"/>
        <v>28000</v>
      </c>
      <c r="I334" s="13" t="s">
        <v>271</v>
      </c>
      <c r="J334" s="13" t="s">
        <v>46</v>
      </c>
    </row>
    <row r="335" ht="22" customHeight="1" spans="1:10">
      <c r="A335" s="19">
        <v>45926</v>
      </c>
      <c r="B335" s="13" t="s">
        <v>11</v>
      </c>
      <c r="C335" s="13" t="s">
        <v>2308</v>
      </c>
      <c r="D335" s="13" t="s">
        <v>47</v>
      </c>
      <c r="E335" s="13" t="s">
        <v>14</v>
      </c>
      <c r="F335" s="2">
        <v>41170</v>
      </c>
      <c r="G335" s="2">
        <v>0.95</v>
      </c>
      <c r="H335" s="2">
        <f t="shared" si="17"/>
        <v>39111.5</v>
      </c>
      <c r="I335" s="13" t="s">
        <v>2258</v>
      </c>
      <c r="J335" s="13" t="s">
        <v>46</v>
      </c>
    </row>
    <row r="336" ht="22" customHeight="1" spans="1:10">
      <c r="A336" s="19">
        <v>45927</v>
      </c>
      <c r="B336" s="13" t="s">
        <v>11</v>
      </c>
      <c r="C336" s="13" t="s">
        <v>2309</v>
      </c>
      <c r="D336" s="13" t="s">
        <v>368</v>
      </c>
      <c r="E336" s="13" t="s">
        <v>14</v>
      </c>
      <c r="F336" s="2">
        <v>40000</v>
      </c>
      <c r="G336" s="2">
        <v>0.75</v>
      </c>
      <c r="H336" s="2">
        <f t="shared" si="17"/>
        <v>30000</v>
      </c>
      <c r="I336" s="13" t="s">
        <v>61</v>
      </c>
      <c r="J336" s="13" t="s">
        <v>46</v>
      </c>
    </row>
    <row r="337" ht="22" customHeight="1" spans="1:10">
      <c r="A337" s="19">
        <v>45927</v>
      </c>
      <c r="B337" s="13" t="s">
        <v>11</v>
      </c>
      <c r="C337" s="13" t="s">
        <v>2310</v>
      </c>
      <c r="D337" s="13" t="s">
        <v>399</v>
      </c>
      <c r="E337" s="13" t="s">
        <v>14</v>
      </c>
      <c r="F337" s="2">
        <v>20000</v>
      </c>
      <c r="G337" s="2">
        <v>1.1</v>
      </c>
      <c r="H337" s="2">
        <f t="shared" si="17"/>
        <v>22000</v>
      </c>
      <c r="I337" s="13" t="s">
        <v>61</v>
      </c>
      <c r="J337" s="13" t="s">
        <v>46</v>
      </c>
    </row>
    <row r="338" ht="22" customHeight="1" spans="1:10">
      <c r="A338" s="19">
        <v>45928</v>
      </c>
      <c r="B338" s="13" t="s">
        <v>11</v>
      </c>
      <c r="C338" s="13" t="s">
        <v>2311</v>
      </c>
      <c r="D338" s="13" t="s">
        <v>2312</v>
      </c>
      <c r="E338" s="13" t="s">
        <v>14</v>
      </c>
      <c r="F338" s="2">
        <v>202</v>
      </c>
      <c r="G338" s="2">
        <v>1.15</v>
      </c>
      <c r="H338" s="2">
        <f t="shared" si="17"/>
        <v>232.3</v>
      </c>
      <c r="I338" s="13" t="s">
        <v>432</v>
      </c>
    </row>
    <row r="339" customHeight="1" spans="1:10">
      <c r="A339" s="19">
        <v>45903</v>
      </c>
      <c r="B339" s="13" t="s">
        <v>150</v>
      </c>
      <c r="D339" s="13" t="s">
        <v>233</v>
      </c>
      <c r="E339" s="13" t="s">
        <v>99</v>
      </c>
      <c r="F339" s="2">
        <v>3005</v>
      </c>
      <c r="G339" s="2">
        <v>1</v>
      </c>
      <c r="H339" s="2">
        <f t="shared" ref="H339:H355" si="18">F339*G339</f>
        <v>3005</v>
      </c>
      <c r="I339" s="13" t="s">
        <v>363</v>
      </c>
      <c r="J339" s="13" t="s">
        <v>2313</v>
      </c>
    </row>
    <row r="340" customHeight="1" spans="1:10">
      <c r="A340" s="19">
        <v>45915</v>
      </c>
      <c r="B340" s="13" t="s">
        <v>150</v>
      </c>
      <c r="D340" s="13" t="s">
        <v>233</v>
      </c>
      <c r="E340" s="13" t="s">
        <v>14</v>
      </c>
      <c r="F340" s="2">
        <v>3110</v>
      </c>
      <c r="G340" s="2">
        <v>0.8</v>
      </c>
      <c r="H340" s="2">
        <f t="shared" si="18"/>
        <v>2488</v>
      </c>
      <c r="I340" s="13" t="s">
        <v>45</v>
      </c>
    </row>
    <row r="341" customHeight="1" spans="1:10">
      <c r="A341" s="19">
        <v>45916</v>
      </c>
      <c r="B341" s="13" t="s">
        <v>150</v>
      </c>
      <c r="D341" s="13" t="s">
        <v>233</v>
      </c>
      <c r="E341" s="13" t="s">
        <v>14</v>
      </c>
      <c r="F341" s="2">
        <v>1555</v>
      </c>
      <c r="G341" s="2">
        <v>0.8</v>
      </c>
      <c r="H341" s="2">
        <f t="shared" si="18"/>
        <v>1244</v>
      </c>
      <c r="I341" s="13" t="s">
        <v>363</v>
      </c>
    </row>
    <row r="342" customHeight="1" spans="1:10">
      <c r="A342" s="19">
        <v>45925</v>
      </c>
      <c r="B342" s="13" t="s">
        <v>150</v>
      </c>
      <c r="D342" s="13" t="s">
        <v>233</v>
      </c>
      <c r="E342" s="13" t="s">
        <v>14</v>
      </c>
      <c r="F342" s="2">
        <v>1525</v>
      </c>
      <c r="G342" s="2">
        <v>0.8</v>
      </c>
      <c r="H342" s="2">
        <f t="shared" si="18"/>
        <v>1220</v>
      </c>
      <c r="I342" s="13" t="s">
        <v>363</v>
      </c>
    </row>
    <row r="343" customHeight="1" spans="1:10">
      <c r="A343" s="19">
        <v>45898</v>
      </c>
      <c r="B343" s="13" t="s">
        <v>2314</v>
      </c>
      <c r="D343" s="13" t="s">
        <v>2315</v>
      </c>
      <c r="E343" s="13" t="s">
        <v>111</v>
      </c>
      <c r="F343" s="13">
        <v>300100</v>
      </c>
      <c r="G343" s="13">
        <v>0.46</v>
      </c>
      <c r="H343" s="13">
        <f t="shared" si="18"/>
        <v>138046</v>
      </c>
      <c r="I343" s="13" t="s">
        <v>243</v>
      </c>
      <c r="J343" s="13" t="s">
        <v>1135</v>
      </c>
    </row>
    <row r="344" customHeight="1" spans="1:10">
      <c r="A344" s="19">
        <v>45902</v>
      </c>
      <c r="B344" s="13" t="s">
        <v>539</v>
      </c>
      <c r="C344" s="13" t="s">
        <v>2316</v>
      </c>
      <c r="D344" s="13" t="s">
        <v>2317</v>
      </c>
      <c r="E344" s="13" t="s">
        <v>111</v>
      </c>
      <c r="F344" s="13">
        <v>6520</v>
      </c>
      <c r="G344" s="13">
        <v>0.5</v>
      </c>
      <c r="H344" s="13">
        <f t="shared" si="18"/>
        <v>3260</v>
      </c>
      <c r="I344" s="13" t="s">
        <v>243</v>
      </c>
      <c r="J344" s="13" t="s">
        <v>1135</v>
      </c>
    </row>
    <row r="345" customHeight="1" spans="1:10">
      <c r="A345" s="19">
        <v>45902</v>
      </c>
      <c r="B345" s="13" t="s">
        <v>539</v>
      </c>
      <c r="C345" s="13" t="s">
        <v>2316</v>
      </c>
      <c r="D345" s="13" t="s">
        <v>2077</v>
      </c>
      <c r="E345" s="13" t="s">
        <v>111</v>
      </c>
      <c r="F345" s="13">
        <v>20000</v>
      </c>
      <c r="G345" s="13">
        <v>0.66</v>
      </c>
      <c r="H345" s="13">
        <f t="shared" si="18"/>
        <v>13200</v>
      </c>
      <c r="I345" s="13" t="s">
        <v>243</v>
      </c>
      <c r="J345" s="13" t="s">
        <v>1135</v>
      </c>
    </row>
    <row r="346" customHeight="1" spans="1:10">
      <c r="A346" s="19">
        <v>45907</v>
      </c>
      <c r="B346" s="13" t="s">
        <v>539</v>
      </c>
      <c r="C346" s="13" t="s">
        <v>2318</v>
      </c>
      <c r="D346" s="13" t="s">
        <v>2317</v>
      </c>
      <c r="E346" s="13" t="s">
        <v>111</v>
      </c>
      <c r="F346" s="13">
        <v>71500</v>
      </c>
      <c r="G346" s="13">
        <v>0.5</v>
      </c>
      <c r="H346" s="13">
        <f t="shared" si="18"/>
        <v>35750</v>
      </c>
      <c r="I346" s="13" t="s">
        <v>243</v>
      </c>
    </row>
    <row r="347" customHeight="1" spans="1:10">
      <c r="A347" s="19">
        <v>45900</v>
      </c>
      <c r="B347" s="13" t="s">
        <v>1407</v>
      </c>
      <c r="C347" s="89" t="s">
        <v>2319</v>
      </c>
      <c r="D347" s="13" t="s">
        <v>76</v>
      </c>
      <c r="E347" s="13" t="s">
        <v>60</v>
      </c>
      <c r="F347" s="2">
        <v>7062</v>
      </c>
      <c r="G347" s="2">
        <v>0.42</v>
      </c>
      <c r="H347" s="2">
        <f t="shared" si="18"/>
        <v>2966.04</v>
      </c>
      <c r="I347" s="13" t="s">
        <v>1465</v>
      </c>
    </row>
    <row r="348" customHeight="1" spans="1:10">
      <c r="A348" s="19">
        <v>45900</v>
      </c>
      <c r="B348" s="13" t="s">
        <v>1407</v>
      </c>
      <c r="C348" s="89" t="s">
        <v>2319</v>
      </c>
      <c r="D348" s="13" t="s">
        <v>76</v>
      </c>
      <c r="E348" s="13" t="s">
        <v>60</v>
      </c>
      <c r="F348" s="2">
        <v>19232</v>
      </c>
      <c r="G348" s="2">
        <v>0.42</v>
      </c>
      <c r="H348" s="2">
        <f t="shared" si="18"/>
        <v>8077.44</v>
      </c>
      <c r="I348" s="13" t="s">
        <v>1465</v>
      </c>
    </row>
    <row r="349" customHeight="1" spans="1:10">
      <c r="A349" s="19">
        <v>45902</v>
      </c>
      <c r="B349" s="13" t="s">
        <v>1407</v>
      </c>
      <c r="C349" s="89" t="s">
        <v>2319</v>
      </c>
      <c r="D349" s="13" t="s">
        <v>76</v>
      </c>
      <c r="E349" s="13" t="s">
        <v>60</v>
      </c>
      <c r="F349" s="2">
        <v>1195</v>
      </c>
      <c r="G349" s="2">
        <v>0.42</v>
      </c>
      <c r="H349" s="2">
        <f t="shared" si="18"/>
        <v>501.9</v>
      </c>
      <c r="I349" s="13" t="s">
        <v>1465</v>
      </c>
    </row>
    <row r="350" customHeight="1" spans="1:10">
      <c r="A350" s="19">
        <v>45916</v>
      </c>
      <c r="B350" s="13" t="s">
        <v>1407</v>
      </c>
      <c r="C350" s="89" t="s">
        <v>2320</v>
      </c>
      <c r="D350" s="13" t="s">
        <v>76</v>
      </c>
      <c r="E350" s="13" t="s">
        <v>60</v>
      </c>
      <c r="F350" s="2">
        <v>18900</v>
      </c>
      <c r="G350" s="2">
        <v>0.42</v>
      </c>
      <c r="H350" s="2">
        <f t="shared" si="18"/>
        <v>7938</v>
      </c>
      <c r="I350" s="13" t="s">
        <v>1465</v>
      </c>
    </row>
    <row r="351" customHeight="1" spans="1:10">
      <c r="A351" s="19">
        <v>45916</v>
      </c>
      <c r="B351" s="13" t="s">
        <v>1407</v>
      </c>
      <c r="C351" s="89" t="s">
        <v>2320</v>
      </c>
      <c r="D351" s="13" t="s">
        <v>148</v>
      </c>
      <c r="E351" s="13" t="s">
        <v>2321</v>
      </c>
      <c r="F351" s="2">
        <v>10360</v>
      </c>
      <c r="G351" s="2">
        <v>0.53</v>
      </c>
      <c r="H351" s="2">
        <f t="shared" si="18"/>
        <v>5490.8</v>
      </c>
      <c r="I351" s="13" t="s">
        <v>77</v>
      </c>
    </row>
    <row r="352" customHeight="1" spans="1:10">
      <c r="A352" s="19">
        <v>45918</v>
      </c>
      <c r="B352" s="13" t="s">
        <v>1407</v>
      </c>
      <c r="C352" s="89" t="s">
        <v>2322</v>
      </c>
      <c r="D352" s="13" t="s">
        <v>2073</v>
      </c>
      <c r="E352" s="13" t="s">
        <v>2321</v>
      </c>
      <c r="F352" s="2">
        <v>8190</v>
      </c>
      <c r="G352" s="2">
        <v>0.52</v>
      </c>
      <c r="H352" s="2">
        <f t="shared" si="18"/>
        <v>4258.8</v>
      </c>
      <c r="I352" s="13" t="s">
        <v>77</v>
      </c>
    </row>
    <row r="353" customHeight="1" spans="1:11">
      <c r="A353" s="19">
        <v>45918</v>
      </c>
      <c r="B353" s="13" t="s">
        <v>1407</v>
      </c>
      <c r="C353" s="89" t="s">
        <v>2322</v>
      </c>
      <c r="D353" s="13" t="s">
        <v>115</v>
      </c>
      <c r="E353" s="13" t="s">
        <v>2321</v>
      </c>
      <c r="F353" s="2">
        <v>4005</v>
      </c>
      <c r="G353" s="2">
        <v>0.52</v>
      </c>
      <c r="H353" s="2">
        <f t="shared" si="18"/>
        <v>2082.6</v>
      </c>
      <c r="I353" s="13" t="s">
        <v>77</v>
      </c>
    </row>
    <row r="354" customHeight="1" spans="1:11">
      <c r="A354" s="19">
        <v>45923</v>
      </c>
      <c r="B354" s="13" t="s">
        <v>1407</v>
      </c>
      <c r="C354" s="89" t="s">
        <v>2323</v>
      </c>
      <c r="D354" s="13" t="s">
        <v>115</v>
      </c>
      <c r="E354" s="13" t="s">
        <v>60</v>
      </c>
      <c r="F354" s="2">
        <v>10010</v>
      </c>
      <c r="G354" s="2">
        <v>0.42</v>
      </c>
      <c r="H354" s="2">
        <f t="shared" si="18"/>
        <v>4204.2</v>
      </c>
      <c r="I354" s="13" t="s">
        <v>126</v>
      </c>
    </row>
    <row r="355" customHeight="1" spans="1:11">
      <c r="A355" s="19">
        <v>45929</v>
      </c>
      <c r="B355" s="13" t="s">
        <v>1407</v>
      </c>
      <c r="C355" s="89" t="s">
        <v>2324</v>
      </c>
      <c r="D355" s="13" t="s">
        <v>76</v>
      </c>
      <c r="E355" s="13" t="s">
        <v>60</v>
      </c>
      <c r="F355" s="2">
        <v>12080</v>
      </c>
      <c r="G355" s="2">
        <v>0.42</v>
      </c>
      <c r="H355" s="2">
        <f t="shared" si="18"/>
        <v>5073.6</v>
      </c>
      <c r="I355" s="13" t="s">
        <v>1465</v>
      </c>
    </row>
    <row r="356" customHeight="1" spans="1:11">
      <c r="A356" s="19">
        <v>45897</v>
      </c>
      <c r="B356" s="13" t="s">
        <v>260</v>
      </c>
      <c r="C356" s="13" t="s">
        <v>2325</v>
      </c>
      <c r="D356" s="13" t="s">
        <v>1428</v>
      </c>
      <c r="E356" s="13" t="s">
        <v>14</v>
      </c>
      <c r="F356" s="13">
        <v>32000</v>
      </c>
      <c r="G356" s="13">
        <v>1.35</v>
      </c>
      <c r="H356" s="13">
        <f t="shared" ref="H356:H387" si="19">F356*G356</f>
        <v>43200</v>
      </c>
      <c r="I356" s="13" t="s">
        <v>1429</v>
      </c>
      <c r="J356" s="13" t="s">
        <v>46</v>
      </c>
      <c r="K356" s="13" t="s">
        <v>1135</v>
      </c>
    </row>
    <row r="357" customHeight="1" spans="1:11">
      <c r="A357" s="19">
        <v>45899</v>
      </c>
      <c r="B357" s="13" t="s">
        <v>260</v>
      </c>
      <c r="C357" s="13" t="s">
        <v>2326</v>
      </c>
      <c r="D357" s="13" t="s">
        <v>188</v>
      </c>
      <c r="E357" s="13" t="s">
        <v>14</v>
      </c>
      <c r="F357" s="13">
        <v>7500</v>
      </c>
      <c r="G357" s="13">
        <v>1.05</v>
      </c>
      <c r="H357" s="13">
        <f t="shared" si="19"/>
        <v>7875</v>
      </c>
      <c r="I357" s="13" t="s">
        <v>189</v>
      </c>
      <c r="J357" s="13" t="s">
        <v>46</v>
      </c>
      <c r="K357" s="13" t="s">
        <v>1135</v>
      </c>
    </row>
    <row r="358" customHeight="1" spans="1:11">
      <c r="A358" s="19">
        <v>45904</v>
      </c>
      <c r="B358" s="13" t="s">
        <v>260</v>
      </c>
      <c r="C358" s="13" t="s">
        <v>2327</v>
      </c>
      <c r="D358" s="13" t="s">
        <v>188</v>
      </c>
      <c r="E358" s="13" t="s">
        <v>14</v>
      </c>
      <c r="F358" s="13">
        <v>4350</v>
      </c>
      <c r="G358" s="13">
        <v>1.05</v>
      </c>
      <c r="H358" s="13">
        <f t="shared" si="19"/>
        <v>4567.5</v>
      </c>
      <c r="I358" s="13" t="s">
        <v>189</v>
      </c>
      <c r="K358" s="13" t="s">
        <v>1135</v>
      </c>
    </row>
    <row r="359" customHeight="1" spans="1:11">
      <c r="A359" s="19">
        <v>45905</v>
      </c>
      <c r="B359" s="13" t="s">
        <v>260</v>
      </c>
      <c r="C359" s="13" t="s">
        <v>2328</v>
      </c>
      <c r="D359" s="13" t="s">
        <v>1345</v>
      </c>
      <c r="E359" s="13" t="s">
        <v>14</v>
      </c>
      <c r="F359" s="13">
        <v>200</v>
      </c>
      <c r="G359" s="13">
        <v>0.85</v>
      </c>
      <c r="H359" s="13">
        <f t="shared" si="19"/>
        <v>170</v>
      </c>
      <c r="I359" s="13" t="s">
        <v>330</v>
      </c>
      <c r="J359" s="13" t="s">
        <v>1135</v>
      </c>
      <c r="K359" s="13" t="s">
        <v>1135</v>
      </c>
    </row>
    <row r="360" customHeight="1" spans="1:11">
      <c r="A360" s="19">
        <v>45895</v>
      </c>
      <c r="B360" s="13" t="s">
        <v>521</v>
      </c>
      <c r="C360" s="21" t="s">
        <v>2329</v>
      </c>
      <c r="D360" s="21" t="s">
        <v>256</v>
      </c>
      <c r="E360" s="21" t="s">
        <v>14</v>
      </c>
      <c r="F360" s="13">
        <v>25000</v>
      </c>
      <c r="G360" s="13">
        <v>0.7</v>
      </c>
      <c r="H360" s="13">
        <f t="shared" si="19"/>
        <v>17500</v>
      </c>
      <c r="I360" s="13" t="s">
        <v>271</v>
      </c>
      <c r="J360" s="13" t="s">
        <v>46</v>
      </c>
    </row>
    <row r="361" customHeight="1" spans="1:11">
      <c r="A361" s="19">
        <v>45895</v>
      </c>
      <c r="B361" s="13" t="s">
        <v>521</v>
      </c>
      <c r="C361" s="21" t="s">
        <v>2329</v>
      </c>
      <c r="D361" s="21" t="s">
        <v>374</v>
      </c>
      <c r="E361" s="21" t="s">
        <v>14</v>
      </c>
      <c r="F361" s="13">
        <v>17922</v>
      </c>
      <c r="G361" s="13">
        <v>0.85</v>
      </c>
      <c r="H361" s="13">
        <f t="shared" si="19"/>
        <v>15233.7</v>
      </c>
      <c r="I361" s="13" t="s">
        <v>271</v>
      </c>
      <c r="J361" s="13" t="s">
        <v>46</v>
      </c>
      <c r="K361" s="13" t="s">
        <v>1135</v>
      </c>
    </row>
    <row r="362" customHeight="1" spans="1:11">
      <c r="A362" s="19">
        <v>45901</v>
      </c>
      <c r="B362" s="13" t="s">
        <v>521</v>
      </c>
      <c r="C362" s="21" t="s">
        <v>2330</v>
      </c>
      <c r="D362" s="13" t="s">
        <v>2263</v>
      </c>
      <c r="E362" s="21" t="s">
        <v>14</v>
      </c>
      <c r="F362" s="13">
        <v>25000</v>
      </c>
      <c r="G362" s="13">
        <v>1.05</v>
      </c>
      <c r="H362" s="13">
        <f t="shared" si="19"/>
        <v>26250</v>
      </c>
      <c r="I362" s="13" t="s">
        <v>857</v>
      </c>
      <c r="J362" s="13" t="s">
        <v>46</v>
      </c>
      <c r="K362" s="13" t="s">
        <v>1135</v>
      </c>
    </row>
    <row r="363" customHeight="1" spans="1:11">
      <c r="A363" s="19">
        <v>45898</v>
      </c>
      <c r="B363" s="13" t="s">
        <v>174</v>
      </c>
      <c r="C363" s="13">
        <v>1549777</v>
      </c>
      <c r="D363" s="21" t="s">
        <v>130</v>
      </c>
      <c r="E363" s="21" t="s">
        <v>60</v>
      </c>
      <c r="F363" s="13">
        <v>6475</v>
      </c>
      <c r="G363" s="13">
        <v>0.4</v>
      </c>
      <c r="H363" s="13">
        <f t="shared" si="19"/>
        <v>2590</v>
      </c>
      <c r="I363" s="13" t="s">
        <v>363</v>
      </c>
    </row>
    <row r="364" customHeight="1" spans="1:11">
      <c r="A364" s="19">
        <v>45903</v>
      </c>
      <c r="B364" s="13" t="s">
        <v>174</v>
      </c>
      <c r="C364" s="13">
        <v>1549778</v>
      </c>
      <c r="D364" s="21" t="s">
        <v>130</v>
      </c>
      <c r="E364" s="21" t="s">
        <v>60</v>
      </c>
      <c r="F364" s="13">
        <v>3260</v>
      </c>
      <c r="G364" s="13">
        <v>0.45</v>
      </c>
      <c r="H364" s="13">
        <f t="shared" si="19"/>
        <v>1467</v>
      </c>
      <c r="I364" s="13" t="s">
        <v>35</v>
      </c>
    </row>
    <row r="365" customHeight="1" spans="1:11">
      <c r="A365" s="19">
        <v>45903</v>
      </c>
      <c r="B365" s="13" t="s">
        <v>194</v>
      </c>
      <c r="D365" s="13" t="s">
        <v>729</v>
      </c>
      <c r="E365" s="21" t="s">
        <v>60</v>
      </c>
      <c r="F365" s="2">
        <v>6425</v>
      </c>
      <c r="G365" s="2">
        <v>0.77</v>
      </c>
      <c r="H365" s="2">
        <f t="shared" si="19"/>
        <v>4947.25</v>
      </c>
      <c r="I365" s="13" t="s">
        <v>205</v>
      </c>
    </row>
    <row r="366" customHeight="1" spans="1:11">
      <c r="A366" s="19">
        <v>45903</v>
      </c>
      <c r="B366" s="13" t="s">
        <v>194</v>
      </c>
      <c r="D366" s="13" t="s">
        <v>195</v>
      </c>
      <c r="E366" s="21" t="s">
        <v>60</v>
      </c>
      <c r="F366" s="2">
        <v>2065</v>
      </c>
      <c r="G366" s="2">
        <v>0.73</v>
      </c>
      <c r="H366" s="2">
        <f t="shared" si="19"/>
        <v>1507.45</v>
      </c>
      <c r="I366" s="13" t="s">
        <v>126</v>
      </c>
    </row>
    <row r="367" customHeight="1" spans="1:11">
      <c r="A367" s="19">
        <v>45903</v>
      </c>
      <c r="B367" s="13" t="s">
        <v>194</v>
      </c>
      <c r="D367" s="13" t="s">
        <v>201</v>
      </c>
      <c r="E367" s="21" t="s">
        <v>123</v>
      </c>
      <c r="F367" s="2">
        <v>3205</v>
      </c>
      <c r="G367" s="2">
        <v>1.13</v>
      </c>
      <c r="H367" s="2">
        <f t="shared" si="19"/>
        <v>3621.65</v>
      </c>
      <c r="I367" s="13" t="s">
        <v>205</v>
      </c>
    </row>
    <row r="368" customHeight="1" spans="1:11">
      <c r="A368" s="19">
        <v>45903</v>
      </c>
      <c r="B368" s="13" t="s">
        <v>194</v>
      </c>
      <c r="D368" s="13" t="s">
        <v>198</v>
      </c>
      <c r="E368" s="13" t="s">
        <v>124</v>
      </c>
      <c r="F368" s="2">
        <v>5010</v>
      </c>
      <c r="G368" s="2">
        <v>1.05</v>
      </c>
      <c r="H368" s="2">
        <f t="shared" si="19"/>
        <v>5260.5</v>
      </c>
      <c r="I368" s="13" t="s">
        <v>193</v>
      </c>
    </row>
    <row r="369" customHeight="1" spans="1:10">
      <c r="A369" s="19">
        <v>45903</v>
      </c>
      <c r="B369" s="13" t="s">
        <v>194</v>
      </c>
      <c r="D369" s="13" t="s">
        <v>198</v>
      </c>
      <c r="E369" s="13" t="s">
        <v>124</v>
      </c>
      <c r="F369" s="2">
        <v>2006</v>
      </c>
      <c r="G369" s="2">
        <v>1.05</v>
      </c>
      <c r="H369" s="2">
        <f t="shared" si="19"/>
        <v>2106.3</v>
      </c>
      <c r="I369" s="13" t="s">
        <v>208</v>
      </c>
    </row>
    <row r="370" customHeight="1" spans="1:10">
      <c r="A370" s="19">
        <v>45904</v>
      </c>
      <c r="B370" s="13" t="s">
        <v>194</v>
      </c>
      <c r="D370" s="13" t="s">
        <v>196</v>
      </c>
      <c r="E370" s="21" t="s">
        <v>123</v>
      </c>
      <c r="F370" s="2">
        <v>3651</v>
      </c>
      <c r="G370" s="2">
        <v>0.78</v>
      </c>
      <c r="H370" s="2">
        <f t="shared" si="19"/>
        <v>2847.78</v>
      </c>
      <c r="I370" s="13" t="s">
        <v>738</v>
      </c>
    </row>
    <row r="371" customHeight="1" spans="1:10">
      <c r="A371" s="19">
        <v>45904</v>
      </c>
      <c r="B371" s="13" t="s">
        <v>194</v>
      </c>
      <c r="D371" s="13" t="s">
        <v>198</v>
      </c>
      <c r="E371" s="13" t="s">
        <v>2331</v>
      </c>
      <c r="F371" s="2">
        <v>15010</v>
      </c>
      <c r="G371" s="2">
        <v>1.05</v>
      </c>
      <c r="H371" s="2">
        <f t="shared" si="19"/>
        <v>15760.5</v>
      </c>
      <c r="I371" s="13" t="s">
        <v>193</v>
      </c>
    </row>
    <row r="372" customHeight="1" spans="1:10">
      <c r="A372" s="19">
        <v>45907</v>
      </c>
      <c r="B372" s="13" t="s">
        <v>194</v>
      </c>
      <c r="D372" s="13" t="s">
        <v>198</v>
      </c>
      <c r="E372" s="13" t="s">
        <v>116</v>
      </c>
      <c r="F372" s="2">
        <v>22500</v>
      </c>
      <c r="G372" s="2">
        <v>1.05</v>
      </c>
      <c r="H372" s="2">
        <f t="shared" si="19"/>
        <v>23625</v>
      </c>
      <c r="I372" s="13" t="s">
        <v>200</v>
      </c>
    </row>
    <row r="373" customHeight="1" spans="1:10">
      <c r="A373" s="19">
        <v>45908</v>
      </c>
      <c r="B373" s="13" t="s">
        <v>194</v>
      </c>
      <c r="D373" s="13" t="s">
        <v>198</v>
      </c>
      <c r="E373" s="13" t="s">
        <v>116</v>
      </c>
      <c r="F373" s="2">
        <v>7618</v>
      </c>
      <c r="G373" s="2">
        <v>1.05</v>
      </c>
      <c r="H373" s="2">
        <f t="shared" si="19"/>
        <v>7998.9</v>
      </c>
      <c r="I373" s="13" t="s">
        <v>200</v>
      </c>
    </row>
    <row r="374" customHeight="1" spans="1:10">
      <c r="A374" s="19">
        <v>45908</v>
      </c>
      <c r="B374" s="13" t="s">
        <v>194</v>
      </c>
      <c r="D374" s="13" t="s">
        <v>201</v>
      </c>
      <c r="E374" s="13" t="s">
        <v>14</v>
      </c>
      <c r="F374" s="2">
        <v>50000</v>
      </c>
      <c r="G374" s="2">
        <v>0.86</v>
      </c>
      <c r="H374" s="2">
        <f t="shared" si="19"/>
        <v>43000</v>
      </c>
      <c r="I374" s="13" t="s">
        <v>61</v>
      </c>
      <c r="J374" s="13" t="s">
        <v>46</v>
      </c>
    </row>
    <row r="375" customHeight="1" spans="1:10">
      <c r="A375" s="19">
        <v>45911</v>
      </c>
      <c r="B375" s="13" t="s">
        <v>194</v>
      </c>
      <c r="D375" s="13" t="s">
        <v>198</v>
      </c>
      <c r="E375" s="13" t="s">
        <v>116</v>
      </c>
      <c r="F375" s="2">
        <v>1037</v>
      </c>
      <c r="G375" s="2">
        <v>1.05</v>
      </c>
      <c r="H375" s="2">
        <f t="shared" si="19"/>
        <v>1088.85</v>
      </c>
      <c r="I375" s="13" t="s">
        <v>193</v>
      </c>
    </row>
    <row r="376" customHeight="1" spans="1:10">
      <c r="A376" s="19">
        <v>45911</v>
      </c>
      <c r="B376" s="13" t="s">
        <v>194</v>
      </c>
      <c r="D376" s="13" t="s">
        <v>203</v>
      </c>
      <c r="E376" s="21" t="s">
        <v>339</v>
      </c>
      <c r="F376" s="2">
        <v>4130</v>
      </c>
      <c r="G376" s="2">
        <v>0.79</v>
      </c>
      <c r="H376" s="2">
        <f t="shared" si="19"/>
        <v>3262.7</v>
      </c>
      <c r="I376" s="13" t="s">
        <v>126</v>
      </c>
    </row>
    <row r="377" customHeight="1" spans="1:10">
      <c r="A377" s="19">
        <v>45911</v>
      </c>
      <c r="B377" s="13" t="s">
        <v>194</v>
      </c>
      <c r="D377" s="13" t="s">
        <v>2332</v>
      </c>
      <c r="E377" s="13" t="s">
        <v>116</v>
      </c>
      <c r="F377" s="2">
        <v>3010</v>
      </c>
      <c r="G377" s="2">
        <v>1.05</v>
      </c>
      <c r="H377" s="2">
        <f t="shared" si="19"/>
        <v>3160.5</v>
      </c>
      <c r="I377" s="13" t="s">
        <v>330</v>
      </c>
    </row>
    <row r="378" customHeight="1" spans="1:10">
      <c r="A378" s="19">
        <v>45914</v>
      </c>
      <c r="B378" s="13" t="s">
        <v>194</v>
      </c>
      <c r="D378" s="13" t="s">
        <v>209</v>
      </c>
      <c r="E378" s="13" t="s">
        <v>124</v>
      </c>
      <c r="F378" s="2">
        <v>4007</v>
      </c>
      <c r="G378" s="2">
        <v>1.02</v>
      </c>
      <c r="H378" s="2">
        <f t="shared" si="19"/>
        <v>4087.14</v>
      </c>
      <c r="I378" s="13" t="s">
        <v>208</v>
      </c>
    </row>
    <row r="379" customHeight="1" spans="1:10">
      <c r="A379" s="19">
        <v>45916</v>
      </c>
      <c r="B379" s="13" t="s">
        <v>194</v>
      </c>
      <c r="D379" s="13" t="s">
        <v>198</v>
      </c>
      <c r="E379" s="13" t="s">
        <v>116</v>
      </c>
      <c r="F379" s="2">
        <v>10017</v>
      </c>
      <c r="G379" s="2">
        <v>1.05</v>
      </c>
      <c r="H379" s="2">
        <f t="shared" si="19"/>
        <v>10517.85</v>
      </c>
      <c r="I379" s="13" t="s">
        <v>193</v>
      </c>
    </row>
    <row r="380" customHeight="1" spans="1:10">
      <c r="A380" s="19">
        <v>45924</v>
      </c>
      <c r="B380" s="13" t="s">
        <v>194</v>
      </c>
      <c r="D380" s="13" t="s">
        <v>201</v>
      </c>
      <c r="E380" s="13" t="s">
        <v>14</v>
      </c>
      <c r="F380" s="2">
        <v>25000</v>
      </c>
      <c r="G380" s="2">
        <v>0.86</v>
      </c>
      <c r="H380" s="2">
        <f t="shared" si="19"/>
        <v>21500</v>
      </c>
      <c r="I380" s="13" t="s">
        <v>61</v>
      </c>
      <c r="J380" s="13" t="s">
        <v>46</v>
      </c>
    </row>
    <row r="381" customHeight="1" spans="1:10">
      <c r="A381" s="19">
        <v>45903</v>
      </c>
      <c r="B381" s="12" t="s">
        <v>861</v>
      </c>
      <c r="C381" s="13" t="s">
        <v>2333</v>
      </c>
      <c r="D381" s="13" t="s">
        <v>282</v>
      </c>
      <c r="E381" s="13" t="s">
        <v>14</v>
      </c>
      <c r="F381" s="2">
        <v>2220</v>
      </c>
      <c r="G381" s="2">
        <v>0.88</v>
      </c>
      <c r="H381" s="2">
        <f t="shared" si="19"/>
        <v>1953.6</v>
      </c>
      <c r="I381" s="13" t="s">
        <v>283</v>
      </c>
    </row>
    <row r="382" customHeight="1" spans="1:10">
      <c r="A382" s="19">
        <v>45913</v>
      </c>
      <c r="B382" s="12" t="s">
        <v>861</v>
      </c>
      <c r="C382" s="13" t="s">
        <v>2334</v>
      </c>
      <c r="D382" s="13" t="s">
        <v>44</v>
      </c>
      <c r="E382" s="13" t="s">
        <v>14</v>
      </c>
      <c r="F382" s="2">
        <v>505</v>
      </c>
      <c r="G382" s="2">
        <v>0.93</v>
      </c>
      <c r="H382" s="2">
        <f t="shared" si="19"/>
        <v>469.65</v>
      </c>
      <c r="I382" s="13" t="s">
        <v>45</v>
      </c>
    </row>
    <row r="383" customHeight="1" spans="1:10">
      <c r="A383" s="19">
        <v>45915</v>
      </c>
      <c r="B383" s="12" t="s">
        <v>861</v>
      </c>
      <c r="C383" s="13" t="s">
        <v>2335</v>
      </c>
      <c r="D383" s="13" t="s">
        <v>30</v>
      </c>
      <c r="E383" s="13" t="s">
        <v>14</v>
      </c>
      <c r="F383" s="2">
        <v>163</v>
      </c>
      <c r="G383" s="2">
        <v>1.93</v>
      </c>
      <c r="H383" s="2">
        <f t="shared" si="19"/>
        <v>314.59</v>
      </c>
      <c r="I383" s="13" t="s">
        <v>287</v>
      </c>
    </row>
    <row r="384" customHeight="1" spans="1:10">
      <c r="A384" s="19">
        <v>45916</v>
      </c>
      <c r="B384" s="12" t="s">
        <v>861</v>
      </c>
      <c r="C384" s="13" t="s">
        <v>2336</v>
      </c>
      <c r="D384" s="13" t="s">
        <v>696</v>
      </c>
      <c r="E384" s="13" t="s">
        <v>14</v>
      </c>
      <c r="F384" s="2">
        <v>4050</v>
      </c>
      <c r="G384" s="2">
        <v>1.3</v>
      </c>
      <c r="H384" s="2">
        <f t="shared" si="19"/>
        <v>5265</v>
      </c>
      <c r="I384" s="13" t="s">
        <v>2147</v>
      </c>
    </row>
    <row r="385" customHeight="1" spans="1:10">
      <c r="A385" s="19">
        <v>45927</v>
      </c>
      <c r="B385" s="12" t="s">
        <v>861</v>
      </c>
      <c r="C385" s="13" t="s">
        <v>2337</v>
      </c>
      <c r="D385" s="13" t="s">
        <v>282</v>
      </c>
      <c r="E385" s="13" t="s">
        <v>14</v>
      </c>
      <c r="F385" s="2">
        <v>2005</v>
      </c>
      <c r="G385" s="2">
        <v>0.88</v>
      </c>
      <c r="H385" s="2">
        <f t="shared" si="19"/>
        <v>1764.4</v>
      </c>
      <c r="I385" s="13" t="s">
        <v>283</v>
      </c>
    </row>
    <row r="386" customHeight="1" spans="1:10">
      <c r="A386" s="19">
        <v>45927</v>
      </c>
      <c r="B386" s="12" t="s">
        <v>861</v>
      </c>
      <c r="C386" s="13" t="s">
        <v>2337</v>
      </c>
      <c r="D386" s="13" t="s">
        <v>2031</v>
      </c>
      <c r="E386" s="13" t="s">
        <v>14</v>
      </c>
      <c r="F386" s="2">
        <v>200</v>
      </c>
      <c r="G386" s="2">
        <v>1.3</v>
      </c>
      <c r="H386" s="2">
        <f t="shared" si="19"/>
        <v>260</v>
      </c>
      <c r="I386" s="13" t="s">
        <v>432</v>
      </c>
    </row>
    <row r="387" customHeight="1" spans="1:10">
      <c r="A387" s="19">
        <v>45895</v>
      </c>
      <c r="B387" s="13" t="s">
        <v>138</v>
      </c>
      <c r="C387" s="13">
        <v>2025086</v>
      </c>
      <c r="D387" s="13" t="s">
        <v>59</v>
      </c>
      <c r="E387" s="13" t="s">
        <v>2338</v>
      </c>
      <c r="F387" s="13">
        <v>20000</v>
      </c>
      <c r="G387" s="13">
        <v>0.01</v>
      </c>
      <c r="H387" s="13">
        <f t="shared" si="19"/>
        <v>200</v>
      </c>
      <c r="I387" s="13" t="s">
        <v>982</v>
      </c>
      <c r="J387" s="13" t="s">
        <v>46</v>
      </c>
    </row>
    <row r="388" customHeight="1" spans="1:10">
      <c r="A388" s="19">
        <v>45899</v>
      </c>
      <c r="B388" s="13" t="s">
        <v>138</v>
      </c>
      <c r="C388" s="13">
        <v>2025086</v>
      </c>
      <c r="D388" s="13" t="s">
        <v>2339</v>
      </c>
      <c r="E388" s="13" t="s">
        <v>2340</v>
      </c>
      <c r="F388" s="13">
        <v>9000</v>
      </c>
      <c r="G388" s="13">
        <v>200</v>
      </c>
      <c r="H388" s="13">
        <v>200</v>
      </c>
      <c r="I388" s="13" t="s">
        <v>864</v>
      </c>
      <c r="J388" s="13" t="s">
        <v>46</v>
      </c>
    </row>
    <row r="389" customHeight="1" spans="1:10">
      <c r="A389" s="19">
        <v>45899</v>
      </c>
      <c r="B389" s="13" t="s">
        <v>138</v>
      </c>
      <c r="C389" s="13">
        <v>2025086</v>
      </c>
      <c r="D389" s="13" t="s">
        <v>139</v>
      </c>
      <c r="E389" s="13" t="s">
        <v>2341</v>
      </c>
      <c r="F389" s="13">
        <v>5000</v>
      </c>
      <c r="G389" s="13">
        <v>0.03</v>
      </c>
      <c r="H389" s="13">
        <f>F389*G389</f>
        <v>150</v>
      </c>
      <c r="I389" s="13" t="s">
        <v>45</v>
      </c>
      <c r="J389" s="13" t="s">
        <v>46</v>
      </c>
    </row>
    <row r="390" customHeight="1" spans="1:10">
      <c r="A390" s="19">
        <v>45899</v>
      </c>
      <c r="B390" s="13" t="s">
        <v>138</v>
      </c>
      <c r="C390" s="13">
        <v>2025086</v>
      </c>
      <c r="D390" s="13" t="s">
        <v>2342</v>
      </c>
      <c r="E390" s="13" t="s">
        <v>2343</v>
      </c>
      <c r="F390" s="13">
        <v>12000</v>
      </c>
      <c r="G390" s="13">
        <v>150</v>
      </c>
      <c r="H390" s="13">
        <v>150</v>
      </c>
      <c r="I390" s="13" t="s">
        <v>149</v>
      </c>
      <c r="J390" s="13" t="s">
        <v>46</v>
      </c>
    </row>
    <row r="391" customHeight="1" spans="1:10">
      <c r="A391" s="19">
        <v>45908</v>
      </c>
      <c r="B391" s="13" t="s">
        <v>138</v>
      </c>
      <c r="C391" s="13">
        <v>2025087</v>
      </c>
      <c r="D391" s="13" t="s">
        <v>2342</v>
      </c>
      <c r="E391" s="13" t="s">
        <v>1279</v>
      </c>
      <c r="F391" s="2">
        <v>10000</v>
      </c>
      <c r="G391" s="2">
        <v>0.015</v>
      </c>
      <c r="H391" s="2">
        <v>150</v>
      </c>
      <c r="I391" s="13" t="s">
        <v>126</v>
      </c>
      <c r="J391" s="13" t="s">
        <v>46</v>
      </c>
    </row>
    <row r="392" customHeight="1" spans="1:10">
      <c r="A392" s="19">
        <v>45908</v>
      </c>
      <c r="B392" s="13" t="s">
        <v>138</v>
      </c>
      <c r="C392" s="13">
        <v>2025087</v>
      </c>
      <c r="D392" s="13" t="s">
        <v>201</v>
      </c>
      <c r="E392" s="13" t="s">
        <v>2344</v>
      </c>
      <c r="F392" s="2">
        <v>30000</v>
      </c>
      <c r="G392" s="2">
        <v>0.01</v>
      </c>
      <c r="H392" s="2">
        <v>300</v>
      </c>
      <c r="I392" s="13" t="s">
        <v>1931</v>
      </c>
      <c r="J392" s="13" t="s">
        <v>46</v>
      </c>
    </row>
    <row r="393" customHeight="1" spans="1:10">
      <c r="A393" s="19">
        <v>45913</v>
      </c>
      <c r="B393" s="13" t="s">
        <v>138</v>
      </c>
      <c r="C393" s="13">
        <v>2025088</v>
      </c>
      <c r="D393" s="13" t="s">
        <v>122</v>
      </c>
      <c r="E393" s="13" t="s">
        <v>2345</v>
      </c>
      <c r="F393" s="2">
        <v>16000</v>
      </c>
      <c r="G393" s="2"/>
      <c r="H393" s="2">
        <v>150</v>
      </c>
      <c r="I393" s="13" t="s">
        <v>126</v>
      </c>
      <c r="J393" s="13" t="s">
        <v>46</v>
      </c>
    </row>
    <row r="394" customHeight="1" spans="1:10">
      <c r="A394" s="19">
        <v>45919</v>
      </c>
      <c r="B394" s="13" t="s">
        <v>138</v>
      </c>
      <c r="C394" s="13">
        <v>2025089</v>
      </c>
      <c r="D394" s="13" t="s">
        <v>1158</v>
      </c>
      <c r="E394" s="13" t="s">
        <v>2346</v>
      </c>
      <c r="F394" s="2">
        <v>2600</v>
      </c>
      <c r="G394" s="2"/>
      <c r="H394" s="2">
        <v>150</v>
      </c>
      <c r="I394" s="13" t="s">
        <v>45</v>
      </c>
    </row>
    <row r="395" customHeight="1" spans="1:10">
      <c r="A395" s="19">
        <v>45922</v>
      </c>
      <c r="B395" s="13" t="s">
        <v>138</v>
      </c>
      <c r="C395" s="13">
        <v>2025165</v>
      </c>
      <c r="D395" s="13" t="s">
        <v>59</v>
      </c>
      <c r="E395" s="13" t="s">
        <v>897</v>
      </c>
      <c r="F395" s="2">
        <v>30000</v>
      </c>
      <c r="G395" s="2">
        <v>0.01</v>
      </c>
      <c r="H395" s="2">
        <v>300</v>
      </c>
      <c r="I395" s="13" t="s">
        <v>982</v>
      </c>
      <c r="J395" s="13" t="s">
        <v>46</v>
      </c>
    </row>
    <row r="396" customHeight="1" spans="1:10">
      <c r="A396" s="19">
        <v>45922</v>
      </c>
      <c r="B396" s="13" t="s">
        <v>138</v>
      </c>
      <c r="C396" s="13">
        <v>2025165</v>
      </c>
      <c r="D396" s="13" t="s">
        <v>290</v>
      </c>
      <c r="E396" s="13" t="s">
        <v>2347</v>
      </c>
      <c r="F396" s="2">
        <v>30000</v>
      </c>
      <c r="G396" s="2">
        <v>0.01</v>
      </c>
      <c r="H396" s="2">
        <v>300</v>
      </c>
      <c r="I396" s="13" t="s">
        <v>45</v>
      </c>
      <c r="J396" s="13" t="s">
        <v>46</v>
      </c>
    </row>
    <row r="397" customHeight="1" spans="1:10">
      <c r="A397" s="19">
        <v>45925</v>
      </c>
      <c r="B397" s="13" t="s">
        <v>138</v>
      </c>
      <c r="C397" s="13">
        <v>2025167</v>
      </c>
      <c r="D397" s="13" t="s">
        <v>47</v>
      </c>
      <c r="E397" s="13" t="s">
        <v>2348</v>
      </c>
      <c r="F397" s="2">
        <v>11000</v>
      </c>
      <c r="G397" s="2"/>
      <c r="H397" s="2">
        <v>150</v>
      </c>
      <c r="I397" s="13" t="s">
        <v>89</v>
      </c>
      <c r="J397" s="13" t="s">
        <v>46</v>
      </c>
    </row>
    <row r="398" customHeight="1" spans="1:10">
      <c r="A398" s="19">
        <v>45903</v>
      </c>
      <c r="B398" s="13" t="s">
        <v>257</v>
      </c>
      <c r="D398" s="13" t="s">
        <v>110</v>
      </c>
      <c r="E398" s="13" t="s">
        <v>99</v>
      </c>
      <c r="F398" s="2">
        <v>2010</v>
      </c>
      <c r="G398" s="2">
        <v>0.73</v>
      </c>
      <c r="H398" s="2">
        <f t="shared" ref="H398:H404" si="20">F398*G398</f>
        <v>1467.3</v>
      </c>
      <c r="I398" s="13" t="s">
        <v>1988</v>
      </c>
      <c r="J398" s="13" t="s">
        <v>2349</v>
      </c>
    </row>
    <row r="399" customHeight="1" spans="1:10">
      <c r="A399" s="19">
        <v>45906</v>
      </c>
      <c r="B399" s="13" t="s">
        <v>257</v>
      </c>
      <c r="D399" s="13" t="s">
        <v>18</v>
      </c>
      <c r="E399" s="13" t="s">
        <v>99</v>
      </c>
      <c r="F399" s="2">
        <v>3040</v>
      </c>
      <c r="G399" s="2">
        <v>0.99</v>
      </c>
      <c r="H399" s="2">
        <f t="shared" si="20"/>
        <v>3009.6</v>
      </c>
      <c r="I399" s="13" t="s">
        <v>1465</v>
      </c>
    </row>
    <row r="400" customHeight="1" spans="1:10">
      <c r="A400" s="19">
        <v>45916</v>
      </c>
      <c r="B400" s="13" t="s">
        <v>257</v>
      </c>
      <c r="D400" s="13" t="s">
        <v>110</v>
      </c>
      <c r="E400" s="13" t="s">
        <v>99</v>
      </c>
      <c r="F400" s="2">
        <v>5000</v>
      </c>
      <c r="G400" s="2">
        <v>0.87</v>
      </c>
      <c r="H400" s="2">
        <f t="shared" si="20"/>
        <v>4350</v>
      </c>
      <c r="I400" s="13" t="s">
        <v>330</v>
      </c>
    </row>
    <row r="401" customHeight="1" spans="1:11">
      <c r="A401" s="19">
        <v>45899</v>
      </c>
      <c r="B401" s="13" t="s">
        <v>263</v>
      </c>
      <c r="C401" s="21" t="s">
        <v>2350</v>
      </c>
      <c r="D401" s="21" t="s">
        <v>1873</v>
      </c>
      <c r="E401" s="21" t="s">
        <v>2351</v>
      </c>
      <c r="F401" s="13">
        <v>50000</v>
      </c>
      <c r="G401" s="13">
        <v>0.15</v>
      </c>
      <c r="H401" s="13">
        <f t="shared" si="20"/>
        <v>7500</v>
      </c>
      <c r="I401" s="13" t="s">
        <v>2194</v>
      </c>
      <c r="J401" s="13" t="s">
        <v>46</v>
      </c>
      <c r="K401" s="13" t="s">
        <v>1135</v>
      </c>
    </row>
    <row r="402" customHeight="1" spans="1:11">
      <c r="A402" s="19">
        <v>45901</v>
      </c>
      <c r="B402" s="13" t="s">
        <v>272</v>
      </c>
      <c r="C402" s="89" t="s">
        <v>2352</v>
      </c>
      <c r="D402" s="13" t="s">
        <v>252</v>
      </c>
      <c r="E402" s="13" t="s">
        <v>14</v>
      </c>
      <c r="F402" s="13">
        <v>100000</v>
      </c>
      <c r="G402" s="13">
        <v>0.45</v>
      </c>
      <c r="H402" s="13">
        <f t="shared" si="20"/>
        <v>45000</v>
      </c>
      <c r="I402" s="13" t="s">
        <v>857</v>
      </c>
      <c r="J402" s="13" t="s">
        <v>46</v>
      </c>
      <c r="K402" s="13" t="s">
        <v>1135</v>
      </c>
    </row>
    <row r="403" customHeight="1" spans="1:11">
      <c r="A403" s="19">
        <v>45918</v>
      </c>
      <c r="B403" s="13" t="s">
        <v>272</v>
      </c>
      <c r="C403" s="89" t="s">
        <v>2353</v>
      </c>
      <c r="D403" s="13" t="s">
        <v>252</v>
      </c>
      <c r="E403" s="13" t="s">
        <v>14</v>
      </c>
      <c r="F403" s="13">
        <v>40000</v>
      </c>
      <c r="G403" s="13">
        <v>0.45</v>
      </c>
      <c r="H403" s="13">
        <f t="shared" si="20"/>
        <v>18000</v>
      </c>
      <c r="I403" s="13" t="s">
        <v>149</v>
      </c>
      <c r="J403" s="13" t="s">
        <v>46</v>
      </c>
      <c r="K403" s="13" t="s">
        <v>1135</v>
      </c>
    </row>
    <row r="404" customHeight="1" spans="1:11">
      <c r="A404" s="19">
        <v>45924</v>
      </c>
      <c r="B404" s="13" t="s">
        <v>272</v>
      </c>
      <c r="C404" s="89" t="s">
        <v>2354</v>
      </c>
      <c r="D404" s="13" t="s">
        <v>252</v>
      </c>
      <c r="E404" s="13" t="s">
        <v>14</v>
      </c>
      <c r="F404" s="13">
        <v>50000</v>
      </c>
      <c r="G404" s="13">
        <v>0.45</v>
      </c>
      <c r="H404" s="13">
        <f t="shared" si="20"/>
        <v>22500</v>
      </c>
      <c r="I404" s="13" t="s">
        <v>2355</v>
      </c>
      <c r="J404" s="13" t="s">
        <v>46</v>
      </c>
      <c r="K404" s="13" t="s">
        <v>1135</v>
      </c>
    </row>
    <row r="405" customHeight="1" spans="1:11">
      <c r="A405" s="19">
        <v>45902</v>
      </c>
      <c r="B405" s="13" t="s">
        <v>1130</v>
      </c>
      <c r="D405" s="13" t="s">
        <v>252</v>
      </c>
      <c r="E405" s="13" t="s">
        <v>14</v>
      </c>
      <c r="F405" s="2">
        <v>22800</v>
      </c>
      <c r="G405" s="2">
        <v>0.5</v>
      </c>
      <c r="H405" s="13">
        <f t="shared" ref="H405:H410" si="21">F405*G405</f>
        <v>11400</v>
      </c>
      <c r="I405" s="13" t="s">
        <v>2139</v>
      </c>
      <c r="J405" s="13" t="s">
        <v>46</v>
      </c>
    </row>
    <row r="406" customHeight="1" spans="1:11">
      <c r="A406" s="19">
        <v>45906</v>
      </c>
      <c r="B406" s="13" t="s">
        <v>1130</v>
      </c>
      <c r="D406" s="13" t="s">
        <v>252</v>
      </c>
      <c r="E406" s="13" t="s">
        <v>2356</v>
      </c>
      <c r="F406" s="2">
        <v>5000</v>
      </c>
      <c r="G406" s="2">
        <v>0.8</v>
      </c>
      <c r="H406" s="13">
        <f t="shared" si="21"/>
        <v>4000</v>
      </c>
      <c r="I406" s="13" t="s">
        <v>330</v>
      </c>
    </row>
    <row r="407" customHeight="1" spans="1:11">
      <c r="A407" s="19">
        <v>45918</v>
      </c>
      <c r="B407" s="13" t="s">
        <v>1130</v>
      </c>
      <c r="D407" s="13" t="s">
        <v>252</v>
      </c>
      <c r="E407" s="13" t="s">
        <v>14</v>
      </c>
      <c r="F407" s="2">
        <v>40000</v>
      </c>
      <c r="G407" s="2">
        <v>0.5</v>
      </c>
      <c r="H407" s="13">
        <f t="shared" si="21"/>
        <v>20000</v>
      </c>
      <c r="I407" s="13" t="s">
        <v>857</v>
      </c>
    </row>
    <row r="408" customHeight="1" spans="1:11">
      <c r="A408" s="19">
        <v>45904</v>
      </c>
      <c r="B408" s="13" t="s">
        <v>1588</v>
      </c>
      <c r="C408" s="13" t="s">
        <v>2357</v>
      </c>
      <c r="D408" s="13" t="s">
        <v>2358</v>
      </c>
      <c r="E408" s="13" t="s">
        <v>447</v>
      </c>
      <c r="F408" s="13">
        <v>1010</v>
      </c>
      <c r="G408" s="13">
        <v>2.9</v>
      </c>
      <c r="H408" s="13">
        <f t="shared" si="21"/>
        <v>2929</v>
      </c>
      <c r="I408" s="13" t="s">
        <v>587</v>
      </c>
    </row>
    <row r="409" customHeight="1" spans="1:11">
      <c r="A409" s="19">
        <v>45908</v>
      </c>
      <c r="B409" s="13" t="s">
        <v>1588</v>
      </c>
      <c r="C409" s="13" t="s">
        <v>2359</v>
      </c>
      <c r="D409" s="13" t="s">
        <v>875</v>
      </c>
      <c r="E409" s="13" t="s">
        <v>447</v>
      </c>
      <c r="F409" s="13">
        <v>1005</v>
      </c>
      <c r="G409" s="13">
        <v>2.2</v>
      </c>
      <c r="H409" s="13">
        <f t="shared" si="21"/>
        <v>2211</v>
      </c>
      <c r="I409" s="13" t="s">
        <v>587</v>
      </c>
    </row>
    <row r="410" customHeight="1" spans="1:11">
      <c r="A410" s="19">
        <v>45925</v>
      </c>
      <c r="B410" s="13" t="s">
        <v>1588</v>
      </c>
      <c r="C410" s="13" t="s">
        <v>2359</v>
      </c>
      <c r="D410" s="13" t="s">
        <v>875</v>
      </c>
      <c r="E410" s="13" t="s">
        <v>447</v>
      </c>
      <c r="F410" s="13">
        <v>1950</v>
      </c>
      <c r="G410" s="13">
        <v>2.2</v>
      </c>
      <c r="H410" s="13">
        <f t="shared" si="21"/>
        <v>4290</v>
      </c>
      <c r="I410" s="13" t="s">
        <v>587</v>
      </c>
    </row>
    <row r="411" customHeight="1" spans="1:11">
      <c r="A411" s="19">
        <v>45906</v>
      </c>
      <c r="B411" s="12" t="s">
        <v>1862</v>
      </c>
      <c r="C411" s="12" t="s">
        <v>2360</v>
      </c>
      <c r="D411" s="12" t="s">
        <v>217</v>
      </c>
      <c r="E411" s="13" t="s">
        <v>2059</v>
      </c>
      <c r="F411" s="2">
        <v>200</v>
      </c>
      <c r="G411" s="2">
        <v>2.2</v>
      </c>
      <c r="H411" s="13">
        <f t="shared" ref="H411:H416" si="22">F411*G411</f>
        <v>440</v>
      </c>
      <c r="I411" s="13" t="s">
        <v>271</v>
      </c>
    </row>
    <row r="412" customHeight="1" spans="1:11">
      <c r="A412" s="19">
        <v>45906</v>
      </c>
      <c r="B412" s="12" t="s">
        <v>1862</v>
      </c>
      <c r="C412" s="12" t="s">
        <v>2360</v>
      </c>
      <c r="D412" s="12" t="s">
        <v>217</v>
      </c>
      <c r="E412" s="13" t="s">
        <v>2361</v>
      </c>
      <c r="F412" s="2">
        <v>100</v>
      </c>
      <c r="G412" s="2">
        <v>2.25</v>
      </c>
      <c r="H412" s="13">
        <f t="shared" si="22"/>
        <v>225</v>
      </c>
      <c r="I412" s="13" t="s">
        <v>2135</v>
      </c>
    </row>
    <row r="413" customHeight="1" spans="1:11">
      <c r="A413" s="19">
        <v>45915</v>
      </c>
      <c r="B413" s="12" t="s">
        <v>1862</v>
      </c>
      <c r="C413" s="12" t="s">
        <v>2362</v>
      </c>
      <c r="D413" s="12" t="s">
        <v>217</v>
      </c>
      <c r="E413" s="13" t="s">
        <v>2060</v>
      </c>
      <c r="F413" s="2">
        <v>200</v>
      </c>
      <c r="G413" s="2">
        <v>3.1</v>
      </c>
      <c r="H413" s="13">
        <f t="shared" si="22"/>
        <v>620</v>
      </c>
      <c r="I413" s="13" t="s">
        <v>271</v>
      </c>
    </row>
    <row r="414" customHeight="1" spans="1:11">
      <c r="A414" s="19">
        <v>45915</v>
      </c>
      <c r="B414" s="12" t="s">
        <v>1862</v>
      </c>
      <c r="C414" s="12" t="s">
        <v>2362</v>
      </c>
      <c r="D414" s="12" t="s">
        <v>217</v>
      </c>
      <c r="E414" s="13" t="s">
        <v>2069</v>
      </c>
      <c r="F414" s="2">
        <v>200</v>
      </c>
      <c r="G414" s="2">
        <v>2.4</v>
      </c>
      <c r="H414" s="13">
        <f t="shared" si="22"/>
        <v>480</v>
      </c>
      <c r="I414" s="13" t="s">
        <v>1429</v>
      </c>
    </row>
    <row r="415" customHeight="1" spans="1:11">
      <c r="A415" s="19">
        <v>45922</v>
      </c>
      <c r="B415" s="12" t="s">
        <v>1862</v>
      </c>
      <c r="C415" s="12" t="s">
        <v>2363</v>
      </c>
      <c r="D415" s="12" t="s">
        <v>217</v>
      </c>
      <c r="E415" s="13" t="s">
        <v>2361</v>
      </c>
      <c r="F415" s="2">
        <v>200</v>
      </c>
      <c r="G415" s="2">
        <v>2.25</v>
      </c>
      <c r="H415" s="13">
        <f t="shared" si="22"/>
        <v>450</v>
      </c>
      <c r="I415" s="13" t="s">
        <v>2135</v>
      </c>
    </row>
    <row r="416" customHeight="1" spans="1:11">
      <c r="A416" s="19">
        <v>45925</v>
      </c>
      <c r="B416" s="12" t="s">
        <v>1862</v>
      </c>
      <c r="C416" s="12" t="s">
        <v>2364</v>
      </c>
      <c r="D416" s="12" t="s">
        <v>217</v>
      </c>
      <c r="E416" s="13" t="s">
        <v>2062</v>
      </c>
      <c r="F416" s="2">
        <v>1000</v>
      </c>
      <c r="G416" s="2">
        <v>0.4</v>
      </c>
      <c r="H416" s="13">
        <f t="shared" ref="H416:H444" si="23">F416*G416</f>
        <v>400</v>
      </c>
      <c r="I416" s="13" t="s">
        <v>2269</v>
      </c>
    </row>
    <row r="417" customHeight="1" spans="1:11">
      <c r="A417" s="19">
        <v>45925</v>
      </c>
      <c r="B417" s="12" t="s">
        <v>1862</v>
      </c>
      <c r="C417" s="12" t="s">
        <v>2365</v>
      </c>
      <c r="D417" s="12" t="s">
        <v>217</v>
      </c>
      <c r="E417" s="13" t="s">
        <v>2366</v>
      </c>
      <c r="F417" s="2">
        <v>200</v>
      </c>
      <c r="G417" s="2">
        <v>2.6</v>
      </c>
      <c r="H417" s="13">
        <f t="shared" si="23"/>
        <v>520</v>
      </c>
      <c r="I417" s="13" t="s">
        <v>1429</v>
      </c>
    </row>
    <row r="418" customHeight="1" spans="1:11">
      <c r="A418" s="19">
        <v>45925</v>
      </c>
      <c r="B418" s="12" t="s">
        <v>1862</v>
      </c>
      <c r="C418" s="12" t="s">
        <v>2365</v>
      </c>
      <c r="D418" s="12" t="s">
        <v>217</v>
      </c>
      <c r="E418" s="13" t="s">
        <v>2065</v>
      </c>
      <c r="F418" s="2">
        <v>100</v>
      </c>
      <c r="G418" s="2">
        <v>2.75</v>
      </c>
      <c r="H418" s="13">
        <f t="shared" si="23"/>
        <v>275</v>
      </c>
      <c r="I418" s="13" t="s">
        <v>271</v>
      </c>
    </row>
    <row r="419" customHeight="1" spans="1:11">
      <c r="A419" s="19">
        <v>45925</v>
      </c>
      <c r="B419" s="12" t="s">
        <v>1862</v>
      </c>
      <c r="C419" s="12" t="s">
        <v>2365</v>
      </c>
      <c r="D419" s="12" t="s">
        <v>217</v>
      </c>
      <c r="E419" s="13" t="s">
        <v>2068</v>
      </c>
      <c r="F419" s="2">
        <v>200</v>
      </c>
      <c r="G419" s="2">
        <v>2.3</v>
      </c>
      <c r="H419" s="13">
        <f t="shared" si="23"/>
        <v>460</v>
      </c>
      <c r="I419" s="13" t="s">
        <v>1429</v>
      </c>
    </row>
    <row r="420" customHeight="1" spans="1:11">
      <c r="A420" s="19">
        <v>45926</v>
      </c>
      <c r="B420" s="12" t="s">
        <v>1862</v>
      </c>
      <c r="C420" s="12" t="s">
        <v>2367</v>
      </c>
      <c r="D420" s="12" t="s">
        <v>217</v>
      </c>
      <c r="E420" s="13" t="s">
        <v>2060</v>
      </c>
      <c r="F420" s="2">
        <v>200</v>
      </c>
      <c r="G420" s="2">
        <v>3.1</v>
      </c>
      <c r="H420" s="13">
        <f t="shared" si="23"/>
        <v>620</v>
      </c>
      <c r="I420" s="13" t="s">
        <v>271</v>
      </c>
    </row>
    <row r="421" customHeight="1" spans="1:11">
      <c r="A421" s="19">
        <v>45929</v>
      </c>
      <c r="B421" s="12" t="s">
        <v>1862</v>
      </c>
      <c r="C421" s="12" t="s">
        <v>2368</v>
      </c>
      <c r="D421" s="12" t="s">
        <v>217</v>
      </c>
      <c r="E421" s="13" t="s">
        <v>2069</v>
      </c>
      <c r="F421" s="2">
        <v>200</v>
      </c>
      <c r="G421" s="2">
        <v>2.4</v>
      </c>
      <c r="H421" s="13">
        <f t="shared" si="23"/>
        <v>480</v>
      </c>
      <c r="I421" s="13" t="s">
        <v>1429</v>
      </c>
    </row>
    <row r="422" customHeight="1" spans="1:11">
      <c r="A422" s="19">
        <v>45906</v>
      </c>
      <c r="B422" s="13" t="s">
        <v>257</v>
      </c>
      <c r="C422" s="13" t="s">
        <v>2369</v>
      </c>
      <c r="D422" s="13" t="s">
        <v>18</v>
      </c>
      <c r="E422" s="13" t="s">
        <v>99</v>
      </c>
      <c r="F422" s="13">
        <v>3040</v>
      </c>
      <c r="G422" s="13">
        <v>0.99</v>
      </c>
      <c r="H422" s="13">
        <f t="shared" si="23"/>
        <v>3009.6</v>
      </c>
      <c r="I422" s="13" t="s">
        <v>1465</v>
      </c>
    </row>
    <row r="423" customHeight="1" spans="1:11">
      <c r="A423" s="19">
        <v>45916</v>
      </c>
      <c r="B423" s="13" t="s">
        <v>257</v>
      </c>
      <c r="C423" s="13" t="s">
        <v>2370</v>
      </c>
      <c r="D423" s="13" t="s">
        <v>110</v>
      </c>
      <c r="E423" s="13" t="s">
        <v>99</v>
      </c>
      <c r="F423" s="13">
        <v>5000</v>
      </c>
      <c r="G423" s="13">
        <v>0.87</v>
      </c>
      <c r="H423" s="13">
        <f t="shared" si="23"/>
        <v>4350</v>
      </c>
      <c r="I423" s="13" t="s">
        <v>330</v>
      </c>
    </row>
    <row r="424" customHeight="1" spans="1:11">
      <c r="A424" s="19">
        <v>45906</v>
      </c>
      <c r="B424" s="13" t="s">
        <v>2371</v>
      </c>
      <c r="D424" s="13" t="s">
        <v>1835</v>
      </c>
      <c r="E424" s="13" t="s">
        <v>124</v>
      </c>
      <c r="F424" s="13">
        <v>505</v>
      </c>
      <c r="G424" s="13">
        <v>1.1</v>
      </c>
      <c r="H424" s="13">
        <f t="shared" si="23"/>
        <v>555.5</v>
      </c>
      <c r="I424" s="13" t="s">
        <v>330</v>
      </c>
      <c r="J424" s="13" t="s">
        <v>1135</v>
      </c>
    </row>
    <row r="425" customHeight="1" spans="1:11">
      <c r="A425" s="19">
        <v>45906</v>
      </c>
      <c r="B425" s="13" t="s">
        <v>2371</v>
      </c>
      <c r="D425" s="13" t="s">
        <v>2372</v>
      </c>
      <c r="E425" s="13" t="s">
        <v>124</v>
      </c>
      <c r="F425" s="13">
        <v>505</v>
      </c>
      <c r="G425" s="13">
        <v>1.3</v>
      </c>
      <c r="H425" s="13">
        <f t="shared" si="23"/>
        <v>656.5</v>
      </c>
      <c r="I425" s="13" t="s">
        <v>330</v>
      </c>
      <c r="J425" s="13" t="s">
        <v>1135</v>
      </c>
    </row>
    <row r="426" customHeight="1" spans="1:11">
      <c r="A426" s="19">
        <v>45904</v>
      </c>
      <c r="B426" s="13" t="s">
        <v>2373</v>
      </c>
      <c r="D426" s="13" t="s">
        <v>2374</v>
      </c>
      <c r="E426" s="13" t="s">
        <v>2375</v>
      </c>
      <c r="F426" s="13">
        <v>100000</v>
      </c>
      <c r="G426" s="13">
        <v>0.023</v>
      </c>
      <c r="H426" s="13">
        <f t="shared" si="23"/>
        <v>2300</v>
      </c>
      <c r="I426" s="13" t="s">
        <v>2376</v>
      </c>
      <c r="J426" s="13" t="s">
        <v>46</v>
      </c>
    </row>
    <row r="427" customHeight="1" spans="1:11">
      <c r="A427" s="19">
        <v>45917</v>
      </c>
      <c r="B427" s="13" t="s">
        <v>2373</v>
      </c>
      <c r="D427" s="13" t="s">
        <v>2377</v>
      </c>
      <c r="E427" s="13" t="s">
        <v>2375</v>
      </c>
      <c r="F427" s="13">
        <v>100000</v>
      </c>
      <c r="G427" s="13">
        <v>0.023</v>
      </c>
      <c r="H427" s="13">
        <f t="shared" si="23"/>
        <v>2300</v>
      </c>
      <c r="I427" s="13" t="s">
        <v>2376</v>
      </c>
      <c r="J427" s="13" t="s">
        <v>46</v>
      </c>
    </row>
    <row r="428" customHeight="1" spans="1:11">
      <c r="A428" s="19">
        <v>45917</v>
      </c>
      <c r="B428" s="13" t="s">
        <v>2373</v>
      </c>
      <c r="D428" s="13" t="s">
        <v>2378</v>
      </c>
      <c r="E428" s="13" t="s">
        <v>2375</v>
      </c>
      <c r="F428" s="13">
        <v>80000</v>
      </c>
      <c r="G428" s="13">
        <v>0.023</v>
      </c>
      <c r="H428" s="13">
        <f t="shared" si="23"/>
        <v>1840</v>
      </c>
      <c r="I428" s="13" t="s">
        <v>2376</v>
      </c>
      <c r="J428" s="13" t="s">
        <v>46</v>
      </c>
    </row>
    <row r="429" customHeight="1" spans="1:11">
      <c r="A429" s="19">
        <v>45910</v>
      </c>
      <c r="B429" s="13" t="s">
        <v>82</v>
      </c>
      <c r="C429" s="13" t="s">
        <v>2379</v>
      </c>
      <c r="D429" s="13" t="s">
        <v>2106</v>
      </c>
      <c r="E429" s="13" t="s">
        <v>2380</v>
      </c>
      <c r="F429" s="13">
        <v>130</v>
      </c>
      <c r="G429" s="13">
        <v>1.48</v>
      </c>
      <c r="H429" s="13">
        <f t="shared" si="23"/>
        <v>192.4</v>
      </c>
      <c r="I429" s="13" t="s">
        <v>2381</v>
      </c>
      <c r="K429" s="13" t="s">
        <v>1135</v>
      </c>
    </row>
    <row r="430" customHeight="1" spans="1:11">
      <c r="A430" s="19">
        <v>45910</v>
      </c>
      <c r="B430" s="13" t="s">
        <v>82</v>
      </c>
      <c r="C430" s="13" t="s">
        <v>2379</v>
      </c>
      <c r="D430" s="13" t="s">
        <v>2106</v>
      </c>
      <c r="E430" s="13" t="s">
        <v>2380</v>
      </c>
      <c r="F430" s="13">
        <v>53</v>
      </c>
      <c r="G430" s="13">
        <v>1.48</v>
      </c>
      <c r="H430" s="13">
        <f t="shared" si="23"/>
        <v>78.44</v>
      </c>
      <c r="I430" s="13" t="s">
        <v>2381</v>
      </c>
      <c r="K430" s="13" t="s">
        <v>1135</v>
      </c>
    </row>
    <row r="431" customHeight="1" spans="1:11">
      <c r="A431" s="19">
        <v>45910</v>
      </c>
      <c r="B431" s="13" t="s">
        <v>82</v>
      </c>
      <c r="C431" s="13" t="s">
        <v>2379</v>
      </c>
      <c r="D431" s="13" t="s">
        <v>2106</v>
      </c>
      <c r="E431" s="13" t="s">
        <v>2380</v>
      </c>
      <c r="F431" s="13">
        <v>995</v>
      </c>
      <c r="G431" s="13">
        <v>1.48</v>
      </c>
      <c r="H431" s="13">
        <f t="shared" si="23"/>
        <v>1472.6</v>
      </c>
      <c r="I431" s="13" t="s">
        <v>2381</v>
      </c>
      <c r="K431" s="13" t="s">
        <v>1135</v>
      </c>
    </row>
    <row r="432" customHeight="1" spans="1:11">
      <c r="A432" s="19">
        <v>45917</v>
      </c>
      <c r="B432" s="13" t="s">
        <v>82</v>
      </c>
      <c r="C432" s="13" t="s">
        <v>2382</v>
      </c>
      <c r="D432" s="13" t="s">
        <v>395</v>
      </c>
      <c r="E432" s="13" t="s">
        <v>14</v>
      </c>
      <c r="F432" s="13">
        <v>100000</v>
      </c>
      <c r="G432" s="13">
        <v>0.9</v>
      </c>
      <c r="H432" s="13">
        <f t="shared" si="23"/>
        <v>90000</v>
      </c>
      <c r="I432" s="13" t="s">
        <v>396</v>
      </c>
      <c r="J432" s="13" t="s">
        <v>46</v>
      </c>
      <c r="K432" s="13" t="s">
        <v>1135</v>
      </c>
    </row>
    <row r="433" customHeight="1" spans="1:11">
      <c r="A433" s="19">
        <v>45917</v>
      </c>
      <c r="B433" s="13" t="s">
        <v>448</v>
      </c>
      <c r="C433" s="13">
        <v>2025090027</v>
      </c>
      <c r="D433" s="13" t="s">
        <v>195</v>
      </c>
      <c r="E433" s="13" t="s">
        <v>60</v>
      </c>
      <c r="F433" s="2">
        <v>14150</v>
      </c>
      <c r="G433" s="2">
        <v>0.8</v>
      </c>
      <c r="H433" s="2">
        <f t="shared" si="23"/>
        <v>11320</v>
      </c>
      <c r="I433" s="13" t="s">
        <v>864</v>
      </c>
    </row>
    <row r="434" customHeight="1" spans="1:11">
      <c r="A434" s="19">
        <v>45909</v>
      </c>
      <c r="B434" s="13" t="s">
        <v>879</v>
      </c>
      <c r="C434" s="13" t="s">
        <v>2383</v>
      </c>
      <c r="D434" s="13" t="s">
        <v>2384</v>
      </c>
      <c r="E434" s="13" t="s">
        <v>14</v>
      </c>
      <c r="F434" s="2">
        <v>6000</v>
      </c>
      <c r="G434" s="2">
        <v>1.45</v>
      </c>
      <c r="H434" s="2">
        <f t="shared" si="23"/>
        <v>8700</v>
      </c>
      <c r="I434" s="13" t="s">
        <v>287</v>
      </c>
      <c r="J434" s="13" t="s">
        <v>46</v>
      </c>
    </row>
    <row r="435" customHeight="1" spans="1:11">
      <c r="A435" s="19">
        <v>45920</v>
      </c>
      <c r="B435" s="13" t="s">
        <v>1049</v>
      </c>
      <c r="D435" s="13" t="s">
        <v>130</v>
      </c>
      <c r="E435" s="13" t="s">
        <v>60</v>
      </c>
      <c r="F435" s="13">
        <v>30700</v>
      </c>
      <c r="G435" s="13">
        <v>0.35</v>
      </c>
      <c r="H435" s="13">
        <f t="shared" si="23"/>
        <v>10745</v>
      </c>
      <c r="I435" s="13" t="s">
        <v>100</v>
      </c>
      <c r="K435" s="13" t="s">
        <v>1135</v>
      </c>
    </row>
    <row r="436" customHeight="1" spans="1:11">
      <c r="A436" s="19">
        <v>45918</v>
      </c>
      <c r="B436" s="13" t="s">
        <v>808</v>
      </c>
      <c r="D436" s="13" t="s">
        <v>290</v>
      </c>
      <c r="E436" s="13" t="s">
        <v>14</v>
      </c>
      <c r="F436" s="2">
        <v>26000</v>
      </c>
      <c r="G436" s="2">
        <v>0.9</v>
      </c>
      <c r="H436" s="2">
        <f t="shared" si="23"/>
        <v>23400</v>
      </c>
      <c r="I436" s="13" t="s">
        <v>45</v>
      </c>
      <c r="J436" s="13" t="s">
        <v>46</v>
      </c>
      <c r="K436" s="13" t="s">
        <v>1135</v>
      </c>
    </row>
    <row r="437" customHeight="1" spans="1:11">
      <c r="A437" s="19">
        <v>45921</v>
      </c>
      <c r="B437" s="13" t="s">
        <v>808</v>
      </c>
      <c r="C437" s="13">
        <v>3787354</v>
      </c>
      <c r="D437" s="13" t="s">
        <v>709</v>
      </c>
      <c r="E437" s="13" t="s">
        <v>14</v>
      </c>
      <c r="F437" s="2">
        <v>35200</v>
      </c>
      <c r="G437" s="2">
        <v>0.6</v>
      </c>
      <c r="H437" s="2">
        <f t="shared" si="23"/>
        <v>21120</v>
      </c>
      <c r="I437" s="13" t="s">
        <v>808</v>
      </c>
      <c r="J437" s="13" t="s">
        <v>46</v>
      </c>
      <c r="K437" s="13" t="s">
        <v>1135</v>
      </c>
    </row>
    <row r="438" customHeight="1" spans="1:11">
      <c r="A438" s="19">
        <v>45922</v>
      </c>
      <c r="B438" s="13" t="s">
        <v>2385</v>
      </c>
      <c r="C438" s="13" t="s">
        <v>2386</v>
      </c>
      <c r="D438" s="13" t="s">
        <v>241</v>
      </c>
      <c r="E438" s="13" t="s">
        <v>14</v>
      </c>
      <c r="F438" s="13">
        <v>20000</v>
      </c>
      <c r="G438" s="13">
        <v>0.65</v>
      </c>
      <c r="H438" s="13">
        <f t="shared" si="23"/>
        <v>13000</v>
      </c>
      <c r="I438" s="13" t="s">
        <v>2387</v>
      </c>
      <c r="J438" s="13" t="s">
        <v>46</v>
      </c>
      <c r="K438" s="13" t="s">
        <v>1135</v>
      </c>
    </row>
    <row r="439" customHeight="1" spans="1:11">
      <c r="A439" s="19">
        <v>45918</v>
      </c>
      <c r="B439" s="13" t="s">
        <v>439</v>
      </c>
      <c r="D439" s="13" t="s">
        <v>441</v>
      </c>
      <c r="E439" s="13" t="s">
        <v>158</v>
      </c>
      <c r="F439" s="13">
        <v>50000</v>
      </c>
      <c r="G439" s="13">
        <v>0.125</v>
      </c>
      <c r="H439" s="13">
        <f t="shared" si="23"/>
        <v>6250</v>
      </c>
      <c r="I439" s="13" t="s">
        <v>61</v>
      </c>
      <c r="J439" s="13" t="s">
        <v>46</v>
      </c>
      <c r="K439" s="13" t="s">
        <v>1135</v>
      </c>
    </row>
    <row r="440" customHeight="1" spans="1:11">
      <c r="A440" s="19">
        <v>45918</v>
      </c>
      <c r="B440" s="13" t="s">
        <v>439</v>
      </c>
      <c r="D440" s="13" t="s">
        <v>1127</v>
      </c>
      <c r="E440" s="13" t="s">
        <v>158</v>
      </c>
      <c r="F440" s="13">
        <v>50000</v>
      </c>
      <c r="G440" s="13">
        <v>0.125</v>
      </c>
      <c r="H440" s="13">
        <f t="shared" si="23"/>
        <v>6250</v>
      </c>
      <c r="I440" s="13" t="s">
        <v>61</v>
      </c>
      <c r="J440" s="13" t="s">
        <v>46</v>
      </c>
      <c r="K440" s="13" t="s">
        <v>1135</v>
      </c>
    </row>
    <row r="441" customHeight="1" spans="1:11">
      <c r="A441" s="19">
        <v>45926</v>
      </c>
      <c r="B441" s="13" t="s">
        <v>225</v>
      </c>
      <c r="C441" s="89" t="s">
        <v>2388</v>
      </c>
      <c r="D441" s="13" t="s">
        <v>2389</v>
      </c>
      <c r="E441" s="13" t="s">
        <v>2390</v>
      </c>
      <c r="F441" s="13">
        <v>15205</v>
      </c>
      <c r="G441" s="13">
        <v>0.4</v>
      </c>
      <c r="H441" s="13">
        <f t="shared" si="23"/>
        <v>6082</v>
      </c>
      <c r="I441" s="13" t="s">
        <v>356</v>
      </c>
    </row>
    <row r="442" customHeight="1" spans="1:11">
      <c r="A442" s="19">
        <v>45929</v>
      </c>
      <c r="B442" s="13" t="s">
        <v>225</v>
      </c>
      <c r="C442" s="89" t="s">
        <v>2391</v>
      </c>
      <c r="D442" s="13" t="s">
        <v>2389</v>
      </c>
      <c r="E442" s="13" t="s">
        <v>60</v>
      </c>
      <c r="F442" s="13">
        <v>1040</v>
      </c>
      <c r="G442" s="13">
        <v>0.37</v>
      </c>
      <c r="H442" s="13">
        <f t="shared" si="23"/>
        <v>384.8</v>
      </c>
      <c r="I442" s="13" t="s">
        <v>61</v>
      </c>
    </row>
    <row r="443" customHeight="1" spans="1:11">
      <c r="A443" s="19">
        <v>45929</v>
      </c>
      <c r="B443" s="13" t="s">
        <v>225</v>
      </c>
      <c r="C443" s="89" t="s">
        <v>2391</v>
      </c>
      <c r="D443" s="13" t="s">
        <v>2389</v>
      </c>
      <c r="E443" s="13" t="s">
        <v>62</v>
      </c>
      <c r="F443" s="13">
        <v>22</v>
      </c>
      <c r="G443" s="13">
        <v>0.37</v>
      </c>
      <c r="H443" s="13">
        <f t="shared" si="23"/>
        <v>8.14</v>
      </c>
      <c r="I443" s="13" t="s">
        <v>71</v>
      </c>
    </row>
    <row r="444" customHeight="1" spans="1:11">
      <c r="A444" s="19">
        <v>45929</v>
      </c>
      <c r="B444" s="13" t="s">
        <v>225</v>
      </c>
      <c r="C444" s="89" t="s">
        <v>2391</v>
      </c>
      <c r="D444" s="13" t="s">
        <v>2389</v>
      </c>
      <c r="E444" s="13" t="s">
        <v>62</v>
      </c>
      <c r="F444" s="13">
        <v>11</v>
      </c>
      <c r="G444" s="13">
        <v>0.37</v>
      </c>
      <c r="H444" s="13">
        <f t="shared" si="23"/>
        <v>4.07</v>
      </c>
      <c r="I444" s="13" t="s">
        <v>32</v>
      </c>
    </row>
    <row r="452" customHeight="1" spans="1:4">
      <c r="A452" s="13" t="s">
        <v>2392</v>
      </c>
      <c r="D452" s="31"/>
    </row>
    <row r="454" ht="13" customHeight="1"/>
  </sheetData>
  <autoFilter xmlns:etc="http://www.wps.cn/officeDocument/2017/etCustomData" ref="A1:K444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7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20.375" defaultRowHeight="27" customHeight="1"/>
  <cols>
    <col min="1" max="1" width="13.25" style="13" customWidth="1"/>
    <col min="2" max="2" width="20.375" style="13" customWidth="1"/>
    <col min="3" max="3" width="27.625" style="13" customWidth="1"/>
    <col min="4" max="16384" width="20.375" style="13" customWidth="1"/>
  </cols>
  <sheetData>
    <row r="1" s="12" customFormat="1" ht="40" customHeight="1" spans="1:1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6" t="s">
        <v>8</v>
      </c>
      <c r="J1" s="16" t="s">
        <v>9</v>
      </c>
      <c r="K1" s="16" t="s">
        <v>10</v>
      </c>
    </row>
    <row r="2" customHeight="1" spans="1:11">
      <c r="A2" s="19">
        <v>45933</v>
      </c>
      <c r="B2" s="13" t="s">
        <v>113</v>
      </c>
      <c r="C2" s="13" t="s">
        <v>2393</v>
      </c>
      <c r="D2" s="13" t="s">
        <v>76</v>
      </c>
      <c r="E2" s="13" t="s">
        <v>207</v>
      </c>
      <c r="F2" s="2">
        <v>20010</v>
      </c>
      <c r="G2" s="2">
        <v>0.45</v>
      </c>
      <c r="H2" s="2">
        <f t="shared" ref="H2:H15" si="0">F2*G2</f>
        <v>9004.5</v>
      </c>
      <c r="I2" s="13" t="s">
        <v>1465</v>
      </c>
    </row>
    <row r="3" customHeight="1" spans="1:11">
      <c r="A3" s="19">
        <v>45933</v>
      </c>
      <c r="B3" s="13" t="s">
        <v>113</v>
      </c>
      <c r="C3" s="13" t="s">
        <v>2393</v>
      </c>
      <c r="D3" s="13" t="s">
        <v>76</v>
      </c>
      <c r="E3" s="13" t="s">
        <v>222</v>
      </c>
      <c r="F3" s="2">
        <v>3110</v>
      </c>
      <c r="G3" s="2">
        <v>0.43</v>
      </c>
      <c r="H3" s="2">
        <f t="shared" si="0"/>
        <v>1337.3</v>
      </c>
      <c r="I3" s="13" t="s">
        <v>356</v>
      </c>
    </row>
    <row r="4" customHeight="1" spans="1:11">
      <c r="A4" s="19">
        <v>45934</v>
      </c>
      <c r="B4" s="13" t="s">
        <v>113</v>
      </c>
      <c r="C4" s="13" t="s">
        <v>2394</v>
      </c>
      <c r="D4" s="13" t="s">
        <v>76</v>
      </c>
      <c r="E4" s="13" t="s">
        <v>1621</v>
      </c>
      <c r="F4" s="2">
        <v>18130</v>
      </c>
      <c r="G4" s="2">
        <v>0.45</v>
      </c>
      <c r="H4" s="2">
        <f t="shared" si="0"/>
        <v>8158.5</v>
      </c>
      <c r="I4" s="13" t="s">
        <v>126</v>
      </c>
    </row>
    <row r="5" customHeight="1" spans="1:11">
      <c r="A5" s="19">
        <v>45934</v>
      </c>
      <c r="B5" s="13" t="s">
        <v>113</v>
      </c>
      <c r="C5" s="13" t="s">
        <v>2394</v>
      </c>
      <c r="D5" s="13" t="s">
        <v>76</v>
      </c>
      <c r="E5" s="13" t="s">
        <v>1621</v>
      </c>
      <c r="F5" s="2">
        <v>2105</v>
      </c>
      <c r="G5" s="2">
        <v>0.45</v>
      </c>
      <c r="H5" s="2">
        <f t="shared" si="0"/>
        <v>947.25</v>
      </c>
      <c r="I5" s="13" t="s">
        <v>126</v>
      </c>
    </row>
    <row r="6" s="13" customFormat="1" customHeight="1" spans="1:11">
      <c r="A6" s="19">
        <v>45934</v>
      </c>
      <c r="B6" s="13" t="s">
        <v>113</v>
      </c>
      <c r="C6" s="13" t="s">
        <v>2394</v>
      </c>
      <c r="D6" s="13" t="s">
        <v>128</v>
      </c>
      <c r="E6" s="13" t="s">
        <v>1621</v>
      </c>
      <c r="F6" s="2">
        <v>5705</v>
      </c>
      <c r="G6" s="2">
        <v>0.53</v>
      </c>
      <c r="H6" s="2">
        <f t="shared" si="0"/>
        <v>3023.65</v>
      </c>
      <c r="I6" s="13" t="s">
        <v>805</v>
      </c>
    </row>
    <row r="7" s="13" customFormat="1" customHeight="1" spans="1:11">
      <c r="A7" s="19">
        <v>45935</v>
      </c>
      <c r="B7" s="13" t="s">
        <v>113</v>
      </c>
      <c r="C7" s="13" t="s">
        <v>2395</v>
      </c>
      <c r="D7" s="13" t="s">
        <v>59</v>
      </c>
      <c r="E7" s="13" t="s">
        <v>1273</v>
      </c>
      <c r="F7" s="2">
        <v>4150</v>
      </c>
      <c r="G7" s="2">
        <v>0.45</v>
      </c>
      <c r="H7" s="2">
        <f t="shared" si="0"/>
        <v>1867.5</v>
      </c>
      <c r="I7" s="13" t="s">
        <v>2139</v>
      </c>
    </row>
    <row r="8" s="13" customFormat="1" customHeight="1" spans="1:11">
      <c r="A8" s="19">
        <v>45935</v>
      </c>
      <c r="B8" s="13" t="s">
        <v>113</v>
      </c>
      <c r="C8" s="13" t="s">
        <v>2395</v>
      </c>
      <c r="D8" s="13" t="s">
        <v>130</v>
      </c>
      <c r="E8" s="13" t="s">
        <v>1273</v>
      </c>
      <c r="F8" s="2">
        <v>4010</v>
      </c>
      <c r="G8" s="2">
        <v>0.4</v>
      </c>
      <c r="H8" s="2">
        <f t="shared" si="0"/>
        <v>1604</v>
      </c>
      <c r="I8" s="13" t="s">
        <v>2139</v>
      </c>
    </row>
    <row r="9" s="13" customFormat="1" customHeight="1" spans="1:11">
      <c r="A9" s="19">
        <v>45935</v>
      </c>
      <c r="B9" s="13" t="s">
        <v>113</v>
      </c>
      <c r="C9" s="13" t="s">
        <v>2395</v>
      </c>
      <c r="D9" s="13" t="s">
        <v>76</v>
      </c>
      <c r="E9" s="13" t="s">
        <v>207</v>
      </c>
      <c r="F9" s="2">
        <v>6160</v>
      </c>
      <c r="G9" s="2">
        <v>0.45</v>
      </c>
      <c r="H9" s="2">
        <f t="shared" si="0"/>
        <v>2772</v>
      </c>
      <c r="I9" s="13" t="s">
        <v>340</v>
      </c>
    </row>
    <row r="10" s="13" customFormat="1" customHeight="1" spans="1:11">
      <c r="A10" s="19">
        <v>45935</v>
      </c>
      <c r="B10" s="13" t="s">
        <v>113</v>
      </c>
      <c r="C10" s="13" t="s">
        <v>2395</v>
      </c>
      <c r="D10" s="13" t="s">
        <v>76</v>
      </c>
      <c r="E10" s="13" t="s">
        <v>207</v>
      </c>
      <c r="F10" s="2">
        <v>5110</v>
      </c>
      <c r="G10" s="2">
        <v>0.45</v>
      </c>
      <c r="H10" s="2">
        <f t="shared" si="0"/>
        <v>2299.5</v>
      </c>
      <c r="I10" s="13" t="s">
        <v>340</v>
      </c>
    </row>
    <row r="11" s="13" customFormat="1" customHeight="1" spans="1:11">
      <c r="A11" s="19">
        <v>45935</v>
      </c>
      <c r="B11" s="13" t="s">
        <v>113</v>
      </c>
      <c r="C11" s="13" t="s">
        <v>2395</v>
      </c>
      <c r="D11" s="13" t="s">
        <v>59</v>
      </c>
      <c r="E11" s="13" t="s">
        <v>1273</v>
      </c>
      <c r="F11" s="2">
        <v>365</v>
      </c>
      <c r="G11" s="2">
        <v>0.45</v>
      </c>
      <c r="H11" s="2">
        <f t="shared" si="0"/>
        <v>164.25</v>
      </c>
      <c r="I11" s="13" t="s">
        <v>133</v>
      </c>
    </row>
    <row r="12" s="13" customFormat="1" customHeight="1" spans="1:11">
      <c r="A12" s="19">
        <v>45936</v>
      </c>
      <c r="B12" s="13" t="s">
        <v>113</v>
      </c>
      <c r="C12" s="13" t="s">
        <v>2396</v>
      </c>
      <c r="D12" s="13" t="s">
        <v>130</v>
      </c>
      <c r="E12" s="13" t="s">
        <v>2397</v>
      </c>
      <c r="F12" s="2">
        <v>6205</v>
      </c>
      <c r="G12" s="2">
        <v>0.7</v>
      </c>
      <c r="H12" s="2">
        <f t="shared" si="0"/>
        <v>4343.5</v>
      </c>
      <c r="I12" s="13" t="s">
        <v>2398</v>
      </c>
    </row>
    <row r="13" s="13" customFormat="1" customHeight="1" spans="1:11">
      <c r="A13" s="19">
        <v>45936</v>
      </c>
      <c r="B13" s="13" t="s">
        <v>113</v>
      </c>
      <c r="C13" s="13" t="s">
        <v>2396</v>
      </c>
      <c r="D13" s="13" t="s">
        <v>122</v>
      </c>
      <c r="E13" s="13" t="s">
        <v>2399</v>
      </c>
      <c r="F13" s="2">
        <v>1110</v>
      </c>
      <c r="G13" s="2">
        <v>0.53</v>
      </c>
      <c r="H13" s="2">
        <f t="shared" si="0"/>
        <v>588.3</v>
      </c>
      <c r="I13" s="13" t="s">
        <v>2400</v>
      </c>
    </row>
    <row r="14" s="13" customFormat="1" customHeight="1" spans="1:11">
      <c r="A14" s="19">
        <v>45939</v>
      </c>
      <c r="B14" s="13" t="s">
        <v>113</v>
      </c>
      <c r="C14" s="13" t="s">
        <v>2401</v>
      </c>
      <c r="D14" s="13" t="s">
        <v>130</v>
      </c>
      <c r="E14" s="13" t="s">
        <v>1621</v>
      </c>
      <c r="F14" s="2">
        <v>20630</v>
      </c>
      <c r="G14" s="2">
        <v>0.45</v>
      </c>
      <c r="H14" s="2">
        <f t="shared" si="0"/>
        <v>9283.5</v>
      </c>
      <c r="I14" s="13" t="s">
        <v>433</v>
      </c>
    </row>
    <row r="15" s="13" customFormat="1" customHeight="1" spans="1:11">
      <c r="A15" s="19">
        <v>45936</v>
      </c>
      <c r="B15" s="13" t="s">
        <v>113</v>
      </c>
      <c r="C15" s="13" t="s">
        <v>2396</v>
      </c>
      <c r="D15" s="13" t="s">
        <v>130</v>
      </c>
      <c r="E15" s="13" t="s">
        <v>1621</v>
      </c>
      <c r="F15" s="2">
        <v>5070</v>
      </c>
      <c r="G15" s="2">
        <v>0.45</v>
      </c>
      <c r="H15" s="2">
        <f t="shared" si="0"/>
        <v>2281.5</v>
      </c>
      <c r="I15" s="13" t="s">
        <v>117</v>
      </c>
    </row>
    <row r="16" s="13" customFormat="1" customHeight="1" spans="1:11">
      <c r="A16" s="19">
        <v>45936</v>
      </c>
      <c r="B16" s="13" t="s">
        <v>113</v>
      </c>
      <c r="C16" s="13" t="s">
        <v>2396</v>
      </c>
      <c r="D16" s="13" t="s">
        <v>59</v>
      </c>
      <c r="E16" s="13" t="s">
        <v>222</v>
      </c>
      <c r="F16" s="2">
        <v>6120</v>
      </c>
      <c r="G16" s="2">
        <v>0.43</v>
      </c>
      <c r="H16" s="2">
        <f t="shared" ref="H16:H27" si="1">F16*G16</f>
        <v>2631.6</v>
      </c>
      <c r="I16" s="13" t="s">
        <v>433</v>
      </c>
    </row>
    <row r="17" s="13" customFormat="1" customHeight="1" spans="1:9">
      <c r="A17" s="19">
        <v>45937</v>
      </c>
      <c r="B17" s="13" t="s">
        <v>113</v>
      </c>
      <c r="C17" s="13" t="s">
        <v>2402</v>
      </c>
      <c r="D17" s="13" t="s">
        <v>128</v>
      </c>
      <c r="E17" s="13" t="s">
        <v>222</v>
      </c>
      <c r="F17" s="2">
        <v>10020</v>
      </c>
      <c r="G17" s="2">
        <v>0.45</v>
      </c>
      <c r="H17" s="2">
        <f t="shared" si="1"/>
        <v>4509</v>
      </c>
      <c r="I17" s="13" t="s">
        <v>2166</v>
      </c>
    </row>
    <row r="18" s="13" customFormat="1" customHeight="1" spans="1:9">
      <c r="A18" s="19">
        <v>45938</v>
      </c>
      <c r="B18" s="13" t="s">
        <v>113</v>
      </c>
      <c r="C18" s="13" t="s">
        <v>2403</v>
      </c>
      <c r="D18" s="13" t="s">
        <v>59</v>
      </c>
      <c r="E18" s="13" t="s">
        <v>207</v>
      </c>
      <c r="F18" s="2">
        <v>9035</v>
      </c>
      <c r="G18" s="2">
        <v>0.45</v>
      </c>
      <c r="H18" s="2">
        <f t="shared" si="1"/>
        <v>4065.75</v>
      </c>
      <c r="I18" s="13" t="s">
        <v>35</v>
      </c>
    </row>
    <row r="19" s="13" customFormat="1" customHeight="1" spans="1:9">
      <c r="A19" s="19">
        <v>45939</v>
      </c>
      <c r="B19" s="13" t="s">
        <v>113</v>
      </c>
      <c r="C19" s="13" t="s">
        <v>2404</v>
      </c>
      <c r="D19" s="13" t="s">
        <v>627</v>
      </c>
      <c r="E19" s="13" t="s">
        <v>222</v>
      </c>
      <c r="F19" s="2">
        <v>6</v>
      </c>
      <c r="G19" s="2">
        <v>0</v>
      </c>
      <c r="H19" s="2">
        <f t="shared" si="1"/>
        <v>0</v>
      </c>
      <c r="I19" s="13" t="s">
        <v>32</v>
      </c>
    </row>
    <row r="20" s="13" customFormat="1" customHeight="1" spans="1:9">
      <c r="A20" s="19">
        <v>45941</v>
      </c>
      <c r="B20" s="13" t="s">
        <v>113</v>
      </c>
      <c r="C20" s="13" t="s">
        <v>2405</v>
      </c>
      <c r="D20" s="13" t="s">
        <v>115</v>
      </c>
      <c r="E20" s="13" t="s">
        <v>2399</v>
      </c>
      <c r="F20" s="2">
        <v>20010</v>
      </c>
      <c r="G20" s="2">
        <v>0.47</v>
      </c>
      <c r="H20" s="2">
        <f t="shared" si="1"/>
        <v>9404.7</v>
      </c>
      <c r="I20" s="13" t="s">
        <v>372</v>
      </c>
    </row>
    <row r="21" s="13" customFormat="1" customHeight="1" spans="1:9">
      <c r="A21" s="19">
        <v>45941</v>
      </c>
      <c r="B21" s="13" t="s">
        <v>113</v>
      </c>
      <c r="C21" s="13" t="s">
        <v>2406</v>
      </c>
      <c r="D21" s="13" t="s">
        <v>122</v>
      </c>
      <c r="E21" s="13" t="s">
        <v>222</v>
      </c>
      <c r="F21" s="2">
        <v>12</v>
      </c>
      <c r="G21" s="2">
        <v>0</v>
      </c>
      <c r="H21" s="2">
        <f t="shared" si="1"/>
        <v>0</v>
      </c>
      <c r="I21" s="13" t="s">
        <v>32</v>
      </c>
    </row>
    <row r="22" s="13" customFormat="1" customHeight="1" spans="1:9">
      <c r="A22" s="19">
        <v>45941</v>
      </c>
      <c r="B22" s="13" t="s">
        <v>113</v>
      </c>
      <c r="C22" s="13" t="s">
        <v>2406</v>
      </c>
      <c r="D22" s="13" t="s">
        <v>76</v>
      </c>
      <c r="E22" s="13" t="s">
        <v>2399</v>
      </c>
      <c r="F22" s="2">
        <v>10</v>
      </c>
      <c r="G22" s="2">
        <v>0</v>
      </c>
      <c r="H22" s="2">
        <f t="shared" si="1"/>
        <v>0</v>
      </c>
      <c r="I22" s="13" t="s">
        <v>32</v>
      </c>
    </row>
    <row r="23" s="13" customFormat="1" customHeight="1" spans="1:9">
      <c r="A23" s="19">
        <v>45941</v>
      </c>
      <c r="B23" s="13" t="s">
        <v>113</v>
      </c>
      <c r="C23" s="13" t="s">
        <v>2406</v>
      </c>
      <c r="D23" s="13" t="s">
        <v>627</v>
      </c>
      <c r="E23" s="13" t="s">
        <v>361</v>
      </c>
      <c r="F23" s="2">
        <v>6</v>
      </c>
      <c r="G23" s="2">
        <v>0</v>
      </c>
      <c r="H23" s="2">
        <f t="shared" si="1"/>
        <v>0</v>
      </c>
      <c r="I23" s="13" t="s">
        <v>32</v>
      </c>
    </row>
    <row r="24" s="13" customFormat="1" customHeight="1" spans="1:9">
      <c r="A24" s="19">
        <v>45942</v>
      </c>
      <c r="B24" s="13" t="s">
        <v>113</v>
      </c>
      <c r="C24" s="13" t="s">
        <v>2407</v>
      </c>
      <c r="D24" s="13" t="s">
        <v>59</v>
      </c>
      <c r="E24" s="13" t="s">
        <v>1273</v>
      </c>
      <c r="F24" s="2">
        <v>20000</v>
      </c>
      <c r="G24" s="2">
        <v>0.45</v>
      </c>
      <c r="H24" s="2">
        <f t="shared" si="1"/>
        <v>9000</v>
      </c>
      <c r="I24" s="13" t="s">
        <v>69</v>
      </c>
    </row>
    <row r="25" s="13" customFormat="1" customHeight="1" spans="1:9">
      <c r="A25" s="19">
        <v>45942</v>
      </c>
      <c r="B25" s="13" t="s">
        <v>113</v>
      </c>
      <c r="C25" s="13" t="s">
        <v>2407</v>
      </c>
      <c r="D25" s="13" t="s">
        <v>115</v>
      </c>
      <c r="E25" s="13" t="s">
        <v>1273</v>
      </c>
      <c r="F25" s="2">
        <v>6060</v>
      </c>
      <c r="G25" s="2">
        <v>0.45</v>
      </c>
      <c r="H25" s="2">
        <f t="shared" si="1"/>
        <v>2727</v>
      </c>
      <c r="I25" s="13" t="s">
        <v>2139</v>
      </c>
    </row>
    <row r="26" s="13" customFormat="1" customHeight="1" spans="1:9">
      <c r="A26" s="19">
        <v>45942</v>
      </c>
      <c r="B26" s="13" t="s">
        <v>113</v>
      </c>
      <c r="C26" s="13" t="s">
        <v>2407</v>
      </c>
      <c r="D26" s="13" t="s">
        <v>76</v>
      </c>
      <c r="E26" s="13" t="s">
        <v>1621</v>
      </c>
      <c r="F26" s="2">
        <v>3015</v>
      </c>
      <c r="G26" s="2">
        <v>0.45</v>
      </c>
      <c r="H26" s="2">
        <f t="shared" si="1"/>
        <v>1356.75</v>
      </c>
      <c r="I26" s="13" t="s">
        <v>999</v>
      </c>
    </row>
    <row r="27" s="13" customFormat="1" customHeight="1" spans="1:9">
      <c r="A27" s="19">
        <v>45942</v>
      </c>
      <c r="B27" s="13" t="s">
        <v>113</v>
      </c>
      <c r="C27" s="13" t="s">
        <v>2407</v>
      </c>
      <c r="D27" s="13" t="s">
        <v>70</v>
      </c>
      <c r="E27" s="13" t="s">
        <v>14</v>
      </c>
      <c r="F27" s="2">
        <v>10</v>
      </c>
      <c r="G27" s="2">
        <v>0</v>
      </c>
      <c r="H27" s="2">
        <f t="shared" si="1"/>
        <v>0</v>
      </c>
      <c r="I27" s="13" t="s">
        <v>32</v>
      </c>
    </row>
    <row r="28" s="13" customFormat="1" customHeight="1" spans="1:9">
      <c r="A28" s="19">
        <v>45944</v>
      </c>
      <c r="B28" s="13" t="s">
        <v>113</v>
      </c>
      <c r="C28" s="13" t="s">
        <v>2408</v>
      </c>
      <c r="D28" s="13" t="s">
        <v>76</v>
      </c>
      <c r="E28" s="13" t="s">
        <v>2397</v>
      </c>
      <c r="F28" s="2">
        <v>83</v>
      </c>
      <c r="G28" s="2">
        <v>0.75</v>
      </c>
      <c r="H28" s="2">
        <f t="shared" ref="H28:H45" si="2">F28*G28</f>
        <v>62.25</v>
      </c>
      <c r="I28" s="13" t="s">
        <v>1990</v>
      </c>
    </row>
    <row r="29" s="13" customFormat="1" customHeight="1" spans="1:9">
      <c r="A29" s="19">
        <v>45944</v>
      </c>
      <c r="B29" s="13" t="s">
        <v>113</v>
      </c>
      <c r="C29" s="13" t="s">
        <v>2408</v>
      </c>
      <c r="D29" s="13" t="s">
        <v>59</v>
      </c>
      <c r="E29" s="13" t="s">
        <v>1621</v>
      </c>
      <c r="F29" s="2">
        <v>10220</v>
      </c>
      <c r="G29" s="2">
        <v>0.45</v>
      </c>
      <c r="H29" s="2">
        <f t="shared" si="2"/>
        <v>4599</v>
      </c>
      <c r="I29" s="13" t="s">
        <v>35</v>
      </c>
    </row>
    <row r="30" s="13" customFormat="1" customHeight="1" spans="1:9">
      <c r="A30" s="19">
        <v>45944</v>
      </c>
      <c r="B30" s="13" t="s">
        <v>113</v>
      </c>
      <c r="C30" s="13" t="s">
        <v>2408</v>
      </c>
      <c r="D30" s="13" t="s">
        <v>2155</v>
      </c>
      <c r="E30" s="13" t="s">
        <v>1273</v>
      </c>
      <c r="F30" s="2">
        <v>810</v>
      </c>
      <c r="G30" s="2">
        <v>0.43</v>
      </c>
      <c r="H30" s="2">
        <f t="shared" si="2"/>
        <v>348.3</v>
      </c>
      <c r="I30" s="13" t="s">
        <v>2139</v>
      </c>
    </row>
    <row r="31" s="13" customFormat="1" customHeight="1" spans="1:9">
      <c r="A31" s="19">
        <v>45944</v>
      </c>
      <c r="B31" s="13" t="s">
        <v>113</v>
      </c>
      <c r="C31" s="13" t="s">
        <v>2408</v>
      </c>
      <c r="D31" s="13" t="s">
        <v>115</v>
      </c>
      <c r="E31" s="13" t="s">
        <v>1273</v>
      </c>
      <c r="F31" s="2">
        <v>120</v>
      </c>
      <c r="G31" s="2">
        <v>0.45</v>
      </c>
      <c r="H31" s="2">
        <f t="shared" si="2"/>
        <v>54</v>
      </c>
      <c r="I31" s="13" t="s">
        <v>2139</v>
      </c>
    </row>
    <row r="32" s="13" customFormat="1" customHeight="1" spans="1:9">
      <c r="A32" s="19">
        <v>45944</v>
      </c>
      <c r="B32" s="13" t="s">
        <v>113</v>
      </c>
      <c r="C32" s="13" t="s">
        <v>2408</v>
      </c>
      <c r="D32" s="13" t="s">
        <v>122</v>
      </c>
      <c r="E32" s="13" t="s">
        <v>1621</v>
      </c>
      <c r="F32" s="2">
        <v>2045</v>
      </c>
      <c r="G32" s="2">
        <v>0.51</v>
      </c>
      <c r="H32" s="2">
        <f t="shared" si="2"/>
        <v>1042.95</v>
      </c>
      <c r="I32" s="13" t="s">
        <v>126</v>
      </c>
    </row>
    <row r="33" s="13" customFormat="1" customHeight="1" spans="1:9">
      <c r="A33" s="19">
        <v>45944</v>
      </c>
      <c r="B33" s="13" t="s">
        <v>113</v>
      </c>
      <c r="C33" s="13" t="s">
        <v>2408</v>
      </c>
      <c r="D33" s="13" t="s">
        <v>130</v>
      </c>
      <c r="E33" s="13" t="s">
        <v>2397</v>
      </c>
      <c r="F33" s="2">
        <v>2010</v>
      </c>
      <c r="G33" s="20">
        <v>0.7</v>
      </c>
      <c r="H33" s="2">
        <f t="shared" si="2"/>
        <v>1407</v>
      </c>
      <c r="I33" s="13" t="s">
        <v>79</v>
      </c>
    </row>
    <row r="34" s="13" customFormat="1" customHeight="1" spans="1:9">
      <c r="A34" s="19">
        <v>45944</v>
      </c>
      <c r="B34" s="13" t="s">
        <v>113</v>
      </c>
      <c r="C34" s="13" t="s">
        <v>2408</v>
      </c>
      <c r="D34" s="13" t="s">
        <v>115</v>
      </c>
      <c r="E34" s="13" t="s">
        <v>207</v>
      </c>
      <c r="F34" s="2">
        <v>2035</v>
      </c>
      <c r="G34" s="2">
        <v>0.45</v>
      </c>
      <c r="H34" s="2">
        <f t="shared" si="2"/>
        <v>915.75</v>
      </c>
      <c r="I34" s="13" t="s">
        <v>126</v>
      </c>
    </row>
    <row r="35" s="13" customFormat="1" customHeight="1" spans="1:9">
      <c r="A35" s="19">
        <v>45944</v>
      </c>
      <c r="B35" s="13" t="s">
        <v>113</v>
      </c>
      <c r="C35" s="13" t="s">
        <v>2408</v>
      </c>
      <c r="D35" s="13" t="s">
        <v>115</v>
      </c>
      <c r="E35" s="13" t="s">
        <v>222</v>
      </c>
      <c r="F35" s="2">
        <v>5000</v>
      </c>
      <c r="G35" s="2">
        <v>0.41</v>
      </c>
      <c r="H35" s="2">
        <f t="shared" si="2"/>
        <v>2050</v>
      </c>
      <c r="I35" s="13" t="s">
        <v>340</v>
      </c>
    </row>
    <row r="36" s="13" customFormat="1" customHeight="1" spans="1:9">
      <c r="A36" s="19">
        <v>45944</v>
      </c>
      <c r="B36" s="13" t="s">
        <v>113</v>
      </c>
      <c r="C36" s="13" t="s">
        <v>2409</v>
      </c>
      <c r="D36" s="13" t="s">
        <v>128</v>
      </c>
      <c r="E36" s="13" t="s">
        <v>1621</v>
      </c>
      <c r="F36" s="2">
        <v>10010</v>
      </c>
      <c r="G36" s="2">
        <v>0.53</v>
      </c>
      <c r="H36" s="2">
        <f t="shared" si="2"/>
        <v>5305.3</v>
      </c>
      <c r="I36" s="13" t="s">
        <v>1453</v>
      </c>
    </row>
    <row r="37" s="13" customFormat="1" customHeight="1" spans="1:9">
      <c r="A37" s="19">
        <v>45944</v>
      </c>
      <c r="B37" s="13" t="s">
        <v>113</v>
      </c>
      <c r="C37" s="13" t="s">
        <v>2409</v>
      </c>
      <c r="D37" s="13" t="s">
        <v>115</v>
      </c>
      <c r="E37" s="13" t="s">
        <v>1621</v>
      </c>
      <c r="F37" s="2">
        <v>3045</v>
      </c>
      <c r="G37" s="2">
        <v>0.45</v>
      </c>
      <c r="H37" s="2">
        <f t="shared" si="2"/>
        <v>1370.25</v>
      </c>
      <c r="I37" s="13" t="s">
        <v>126</v>
      </c>
    </row>
    <row r="38" s="13" customFormat="1" customHeight="1" spans="1:9">
      <c r="A38" s="19">
        <v>45944</v>
      </c>
      <c r="B38" s="13" t="s">
        <v>113</v>
      </c>
      <c r="C38" s="13" t="s">
        <v>2409</v>
      </c>
      <c r="D38" s="13" t="s">
        <v>76</v>
      </c>
      <c r="E38" s="13" t="s">
        <v>1621</v>
      </c>
      <c r="F38" s="2">
        <v>2010</v>
      </c>
      <c r="G38" s="2">
        <v>0.45</v>
      </c>
      <c r="H38" s="2">
        <f t="shared" si="2"/>
        <v>904.5</v>
      </c>
      <c r="I38" s="13" t="s">
        <v>2147</v>
      </c>
    </row>
    <row r="39" s="13" customFormat="1" customHeight="1" spans="1:9">
      <c r="A39" s="19">
        <v>45944</v>
      </c>
      <c r="B39" s="13" t="s">
        <v>113</v>
      </c>
      <c r="C39" s="13" t="s">
        <v>2409</v>
      </c>
      <c r="D39" s="13" t="s">
        <v>122</v>
      </c>
      <c r="E39" s="13" t="s">
        <v>1621</v>
      </c>
      <c r="F39" s="2">
        <v>205</v>
      </c>
      <c r="G39" s="2">
        <v>0.51</v>
      </c>
      <c r="H39" s="2">
        <f t="shared" si="2"/>
        <v>104.55</v>
      </c>
      <c r="I39" s="13" t="s">
        <v>984</v>
      </c>
    </row>
    <row r="40" s="13" customFormat="1" customHeight="1" spans="1:9">
      <c r="A40" s="19">
        <v>45945</v>
      </c>
      <c r="B40" s="13" t="s">
        <v>113</v>
      </c>
      <c r="C40" s="13" t="s">
        <v>2410</v>
      </c>
      <c r="D40" s="13" t="s">
        <v>76</v>
      </c>
      <c r="E40" s="13" t="s">
        <v>222</v>
      </c>
      <c r="F40" s="2">
        <v>4010</v>
      </c>
      <c r="G40" s="2">
        <v>0.43</v>
      </c>
      <c r="H40" s="2">
        <f t="shared" si="2"/>
        <v>1724.3</v>
      </c>
      <c r="I40" s="13" t="s">
        <v>2147</v>
      </c>
    </row>
    <row r="41" s="13" customFormat="1" customHeight="1" spans="1:9">
      <c r="A41" s="19">
        <v>45945</v>
      </c>
      <c r="B41" s="13" t="s">
        <v>113</v>
      </c>
      <c r="C41" s="13" t="s">
        <v>2410</v>
      </c>
      <c r="D41" s="13" t="s">
        <v>59</v>
      </c>
      <c r="E41" s="13" t="s">
        <v>1273</v>
      </c>
      <c r="F41" s="2">
        <v>6110</v>
      </c>
      <c r="G41" s="2">
        <v>0.45</v>
      </c>
      <c r="H41" s="2">
        <f t="shared" si="2"/>
        <v>2749.5</v>
      </c>
      <c r="I41" s="13" t="s">
        <v>133</v>
      </c>
    </row>
    <row r="42" s="13" customFormat="1" customHeight="1" spans="1:9">
      <c r="A42" s="19">
        <v>45945</v>
      </c>
      <c r="B42" s="13" t="s">
        <v>113</v>
      </c>
      <c r="C42" s="13" t="s">
        <v>2410</v>
      </c>
      <c r="D42" s="13" t="s">
        <v>76</v>
      </c>
      <c r="E42" s="13" t="s">
        <v>222</v>
      </c>
      <c r="F42" s="2">
        <v>2045</v>
      </c>
      <c r="G42" s="2">
        <v>0.43</v>
      </c>
      <c r="H42" s="2">
        <f t="shared" si="2"/>
        <v>879.35</v>
      </c>
      <c r="I42" s="13" t="s">
        <v>126</v>
      </c>
    </row>
    <row r="43" s="13" customFormat="1" customHeight="1" spans="1:9">
      <c r="A43" s="19">
        <v>45946</v>
      </c>
      <c r="B43" s="13" t="s">
        <v>113</v>
      </c>
      <c r="C43" s="13" t="s">
        <v>2411</v>
      </c>
      <c r="D43" s="13" t="s">
        <v>59</v>
      </c>
      <c r="E43" s="13" t="s">
        <v>222</v>
      </c>
      <c r="F43" s="2">
        <v>8250</v>
      </c>
      <c r="G43" s="2">
        <v>0.43</v>
      </c>
      <c r="H43" s="2">
        <f t="shared" si="2"/>
        <v>3547.5</v>
      </c>
      <c r="I43" s="13" t="s">
        <v>433</v>
      </c>
    </row>
    <row r="44" s="13" customFormat="1" customHeight="1" spans="1:9">
      <c r="A44" s="19">
        <v>45946</v>
      </c>
      <c r="B44" s="13" t="s">
        <v>113</v>
      </c>
      <c r="C44" s="13" t="s">
        <v>2411</v>
      </c>
      <c r="D44" s="13" t="s">
        <v>115</v>
      </c>
      <c r="E44" s="13" t="s">
        <v>1621</v>
      </c>
      <c r="F44" s="2">
        <v>4045</v>
      </c>
      <c r="G44" s="2">
        <v>0.45</v>
      </c>
      <c r="H44" s="2">
        <f t="shared" si="2"/>
        <v>1820.25</v>
      </c>
      <c r="I44" s="13" t="s">
        <v>126</v>
      </c>
    </row>
    <row r="45" s="13" customFormat="1" customHeight="1" spans="1:9">
      <c r="A45" s="19">
        <v>45946</v>
      </c>
      <c r="B45" s="13" t="s">
        <v>113</v>
      </c>
      <c r="C45" s="13" t="s">
        <v>2411</v>
      </c>
      <c r="D45" s="13" t="s">
        <v>1958</v>
      </c>
      <c r="E45" s="13" t="s">
        <v>1273</v>
      </c>
      <c r="F45" s="2">
        <v>20350</v>
      </c>
      <c r="G45" s="2">
        <v>0.42</v>
      </c>
      <c r="H45" s="2">
        <f t="shared" si="2"/>
        <v>8547</v>
      </c>
      <c r="I45" s="13" t="s">
        <v>2139</v>
      </c>
    </row>
    <row r="46" s="13" customFormat="1" customHeight="1" spans="1:9">
      <c r="A46" s="19">
        <v>45947</v>
      </c>
      <c r="B46" s="13" t="s">
        <v>113</v>
      </c>
      <c r="C46" s="13" t="s">
        <v>2412</v>
      </c>
      <c r="D46" s="13" t="s">
        <v>130</v>
      </c>
      <c r="E46" s="13" t="s">
        <v>1273</v>
      </c>
      <c r="F46" s="2">
        <v>10</v>
      </c>
      <c r="G46" s="2">
        <v>0</v>
      </c>
      <c r="H46" s="2">
        <f t="shared" ref="H46:H52" si="3">F46*G46</f>
        <v>0</v>
      </c>
      <c r="I46" s="13" t="s">
        <v>32</v>
      </c>
    </row>
    <row r="47" s="13" customFormat="1" customHeight="1" spans="1:9">
      <c r="A47" s="19">
        <v>45947</v>
      </c>
      <c r="B47" s="13" t="s">
        <v>113</v>
      </c>
      <c r="C47" s="13" t="s">
        <v>2412</v>
      </c>
      <c r="D47" s="13" t="s">
        <v>122</v>
      </c>
      <c r="E47" s="13" t="s">
        <v>361</v>
      </c>
      <c r="F47" s="2">
        <v>10</v>
      </c>
      <c r="G47" s="2">
        <v>0</v>
      </c>
      <c r="H47" s="2">
        <f t="shared" si="3"/>
        <v>0</v>
      </c>
      <c r="I47" s="13" t="s">
        <v>32</v>
      </c>
    </row>
    <row r="48" s="13" customFormat="1" customHeight="1" spans="1:9">
      <c r="A48" s="19">
        <v>45948</v>
      </c>
      <c r="B48" s="13" t="s">
        <v>113</v>
      </c>
      <c r="C48" s="13" t="s">
        <v>2413</v>
      </c>
      <c r="D48" s="13" t="s">
        <v>59</v>
      </c>
      <c r="E48" s="13" t="s">
        <v>1273</v>
      </c>
      <c r="F48" s="2">
        <v>1590</v>
      </c>
      <c r="G48" s="2">
        <v>0.45</v>
      </c>
      <c r="H48" s="2">
        <f t="shared" si="3"/>
        <v>715.5</v>
      </c>
      <c r="I48" s="13" t="s">
        <v>2139</v>
      </c>
    </row>
    <row r="49" s="13" customFormat="1" customHeight="1" spans="1:9">
      <c r="A49" s="19">
        <v>45948</v>
      </c>
      <c r="B49" s="13" t="s">
        <v>113</v>
      </c>
      <c r="C49" s="13" t="s">
        <v>2413</v>
      </c>
      <c r="D49" s="13" t="s">
        <v>115</v>
      </c>
      <c r="E49" s="13" t="s">
        <v>1273</v>
      </c>
      <c r="F49" s="2">
        <v>5050</v>
      </c>
      <c r="G49" s="2">
        <v>0.45</v>
      </c>
      <c r="H49" s="2">
        <f t="shared" si="3"/>
        <v>2272.5</v>
      </c>
      <c r="I49" s="13" t="s">
        <v>2139</v>
      </c>
    </row>
    <row r="50" s="13" customFormat="1" customHeight="1" spans="1:9">
      <c r="A50" s="19">
        <v>45948</v>
      </c>
      <c r="B50" s="13" t="s">
        <v>113</v>
      </c>
      <c r="C50" s="13" t="s">
        <v>2413</v>
      </c>
      <c r="D50" s="13" t="s">
        <v>115</v>
      </c>
      <c r="E50" s="13" t="s">
        <v>1621</v>
      </c>
      <c r="F50" s="2">
        <v>6045</v>
      </c>
      <c r="G50" s="2">
        <v>0.45</v>
      </c>
      <c r="H50" s="2">
        <f t="shared" si="3"/>
        <v>2720.25</v>
      </c>
      <c r="I50" s="13" t="s">
        <v>126</v>
      </c>
    </row>
    <row r="51" s="13" customFormat="1" customHeight="1" spans="1:9">
      <c r="A51" s="19">
        <v>45948</v>
      </c>
      <c r="B51" s="13" t="s">
        <v>113</v>
      </c>
      <c r="C51" s="13" t="s">
        <v>2413</v>
      </c>
      <c r="D51" s="13" t="s">
        <v>115</v>
      </c>
      <c r="E51" s="13" t="s">
        <v>1273</v>
      </c>
      <c r="F51" s="2">
        <v>34550</v>
      </c>
      <c r="G51" s="2">
        <v>0.45</v>
      </c>
      <c r="H51" s="2">
        <f t="shared" si="3"/>
        <v>15547.5</v>
      </c>
      <c r="I51" s="13" t="s">
        <v>2139</v>
      </c>
    </row>
    <row r="52" s="13" customFormat="1" customHeight="1" spans="1:9">
      <c r="A52" s="19">
        <v>45948</v>
      </c>
      <c r="B52" s="13" t="s">
        <v>113</v>
      </c>
      <c r="C52" s="13" t="s">
        <v>2413</v>
      </c>
      <c r="D52" s="13" t="s">
        <v>115</v>
      </c>
      <c r="E52" s="13" t="s">
        <v>1273</v>
      </c>
      <c r="F52" s="2">
        <v>200</v>
      </c>
      <c r="G52" s="2">
        <v>0.45</v>
      </c>
      <c r="H52" s="2">
        <f t="shared" si="3"/>
        <v>90</v>
      </c>
      <c r="I52" s="13" t="s">
        <v>149</v>
      </c>
    </row>
    <row r="53" s="13" customFormat="1" customHeight="1" spans="1:9">
      <c r="A53" s="19">
        <v>45949</v>
      </c>
      <c r="B53" s="13" t="s">
        <v>113</v>
      </c>
      <c r="C53" s="13" t="s">
        <v>2414</v>
      </c>
      <c r="D53" s="13" t="s">
        <v>130</v>
      </c>
      <c r="E53" s="13" t="s">
        <v>1621</v>
      </c>
      <c r="F53" s="2">
        <v>6070</v>
      </c>
      <c r="G53" s="2">
        <v>0.38</v>
      </c>
      <c r="H53" s="2">
        <f t="shared" ref="H53:H74" si="4">F53*G53</f>
        <v>2306.6</v>
      </c>
      <c r="I53" s="13" t="s">
        <v>982</v>
      </c>
    </row>
    <row r="54" s="13" customFormat="1" customHeight="1" spans="1:9">
      <c r="A54" s="19">
        <v>45949</v>
      </c>
      <c r="B54" s="13" t="s">
        <v>113</v>
      </c>
      <c r="C54" s="13" t="s">
        <v>2415</v>
      </c>
      <c r="D54" s="13" t="s">
        <v>76</v>
      </c>
      <c r="E54" s="13" t="s">
        <v>1621</v>
      </c>
      <c r="F54" s="2">
        <v>12120</v>
      </c>
      <c r="G54" s="2">
        <v>0.45</v>
      </c>
      <c r="H54" s="2">
        <f t="shared" si="4"/>
        <v>5454</v>
      </c>
      <c r="I54" s="13" t="s">
        <v>117</v>
      </c>
    </row>
    <row r="55" s="13" customFormat="1" customHeight="1" spans="1:9">
      <c r="A55" s="19">
        <v>45949</v>
      </c>
      <c r="B55" s="13" t="s">
        <v>113</v>
      </c>
      <c r="C55" s="13" t="s">
        <v>2415</v>
      </c>
      <c r="D55" s="13" t="s">
        <v>115</v>
      </c>
      <c r="E55" s="13" t="s">
        <v>1621</v>
      </c>
      <c r="F55" s="2">
        <v>8600</v>
      </c>
      <c r="G55" s="2">
        <v>0.45</v>
      </c>
      <c r="H55" s="2">
        <f t="shared" si="4"/>
        <v>3870</v>
      </c>
      <c r="I55" s="13" t="s">
        <v>126</v>
      </c>
    </row>
    <row r="56" s="13" customFormat="1" customHeight="1" spans="1:9">
      <c r="A56" s="19">
        <v>45949</v>
      </c>
      <c r="B56" s="13" t="s">
        <v>113</v>
      </c>
      <c r="C56" s="13" t="s">
        <v>2415</v>
      </c>
      <c r="D56" s="13" t="s">
        <v>76</v>
      </c>
      <c r="E56" s="13" t="s">
        <v>1621</v>
      </c>
      <c r="F56" s="2">
        <v>5110</v>
      </c>
      <c r="G56" s="2">
        <v>0.45</v>
      </c>
      <c r="H56" s="2">
        <f t="shared" si="4"/>
        <v>2299.5</v>
      </c>
      <c r="I56" s="13" t="s">
        <v>999</v>
      </c>
    </row>
    <row r="57" s="13" customFormat="1" customHeight="1" spans="1:9">
      <c r="A57" s="19">
        <v>45949</v>
      </c>
      <c r="B57" s="13" t="s">
        <v>113</v>
      </c>
      <c r="C57" s="13" t="s">
        <v>2415</v>
      </c>
      <c r="D57" s="13" t="s">
        <v>76</v>
      </c>
      <c r="E57" s="13" t="s">
        <v>222</v>
      </c>
      <c r="F57" s="2">
        <v>5010</v>
      </c>
      <c r="G57" s="2">
        <v>0.43</v>
      </c>
      <c r="H57" s="2">
        <f t="shared" si="4"/>
        <v>2154.3</v>
      </c>
      <c r="I57" s="13" t="s">
        <v>189</v>
      </c>
    </row>
    <row r="58" s="13" customFormat="1" customHeight="1" spans="1:9">
      <c r="A58" s="19">
        <v>45949</v>
      </c>
      <c r="B58" s="13" t="s">
        <v>113</v>
      </c>
      <c r="C58" s="13" t="s">
        <v>2415</v>
      </c>
      <c r="D58" s="13" t="s">
        <v>59</v>
      </c>
      <c r="E58" s="13" t="s">
        <v>1273</v>
      </c>
      <c r="F58" s="2">
        <v>4080</v>
      </c>
      <c r="G58" s="2">
        <v>0.45</v>
      </c>
      <c r="H58" s="2">
        <f t="shared" si="4"/>
        <v>1836</v>
      </c>
      <c r="I58" s="13" t="s">
        <v>89</v>
      </c>
    </row>
    <row r="59" s="13" customFormat="1" customHeight="1" spans="1:9">
      <c r="A59" s="19">
        <v>45950</v>
      </c>
      <c r="B59" s="13" t="s">
        <v>113</v>
      </c>
      <c r="C59" s="13" t="s">
        <v>2416</v>
      </c>
      <c r="D59" s="13" t="s">
        <v>122</v>
      </c>
      <c r="E59" s="13" t="s">
        <v>1405</v>
      </c>
      <c r="F59" s="2">
        <v>3010</v>
      </c>
      <c r="G59" s="2">
        <v>0.6</v>
      </c>
      <c r="H59" s="2">
        <f t="shared" si="4"/>
        <v>1806</v>
      </c>
      <c r="I59" s="13" t="s">
        <v>999</v>
      </c>
    </row>
    <row r="60" s="13" customFormat="1" customHeight="1" spans="1:9">
      <c r="A60" s="19">
        <v>45951</v>
      </c>
      <c r="B60" s="13" t="s">
        <v>113</v>
      </c>
      <c r="C60" s="13" t="s">
        <v>2417</v>
      </c>
      <c r="D60" s="13" t="s">
        <v>115</v>
      </c>
      <c r="E60" s="13" t="s">
        <v>2399</v>
      </c>
      <c r="F60" s="2">
        <v>20100</v>
      </c>
      <c r="G60" s="2">
        <v>0.47</v>
      </c>
      <c r="H60" s="2">
        <f t="shared" si="4"/>
        <v>9447</v>
      </c>
      <c r="I60" s="13" t="s">
        <v>999</v>
      </c>
    </row>
    <row r="61" s="13" customFormat="1" customHeight="1" spans="1:9">
      <c r="A61" s="19">
        <v>45951</v>
      </c>
      <c r="B61" s="13" t="s">
        <v>113</v>
      </c>
      <c r="C61" s="13" t="s">
        <v>2417</v>
      </c>
      <c r="D61" s="13" t="s">
        <v>2155</v>
      </c>
      <c r="E61" s="13" t="s">
        <v>222</v>
      </c>
      <c r="F61" s="2">
        <v>6010</v>
      </c>
      <c r="G61" s="2">
        <v>0.43</v>
      </c>
      <c r="H61" s="2">
        <f t="shared" si="4"/>
        <v>2584.3</v>
      </c>
      <c r="I61" s="13" t="s">
        <v>356</v>
      </c>
    </row>
    <row r="62" s="13" customFormat="1" customHeight="1" spans="1:9">
      <c r="A62" s="19">
        <v>45951</v>
      </c>
      <c r="B62" s="13" t="s">
        <v>113</v>
      </c>
      <c r="C62" s="13" t="s">
        <v>2418</v>
      </c>
      <c r="D62" s="13" t="s">
        <v>130</v>
      </c>
      <c r="E62" s="13" t="s">
        <v>1273</v>
      </c>
      <c r="F62" s="2">
        <v>20</v>
      </c>
      <c r="G62" s="2">
        <v>0</v>
      </c>
      <c r="H62" s="2">
        <f t="shared" si="4"/>
        <v>0</v>
      </c>
      <c r="I62" s="13" t="s">
        <v>32</v>
      </c>
    </row>
    <row r="63" s="13" customFormat="1" customHeight="1" spans="1:9">
      <c r="A63" s="19">
        <v>45952</v>
      </c>
      <c r="B63" s="13" t="s">
        <v>113</v>
      </c>
      <c r="C63" s="13" t="s">
        <v>2419</v>
      </c>
      <c r="D63" s="13" t="s">
        <v>115</v>
      </c>
      <c r="E63" s="13" t="s">
        <v>1621</v>
      </c>
      <c r="F63" s="2">
        <v>33200</v>
      </c>
      <c r="G63" s="2">
        <v>0.45</v>
      </c>
      <c r="H63" s="2">
        <f t="shared" si="4"/>
        <v>14940</v>
      </c>
      <c r="I63" s="13" t="s">
        <v>126</v>
      </c>
    </row>
    <row r="64" s="13" customFormat="1" customHeight="1" spans="1:9">
      <c r="A64" s="19">
        <v>45952</v>
      </c>
      <c r="B64" s="13" t="s">
        <v>113</v>
      </c>
      <c r="C64" s="13" t="s">
        <v>2420</v>
      </c>
      <c r="D64" s="13" t="s">
        <v>115</v>
      </c>
      <c r="E64" s="13" t="s">
        <v>2399</v>
      </c>
      <c r="F64" s="2">
        <v>8065</v>
      </c>
      <c r="G64" s="2">
        <v>0.47</v>
      </c>
      <c r="H64" s="2">
        <f t="shared" si="4"/>
        <v>3790.55</v>
      </c>
      <c r="I64" s="13" t="s">
        <v>126</v>
      </c>
    </row>
    <row r="65" s="13" customFormat="1" customHeight="1" spans="1:10">
      <c r="A65" s="19">
        <v>45953</v>
      </c>
      <c r="B65" s="13" t="s">
        <v>113</v>
      </c>
      <c r="C65" s="13" t="s">
        <v>2421</v>
      </c>
      <c r="D65" s="13" t="s">
        <v>115</v>
      </c>
      <c r="E65" s="13" t="s">
        <v>222</v>
      </c>
      <c r="F65" s="2">
        <v>5010</v>
      </c>
      <c r="G65" s="2">
        <v>0.43</v>
      </c>
      <c r="H65" s="2">
        <f t="shared" si="4"/>
        <v>2154.3</v>
      </c>
      <c r="I65" s="13" t="s">
        <v>1991</v>
      </c>
    </row>
    <row r="66" s="13" customFormat="1" customHeight="1" spans="1:10">
      <c r="A66" s="19">
        <v>45953</v>
      </c>
      <c r="B66" s="13" t="s">
        <v>113</v>
      </c>
      <c r="C66" s="13" t="s">
        <v>2421</v>
      </c>
      <c r="D66" s="13" t="s">
        <v>130</v>
      </c>
      <c r="E66" s="13" t="s">
        <v>1273</v>
      </c>
      <c r="F66" s="2">
        <v>4050</v>
      </c>
      <c r="G66" s="2">
        <v>0.4</v>
      </c>
      <c r="H66" s="2">
        <f t="shared" si="4"/>
        <v>1620</v>
      </c>
      <c r="I66" s="13" t="s">
        <v>2139</v>
      </c>
    </row>
    <row r="67" s="13" customFormat="1" customHeight="1" spans="1:10">
      <c r="A67" s="19">
        <v>45953</v>
      </c>
      <c r="B67" s="13" t="s">
        <v>113</v>
      </c>
      <c r="C67" s="13" t="s">
        <v>2421</v>
      </c>
      <c r="D67" s="13" t="s">
        <v>122</v>
      </c>
      <c r="E67" s="13" t="s">
        <v>2399</v>
      </c>
      <c r="F67" s="2">
        <v>9070</v>
      </c>
      <c r="G67" s="2">
        <v>0.53</v>
      </c>
      <c r="H67" s="2">
        <f t="shared" si="4"/>
        <v>4807.1</v>
      </c>
      <c r="I67" s="13" t="s">
        <v>2400</v>
      </c>
    </row>
    <row r="68" s="13" customFormat="1" customHeight="1" spans="1:10">
      <c r="A68" s="19">
        <v>45953</v>
      </c>
      <c r="B68" s="13" t="s">
        <v>113</v>
      </c>
      <c r="C68" s="13" t="s">
        <v>2421</v>
      </c>
      <c r="D68" s="13" t="s">
        <v>76</v>
      </c>
      <c r="E68" s="13" t="s">
        <v>1621</v>
      </c>
      <c r="F68" s="2">
        <v>1410</v>
      </c>
      <c r="G68" s="2">
        <v>0.45</v>
      </c>
      <c r="H68" s="2">
        <f t="shared" si="4"/>
        <v>634.5</v>
      </c>
      <c r="I68" s="13" t="s">
        <v>999</v>
      </c>
    </row>
    <row r="69" s="13" customFormat="1" customHeight="1" spans="1:10">
      <c r="A69" s="19">
        <v>45953</v>
      </c>
      <c r="B69" s="13" t="s">
        <v>113</v>
      </c>
      <c r="C69" s="13" t="s">
        <v>2421</v>
      </c>
      <c r="D69" s="13" t="s">
        <v>122</v>
      </c>
      <c r="E69" s="13" t="s">
        <v>222</v>
      </c>
      <c r="F69" s="2">
        <v>200</v>
      </c>
      <c r="G69" s="2">
        <v>0.46</v>
      </c>
      <c r="H69" s="2">
        <f t="shared" si="4"/>
        <v>92</v>
      </c>
      <c r="I69" s="13" t="s">
        <v>126</v>
      </c>
    </row>
    <row r="70" s="13" customFormat="1" customHeight="1" spans="1:10">
      <c r="A70" s="19">
        <v>45953</v>
      </c>
      <c r="B70" s="13" t="s">
        <v>113</v>
      </c>
      <c r="C70" s="13" t="s">
        <v>2421</v>
      </c>
      <c r="D70" s="13" t="s">
        <v>59</v>
      </c>
      <c r="E70" s="13" t="s">
        <v>1273</v>
      </c>
      <c r="F70" s="2">
        <v>4080</v>
      </c>
      <c r="G70" s="2">
        <v>0.45</v>
      </c>
      <c r="H70" s="2">
        <f t="shared" si="4"/>
        <v>1836</v>
      </c>
      <c r="I70" s="13" t="s">
        <v>89</v>
      </c>
    </row>
    <row r="71" s="13" customFormat="1" customHeight="1" spans="1:10">
      <c r="A71" s="19">
        <v>45953</v>
      </c>
      <c r="B71" s="13" t="s">
        <v>113</v>
      </c>
      <c r="C71" s="13" t="s">
        <v>2422</v>
      </c>
      <c r="D71" s="13" t="s">
        <v>2155</v>
      </c>
      <c r="E71" s="13" t="s">
        <v>1621</v>
      </c>
      <c r="F71" s="2">
        <v>4010</v>
      </c>
      <c r="G71" s="2">
        <v>0.45</v>
      </c>
      <c r="H71" s="2">
        <f t="shared" si="4"/>
        <v>1804.5</v>
      </c>
      <c r="I71" s="13" t="s">
        <v>437</v>
      </c>
    </row>
    <row r="72" s="13" customFormat="1" customHeight="1" spans="1:10">
      <c r="A72" s="19">
        <v>45953</v>
      </c>
      <c r="B72" s="13" t="s">
        <v>113</v>
      </c>
      <c r="C72" s="13" t="s">
        <v>2422</v>
      </c>
      <c r="D72" s="13" t="s">
        <v>59</v>
      </c>
      <c r="E72" s="13" t="s">
        <v>222</v>
      </c>
      <c r="F72" s="2">
        <v>63</v>
      </c>
      <c r="G72" s="2">
        <v>0.43</v>
      </c>
      <c r="H72" s="2">
        <f t="shared" si="4"/>
        <v>27.09</v>
      </c>
      <c r="I72" s="13" t="s">
        <v>28</v>
      </c>
    </row>
    <row r="73" s="13" customFormat="1" customHeight="1" spans="1:10">
      <c r="A73" s="19">
        <v>45954</v>
      </c>
      <c r="B73" s="13" t="s">
        <v>113</v>
      </c>
      <c r="C73" s="13" t="s">
        <v>2423</v>
      </c>
      <c r="D73" s="13" t="s">
        <v>76</v>
      </c>
      <c r="E73" s="13" t="s">
        <v>2399</v>
      </c>
      <c r="F73" s="2">
        <v>2035</v>
      </c>
      <c r="G73" s="2">
        <v>0.47</v>
      </c>
      <c r="H73" s="2">
        <f t="shared" si="4"/>
        <v>956.45</v>
      </c>
      <c r="I73" s="13" t="s">
        <v>126</v>
      </c>
    </row>
    <row r="74" s="13" customFormat="1" customHeight="1" spans="1:10">
      <c r="A74" s="19">
        <v>45955</v>
      </c>
      <c r="B74" s="13" t="s">
        <v>113</v>
      </c>
      <c r="C74" s="13" t="s">
        <v>2424</v>
      </c>
      <c r="D74" s="13" t="s">
        <v>76</v>
      </c>
      <c r="E74" s="13" t="s">
        <v>2399</v>
      </c>
      <c r="F74" s="2">
        <v>163</v>
      </c>
      <c r="G74" s="2">
        <v>0.47</v>
      </c>
      <c r="H74" s="2">
        <f t="shared" si="4"/>
        <v>76.61</v>
      </c>
      <c r="I74" s="13" t="s">
        <v>117</v>
      </c>
    </row>
    <row r="75" s="13" customFormat="1" customHeight="1" spans="1:10">
      <c r="A75" s="19">
        <v>45930</v>
      </c>
      <c r="B75" s="13" t="s">
        <v>11</v>
      </c>
      <c r="C75" s="13" t="s">
        <v>2425</v>
      </c>
      <c r="D75" s="13" t="s">
        <v>1156</v>
      </c>
      <c r="E75" s="13" t="s">
        <v>14</v>
      </c>
      <c r="F75" s="2">
        <v>5000</v>
      </c>
      <c r="G75" s="2">
        <v>1.2</v>
      </c>
      <c r="H75" s="2">
        <f t="shared" ref="H75:H122" si="5">F75*G75</f>
        <v>6000</v>
      </c>
      <c r="I75" s="13" t="s">
        <v>1991</v>
      </c>
      <c r="J75" s="13" t="s">
        <v>46</v>
      </c>
    </row>
    <row r="76" s="13" customFormat="1" customHeight="1" spans="1:10">
      <c r="A76" s="19">
        <v>45930</v>
      </c>
      <c r="B76" s="13" t="s">
        <v>11</v>
      </c>
      <c r="C76" s="13" t="s">
        <v>2425</v>
      </c>
      <c r="D76" s="13" t="s">
        <v>696</v>
      </c>
      <c r="E76" s="13" t="s">
        <v>14</v>
      </c>
      <c r="F76" s="2">
        <v>5000</v>
      </c>
      <c r="G76" s="2">
        <v>1.1</v>
      </c>
      <c r="H76" s="2">
        <f t="shared" si="5"/>
        <v>5500</v>
      </c>
      <c r="I76" s="13" t="s">
        <v>432</v>
      </c>
      <c r="J76" s="13" t="s">
        <v>46</v>
      </c>
    </row>
    <row r="77" s="13" customFormat="1" customHeight="1" spans="1:10">
      <c r="A77" s="19">
        <v>45930</v>
      </c>
      <c r="B77" s="13" t="s">
        <v>11</v>
      </c>
      <c r="C77" s="13" t="s">
        <v>2425</v>
      </c>
      <c r="D77" s="13" t="s">
        <v>389</v>
      </c>
      <c r="E77" s="13" t="s">
        <v>14</v>
      </c>
      <c r="F77" s="2">
        <v>10000</v>
      </c>
      <c r="G77" s="2">
        <v>1.4</v>
      </c>
      <c r="H77" s="2">
        <f t="shared" si="5"/>
        <v>14000</v>
      </c>
      <c r="I77" s="13" t="s">
        <v>1429</v>
      </c>
      <c r="J77" s="13" t="s">
        <v>46</v>
      </c>
    </row>
    <row r="78" s="13" customFormat="1" customHeight="1" spans="1:10">
      <c r="A78" s="19">
        <v>45930</v>
      </c>
      <c r="B78" s="13" t="s">
        <v>11</v>
      </c>
      <c r="C78" s="13" t="s">
        <v>2425</v>
      </c>
      <c r="D78" s="13" t="s">
        <v>1173</v>
      </c>
      <c r="E78" s="13" t="s">
        <v>14</v>
      </c>
      <c r="F78" s="2">
        <v>3100</v>
      </c>
      <c r="G78" s="2">
        <v>1.5</v>
      </c>
      <c r="H78" s="2">
        <f t="shared" si="5"/>
        <v>4650</v>
      </c>
      <c r="I78" s="13" t="s">
        <v>433</v>
      </c>
      <c r="J78" s="13" t="s">
        <v>46</v>
      </c>
    </row>
    <row r="79" s="13" customFormat="1" customHeight="1" spans="1:10">
      <c r="A79" s="19">
        <v>45937</v>
      </c>
      <c r="B79" s="13" t="s">
        <v>11</v>
      </c>
      <c r="C79" s="13" t="s">
        <v>2426</v>
      </c>
      <c r="D79" s="13" t="s">
        <v>723</v>
      </c>
      <c r="E79" s="13" t="s">
        <v>14</v>
      </c>
      <c r="F79" s="2">
        <v>1030</v>
      </c>
      <c r="G79" s="2">
        <v>1.8</v>
      </c>
      <c r="H79" s="2">
        <f t="shared" si="5"/>
        <v>1854</v>
      </c>
      <c r="I79" s="13" t="s">
        <v>587</v>
      </c>
    </row>
    <row r="80" s="13" customFormat="1" customHeight="1" spans="1:10">
      <c r="A80" s="19">
        <v>45937</v>
      </c>
      <c r="B80" s="13" t="s">
        <v>11</v>
      </c>
      <c r="C80" s="13" t="s">
        <v>2426</v>
      </c>
      <c r="D80" s="13" t="s">
        <v>392</v>
      </c>
      <c r="E80" s="13" t="s">
        <v>14</v>
      </c>
      <c r="F80" s="2">
        <v>103</v>
      </c>
      <c r="G80" s="20">
        <v>1.1</v>
      </c>
      <c r="H80" s="2">
        <f t="shared" si="5"/>
        <v>113.3</v>
      </c>
      <c r="I80" s="13" t="s">
        <v>117</v>
      </c>
    </row>
    <row r="81" s="13" customFormat="1" customHeight="1" spans="1:11">
      <c r="A81" s="19">
        <v>45937</v>
      </c>
      <c r="B81" s="13" t="s">
        <v>11</v>
      </c>
      <c r="C81" s="13" t="s">
        <v>2426</v>
      </c>
      <c r="D81" s="13" t="s">
        <v>389</v>
      </c>
      <c r="E81" s="13" t="s">
        <v>14</v>
      </c>
      <c r="F81" s="2">
        <v>10</v>
      </c>
      <c r="G81" s="2">
        <v>1.4</v>
      </c>
      <c r="H81" s="2">
        <f t="shared" si="5"/>
        <v>14</v>
      </c>
      <c r="I81" s="13" t="s">
        <v>1429</v>
      </c>
    </row>
    <row r="82" s="13" customFormat="1" customHeight="1" spans="1:11">
      <c r="A82" s="19">
        <v>45937</v>
      </c>
      <c r="B82" s="13" t="s">
        <v>11</v>
      </c>
      <c r="C82" s="13" t="s">
        <v>2426</v>
      </c>
      <c r="D82" s="13" t="s">
        <v>405</v>
      </c>
      <c r="E82" s="13" t="s">
        <v>14</v>
      </c>
      <c r="F82" s="2">
        <v>10</v>
      </c>
      <c r="G82" s="2">
        <v>1.3</v>
      </c>
      <c r="H82" s="2">
        <f t="shared" si="5"/>
        <v>13</v>
      </c>
      <c r="I82" s="13" t="s">
        <v>32</v>
      </c>
    </row>
    <row r="83" s="13" customFormat="1" customHeight="1" spans="1:11">
      <c r="A83" s="19">
        <v>45939</v>
      </c>
      <c r="B83" s="13" t="s">
        <v>11</v>
      </c>
      <c r="C83" s="13" t="s">
        <v>2427</v>
      </c>
      <c r="D83" s="19" t="s">
        <v>398</v>
      </c>
      <c r="E83" s="13" t="s">
        <v>14</v>
      </c>
      <c r="F83" s="2">
        <v>50</v>
      </c>
      <c r="G83" s="2">
        <v>1.05</v>
      </c>
      <c r="H83" s="2">
        <f t="shared" si="5"/>
        <v>52.5</v>
      </c>
      <c r="I83" s="13" t="s">
        <v>503</v>
      </c>
    </row>
    <row r="84" s="13" customFormat="1" customHeight="1" spans="1:11">
      <c r="A84" s="19">
        <v>45939</v>
      </c>
      <c r="B84" s="13" t="s">
        <v>11</v>
      </c>
      <c r="C84" s="13" t="s">
        <v>2428</v>
      </c>
      <c r="D84" s="19" t="s">
        <v>543</v>
      </c>
      <c r="E84" s="13" t="s">
        <v>14</v>
      </c>
      <c r="F84" s="2">
        <v>13600</v>
      </c>
      <c r="G84" s="2">
        <v>1.3</v>
      </c>
      <c r="H84" s="2">
        <f t="shared" si="5"/>
        <v>17680</v>
      </c>
      <c r="I84" s="13" t="s">
        <v>1718</v>
      </c>
      <c r="J84" s="13" t="s">
        <v>46</v>
      </c>
    </row>
    <row r="85" s="13" customFormat="1" customHeight="1" spans="1:11">
      <c r="A85" s="19">
        <v>45939</v>
      </c>
      <c r="B85" s="13" t="s">
        <v>11</v>
      </c>
      <c r="C85" s="13" t="s">
        <v>2428</v>
      </c>
      <c r="D85" s="19" t="s">
        <v>389</v>
      </c>
      <c r="E85" s="13" t="s">
        <v>14</v>
      </c>
      <c r="F85" s="2">
        <v>40000</v>
      </c>
      <c r="G85" s="2">
        <v>1.4</v>
      </c>
      <c r="H85" s="2">
        <f t="shared" si="5"/>
        <v>56000</v>
      </c>
      <c r="I85" s="13" t="s">
        <v>1429</v>
      </c>
      <c r="J85" s="13" t="s">
        <v>46</v>
      </c>
      <c r="K85" s="13" t="s">
        <v>449</v>
      </c>
    </row>
    <row r="86" s="13" customFormat="1" customHeight="1" spans="1:11">
      <c r="A86" s="19">
        <v>45939</v>
      </c>
      <c r="B86" s="13" t="s">
        <v>11</v>
      </c>
      <c r="C86" s="13" t="s">
        <v>2428</v>
      </c>
      <c r="D86" s="19" t="s">
        <v>368</v>
      </c>
      <c r="E86" s="13" t="s">
        <v>14</v>
      </c>
      <c r="F86" s="2">
        <v>10000</v>
      </c>
      <c r="G86" s="2">
        <v>0.75</v>
      </c>
      <c r="H86" s="2">
        <f t="shared" si="5"/>
        <v>7500</v>
      </c>
      <c r="I86" s="13" t="s">
        <v>2429</v>
      </c>
      <c r="J86" s="13" t="s">
        <v>46</v>
      </c>
    </row>
    <row r="87" s="13" customFormat="1" customHeight="1" spans="1:11">
      <c r="A87" s="19">
        <v>45939</v>
      </c>
      <c r="B87" s="13" t="s">
        <v>11</v>
      </c>
      <c r="C87" s="13" t="s">
        <v>2428</v>
      </c>
      <c r="D87" s="19" t="s">
        <v>47</v>
      </c>
      <c r="E87" s="13" t="s">
        <v>14</v>
      </c>
      <c r="F87" s="2">
        <v>10000</v>
      </c>
      <c r="G87" s="2">
        <v>0.95</v>
      </c>
      <c r="H87" s="2">
        <f t="shared" si="5"/>
        <v>9500</v>
      </c>
      <c r="I87" s="13" t="s">
        <v>2430</v>
      </c>
      <c r="J87" s="13" t="s">
        <v>46</v>
      </c>
    </row>
    <row r="88" s="13" customFormat="1" customHeight="1" spans="1:11">
      <c r="A88" s="19">
        <v>45939</v>
      </c>
      <c r="B88" s="13" t="s">
        <v>11</v>
      </c>
      <c r="C88" s="13" t="s">
        <v>2428</v>
      </c>
      <c r="D88" s="19" t="s">
        <v>256</v>
      </c>
      <c r="E88" s="13" t="s">
        <v>14</v>
      </c>
      <c r="F88" s="2">
        <v>1000</v>
      </c>
      <c r="G88" s="2">
        <v>0.73</v>
      </c>
      <c r="H88" s="2">
        <f t="shared" si="5"/>
        <v>730</v>
      </c>
      <c r="I88" s="13" t="s">
        <v>570</v>
      </c>
      <c r="J88" s="13" t="s">
        <v>46</v>
      </c>
    </row>
    <row r="89" s="13" customFormat="1" customHeight="1" spans="1:11">
      <c r="A89" s="19">
        <v>45940</v>
      </c>
      <c r="B89" s="13" t="s">
        <v>11</v>
      </c>
      <c r="C89" s="13" t="s">
        <v>2431</v>
      </c>
      <c r="D89" s="19" t="s">
        <v>18</v>
      </c>
      <c r="E89" s="13" t="s">
        <v>14</v>
      </c>
      <c r="F89" s="2">
        <v>300</v>
      </c>
      <c r="G89" s="2">
        <v>0.7</v>
      </c>
      <c r="H89" s="2">
        <f t="shared" si="5"/>
        <v>210</v>
      </c>
      <c r="I89" s="13" t="s">
        <v>126</v>
      </c>
    </row>
    <row r="90" s="13" customFormat="1" customHeight="1" spans="1:11">
      <c r="A90" s="19">
        <v>45940</v>
      </c>
      <c r="B90" s="13" t="s">
        <v>11</v>
      </c>
      <c r="C90" s="13" t="s">
        <v>2431</v>
      </c>
      <c r="D90" s="19" t="s">
        <v>523</v>
      </c>
      <c r="E90" s="13" t="s">
        <v>14</v>
      </c>
      <c r="F90" s="2">
        <v>103</v>
      </c>
      <c r="G90" s="2">
        <v>0.8</v>
      </c>
      <c r="H90" s="2">
        <f t="shared" si="5"/>
        <v>82.4</v>
      </c>
      <c r="I90" s="13" t="s">
        <v>28</v>
      </c>
    </row>
    <row r="91" s="13" customFormat="1" customHeight="1" spans="1:11">
      <c r="A91" s="19">
        <v>45940</v>
      </c>
      <c r="B91" s="13" t="s">
        <v>11</v>
      </c>
      <c r="C91" s="13" t="s">
        <v>2432</v>
      </c>
      <c r="D91" s="19" t="s">
        <v>84</v>
      </c>
      <c r="E91" s="13" t="s">
        <v>14</v>
      </c>
      <c r="F91" s="2">
        <v>3000</v>
      </c>
      <c r="G91" s="2">
        <v>1</v>
      </c>
      <c r="H91" s="2">
        <f t="shared" si="5"/>
        <v>3000</v>
      </c>
      <c r="I91" s="13" t="s">
        <v>2166</v>
      </c>
    </row>
    <row r="92" s="13" customFormat="1" customHeight="1" spans="1:11">
      <c r="A92" s="19">
        <v>45940</v>
      </c>
      <c r="B92" s="13" t="s">
        <v>11</v>
      </c>
      <c r="C92" s="13" t="s">
        <v>2432</v>
      </c>
      <c r="D92" s="19" t="s">
        <v>392</v>
      </c>
      <c r="E92" s="13" t="s">
        <v>14</v>
      </c>
      <c r="F92" s="2">
        <v>7000</v>
      </c>
      <c r="G92" s="2">
        <v>1.1</v>
      </c>
      <c r="H92" s="2">
        <f t="shared" si="5"/>
        <v>7700</v>
      </c>
      <c r="I92" s="13" t="s">
        <v>300</v>
      </c>
    </row>
    <row r="93" s="13" customFormat="1" customHeight="1" spans="1:11">
      <c r="A93" s="19">
        <v>45940</v>
      </c>
      <c r="B93" s="13" t="s">
        <v>11</v>
      </c>
      <c r="C93" s="13" t="s">
        <v>2432</v>
      </c>
      <c r="D93" s="19" t="s">
        <v>390</v>
      </c>
      <c r="E93" s="13" t="s">
        <v>14</v>
      </c>
      <c r="F93" s="2">
        <v>10000</v>
      </c>
      <c r="G93" s="2">
        <v>1.15</v>
      </c>
      <c r="H93" s="2">
        <f t="shared" si="5"/>
        <v>11500</v>
      </c>
      <c r="I93" s="13" t="s">
        <v>300</v>
      </c>
    </row>
    <row r="94" s="13" customFormat="1" customHeight="1" spans="1:11">
      <c r="A94" s="19">
        <v>45941</v>
      </c>
      <c r="B94" s="13" t="s">
        <v>11</v>
      </c>
      <c r="C94" s="13" t="s">
        <v>2433</v>
      </c>
      <c r="D94" s="19" t="s">
        <v>586</v>
      </c>
      <c r="E94" s="13" t="s">
        <v>14</v>
      </c>
      <c r="F94" s="2">
        <v>520</v>
      </c>
      <c r="G94" s="2">
        <v>1.9</v>
      </c>
      <c r="H94" s="2">
        <f t="shared" si="5"/>
        <v>988</v>
      </c>
      <c r="I94" s="13" t="s">
        <v>587</v>
      </c>
    </row>
    <row r="95" s="13" customFormat="1" customHeight="1" spans="1:11">
      <c r="A95" s="19">
        <v>45943</v>
      </c>
      <c r="B95" s="13" t="s">
        <v>11</v>
      </c>
      <c r="C95" s="13" t="s">
        <v>2434</v>
      </c>
      <c r="D95" s="19" t="s">
        <v>2272</v>
      </c>
      <c r="E95" s="13" t="s">
        <v>14</v>
      </c>
      <c r="F95" s="13">
        <v>1520</v>
      </c>
      <c r="G95" s="2">
        <v>1.2</v>
      </c>
      <c r="H95" s="2">
        <f t="shared" si="5"/>
        <v>1824</v>
      </c>
      <c r="I95" s="13" t="s">
        <v>587</v>
      </c>
    </row>
    <row r="96" s="13" customFormat="1" customHeight="1" spans="1:11">
      <c r="A96" s="19">
        <v>45943</v>
      </c>
      <c r="B96" s="13" t="s">
        <v>11</v>
      </c>
      <c r="C96" s="13" t="s">
        <v>2434</v>
      </c>
      <c r="D96" s="19" t="s">
        <v>2435</v>
      </c>
      <c r="E96" s="13" t="s">
        <v>14</v>
      </c>
      <c r="F96" s="13">
        <v>50</v>
      </c>
      <c r="G96" s="2">
        <v>0.9</v>
      </c>
      <c r="H96" s="2">
        <f t="shared" si="5"/>
        <v>45</v>
      </c>
      <c r="I96" s="13" t="s">
        <v>2436</v>
      </c>
    </row>
    <row r="97" s="13" customFormat="1" customHeight="1" spans="1:11">
      <c r="A97" s="19">
        <v>45943</v>
      </c>
      <c r="B97" s="13" t="s">
        <v>11</v>
      </c>
      <c r="C97" s="13" t="s">
        <v>2433</v>
      </c>
      <c r="D97" s="19" t="s">
        <v>234</v>
      </c>
      <c r="E97" s="13" t="s">
        <v>14</v>
      </c>
      <c r="F97" s="13">
        <v>20</v>
      </c>
      <c r="G97" s="2">
        <v>1</v>
      </c>
      <c r="H97" s="2">
        <f t="shared" si="5"/>
        <v>20</v>
      </c>
      <c r="I97" s="13" t="s">
        <v>32</v>
      </c>
    </row>
    <row r="98" s="13" customFormat="1" customHeight="1" spans="1:11">
      <c r="A98" s="19">
        <v>45943</v>
      </c>
      <c r="B98" s="13" t="s">
        <v>11</v>
      </c>
      <c r="C98" s="13" t="s">
        <v>2433</v>
      </c>
      <c r="D98" s="19" t="s">
        <v>1342</v>
      </c>
      <c r="E98" s="13" t="s">
        <v>14</v>
      </c>
      <c r="F98" s="2">
        <v>10</v>
      </c>
      <c r="G98" s="2">
        <v>1</v>
      </c>
      <c r="H98" s="2">
        <f t="shared" si="5"/>
        <v>10</v>
      </c>
      <c r="I98" s="13" t="s">
        <v>32</v>
      </c>
    </row>
    <row r="99" s="13" customFormat="1" customHeight="1" spans="1:11">
      <c r="A99" s="19">
        <v>45943</v>
      </c>
      <c r="B99" s="13" t="s">
        <v>11</v>
      </c>
      <c r="C99" s="13" t="s">
        <v>2433</v>
      </c>
      <c r="D99" s="19" t="s">
        <v>1568</v>
      </c>
      <c r="E99" s="13" t="s">
        <v>14</v>
      </c>
      <c r="F99" s="2">
        <v>6900</v>
      </c>
      <c r="G99" s="2">
        <v>0.9</v>
      </c>
      <c r="H99" s="2">
        <f t="shared" si="5"/>
        <v>6210</v>
      </c>
      <c r="I99" s="13" t="s">
        <v>37</v>
      </c>
    </row>
    <row r="100" s="13" customFormat="1" customHeight="1" spans="1:11">
      <c r="A100" s="19">
        <v>45945</v>
      </c>
      <c r="B100" s="13" t="s">
        <v>11</v>
      </c>
      <c r="C100" s="13" t="s">
        <v>2437</v>
      </c>
      <c r="D100" s="19" t="s">
        <v>398</v>
      </c>
      <c r="E100" s="13" t="s">
        <v>14</v>
      </c>
      <c r="F100" s="2">
        <v>3000</v>
      </c>
      <c r="G100" s="2">
        <v>1.05</v>
      </c>
      <c r="H100" s="2">
        <f t="shared" si="5"/>
        <v>3150</v>
      </c>
      <c r="I100" s="13" t="s">
        <v>999</v>
      </c>
      <c r="J100" s="13" t="s">
        <v>46</v>
      </c>
    </row>
    <row r="101" s="13" customFormat="1" customHeight="1" spans="1:11">
      <c r="A101" s="19">
        <v>45945</v>
      </c>
      <c r="B101" s="13" t="s">
        <v>11</v>
      </c>
      <c r="C101" s="13" t="s">
        <v>2437</v>
      </c>
      <c r="D101" s="19" t="s">
        <v>2277</v>
      </c>
      <c r="E101" s="13" t="s">
        <v>14</v>
      </c>
      <c r="F101" s="2">
        <v>26000</v>
      </c>
      <c r="G101" s="2">
        <v>0.95</v>
      </c>
      <c r="H101" s="2">
        <f t="shared" si="5"/>
        <v>24700</v>
      </c>
      <c r="I101" s="13" t="s">
        <v>2166</v>
      </c>
      <c r="J101" s="13" t="s">
        <v>46</v>
      </c>
    </row>
    <row r="102" s="13" customFormat="1" customHeight="1" spans="1:11">
      <c r="A102" s="19">
        <v>45946</v>
      </c>
      <c r="B102" s="13" t="s">
        <v>11</v>
      </c>
      <c r="C102" s="13" t="s">
        <v>2438</v>
      </c>
      <c r="D102" s="19" t="s">
        <v>417</v>
      </c>
      <c r="E102" s="13" t="s">
        <v>14</v>
      </c>
      <c r="F102" s="2">
        <v>3010</v>
      </c>
      <c r="G102" s="2">
        <v>0.9</v>
      </c>
      <c r="H102" s="2">
        <f t="shared" si="5"/>
        <v>2709</v>
      </c>
      <c r="I102" s="2" t="s">
        <v>77</v>
      </c>
      <c r="J102" s="13" t="s">
        <v>46</v>
      </c>
      <c r="K102" s="13" t="s">
        <v>449</v>
      </c>
    </row>
    <row r="103" s="13" customFormat="1" customHeight="1" spans="1:11">
      <c r="A103" s="19">
        <v>45946</v>
      </c>
      <c r="B103" s="13" t="s">
        <v>11</v>
      </c>
      <c r="C103" s="13" t="s">
        <v>2438</v>
      </c>
      <c r="D103" s="19" t="s">
        <v>402</v>
      </c>
      <c r="E103" s="13" t="s">
        <v>14</v>
      </c>
      <c r="F103" s="2">
        <v>4000</v>
      </c>
      <c r="G103" s="2">
        <v>0.95</v>
      </c>
      <c r="H103" s="2">
        <f t="shared" si="5"/>
        <v>3800</v>
      </c>
      <c r="I103" s="13" t="s">
        <v>89</v>
      </c>
      <c r="J103" s="13" t="s">
        <v>46</v>
      </c>
    </row>
    <row r="104" s="13" customFormat="1" customHeight="1" spans="1:11">
      <c r="A104" s="19">
        <v>45947</v>
      </c>
      <c r="B104" s="13" t="s">
        <v>11</v>
      </c>
      <c r="C104" s="13" t="s">
        <v>2439</v>
      </c>
      <c r="D104" s="19" t="s">
        <v>696</v>
      </c>
      <c r="E104" s="13" t="s">
        <v>14</v>
      </c>
      <c r="F104" s="2">
        <v>6000</v>
      </c>
      <c r="G104" s="2">
        <v>1.1</v>
      </c>
      <c r="H104" s="2">
        <f t="shared" si="5"/>
        <v>6600</v>
      </c>
      <c r="I104" s="13" t="s">
        <v>2185</v>
      </c>
      <c r="J104" s="13" t="s">
        <v>46</v>
      </c>
    </row>
    <row r="105" s="13" customFormat="1" customHeight="1" spans="1:11">
      <c r="A105" s="19">
        <v>45947</v>
      </c>
      <c r="B105" s="13" t="s">
        <v>11</v>
      </c>
      <c r="C105" s="13" t="s">
        <v>2439</v>
      </c>
      <c r="D105" s="19" t="s">
        <v>252</v>
      </c>
      <c r="E105" s="13" t="s">
        <v>14</v>
      </c>
      <c r="F105" s="2">
        <v>10000</v>
      </c>
      <c r="G105" s="2">
        <v>0.55</v>
      </c>
      <c r="H105" s="2">
        <f t="shared" si="5"/>
        <v>5500</v>
      </c>
      <c r="I105" s="13" t="s">
        <v>857</v>
      </c>
      <c r="J105" s="13" t="s">
        <v>46</v>
      </c>
    </row>
    <row r="106" s="13" customFormat="1" customHeight="1" spans="1:11">
      <c r="A106" s="19">
        <v>45947</v>
      </c>
      <c r="B106" s="13" t="s">
        <v>11</v>
      </c>
      <c r="C106" s="13" t="s">
        <v>2440</v>
      </c>
      <c r="D106" s="19" t="s">
        <v>613</v>
      </c>
      <c r="E106" s="13" t="s">
        <v>14</v>
      </c>
      <c r="F106" s="2">
        <v>53</v>
      </c>
      <c r="G106" s="2">
        <v>1.6</v>
      </c>
      <c r="H106" s="2">
        <f t="shared" si="5"/>
        <v>84.8</v>
      </c>
      <c r="I106" s="13" t="s">
        <v>28</v>
      </c>
      <c r="J106" s="13" t="s">
        <v>46</v>
      </c>
    </row>
    <row r="107" s="13" customFormat="1" customHeight="1" spans="1:11">
      <c r="A107" s="19">
        <v>45947</v>
      </c>
      <c r="B107" s="13" t="s">
        <v>11</v>
      </c>
      <c r="C107" s="13" t="s">
        <v>2440</v>
      </c>
      <c r="D107" s="19" t="s">
        <v>2441</v>
      </c>
      <c r="E107" s="13" t="s">
        <v>14</v>
      </c>
      <c r="F107" s="2">
        <v>103</v>
      </c>
      <c r="G107" s="2">
        <v>1</v>
      </c>
      <c r="H107" s="2">
        <f t="shared" si="5"/>
        <v>103</v>
      </c>
      <c r="I107" s="13" t="s">
        <v>28</v>
      </c>
      <c r="J107" s="13" t="s">
        <v>46</v>
      </c>
    </row>
    <row r="108" customHeight="1" spans="1:11">
      <c r="A108" s="19">
        <v>45951</v>
      </c>
      <c r="B108" s="13" t="s">
        <v>11</v>
      </c>
      <c r="C108" s="13" t="s">
        <v>2442</v>
      </c>
      <c r="D108" s="13" t="s">
        <v>398</v>
      </c>
      <c r="E108" s="13" t="s">
        <v>14</v>
      </c>
      <c r="F108" s="13">
        <v>10000</v>
      </c>
      <c r="G108" s="13">
        <v>1.05</v>
      </c>
      <c r="H108" s="2">
        <f t="shared" si="5"/>
        <v>10500</v>
      </c>
      <c r="I108" s="13" t="s">
        <v>503</v>
      </c>
      <c r="J108" s="13" t="s">
        <v>46</v>
      </c>
    </row>
    <row r="109" customHeight="1" spans="1:11">
      <c r="A109" s="19">
        <v>45951</v>
      </c>
      <c r="B109" s="13" t="s">
        <v>11</v>
      </c>
      <c r="C109" s="13" t="s">
        <v>2442</v>
      </c>
      <c r="D109" s="13" t="s">
        <v>405</v>
      </c>
      <c r="E109" s="13" t="s">
        <v>14</v>
      </c>
      <c r="F109" s="13">
        <v>20000</v>
      </c>
      <c r="G109" s="13">
        <v>1.3</v>
      </c>
      <c r="H109" s="2">
        <f t="shared" si="5"/>
        <v>26000</v>
      </c>
      <c r="I109" s="13" t="s">
        <v>1827</v>
      </c>
      <c r="J109" s="13" t="s">
        <v>46</v>
      </c>
    </row>
    <row r="110" s="13" customFormat="1" customHeight="1" spans="1:11">
      <c r="A110" s="19">
        <v>45951</v>
      </c>
      <c r="B110" s="13" t="s">
        <v>11</v>
      </c>
      <c r="C110" s="13" t="s">
        <v>2442</v>
      </c>
      <c r="D110" s="19" t="s">
        <v>290</v>
      </c>
      <c r="E110" s="13" t="s">
        <v>14</v>
      </c>
      <c r="F110" s="2">
        <v>17000</v>
      </c>
      <c r="G110" s="2">
        <v>0.9</v>
      </c>
      <c r="H110" s="2">
        <f t="shared" si="5"/>
        <v>15300</v>
      </c>
      <c r="I110" s="13" t="s">
        <v>45</v>
      </c>
      <c r="J110" s="13" t="s">
        <v>46</v>
      </c>
    </row>
    <row r="111" s="13" customFormat="1" customHeight="1" spans="1:11">
      <c r="A111" s="19">
        <v>45951</v>
      </c>
      <c r="B111" s="13" t="s">
        <v>11</v>
      </c>
      <c r="C111" s="13" t="s">
        <v>2442</v>
      </c>
      <c r="D111" s="19" t="s">
        <v>368</v>
      </c>
      <c r="E111" s="13" t="s">
        <v>14</v>
      </c>
      <c r="F111" s="2">
        <v>30000</v>
      </c>
      <c r="G111" s="2">
        <v>0.75</v>
      </c>
      <c r="H111" s="2">
        <f t="shared" si="5"/>
        <v>22500</v>
      </c>
      <c r="I111" s="13" t="s">
        <v>61</v>
      </c>
      <c r="J111" s="13" t="s">
        <v>46</v>
      </c>
    </row>
    <row r="112" s="13" customFormat="1" customHeight="1" spans="1:11">
      <c r="A112" s="19">
        <v>45951</v>
      </c>
      <c r="B112" s="13" t="s">
        <v>11</v>
      </c>
      <c r="C112" s="13" t="s">
        <v>2442</v>
      </c>
      <c r="D112" s="19" t="s">
        <v>201</v>
      </c>
      <c r="E112" s="13" t="s">
        <v>14</v>
      </c>
      <c r="F112" s="2">
        <v>30000</v>
      </c>
      <c r="G112" s="2">
        <v>0.9</v>
      </c>
      <c r="H112" s="2">
        <f t="shared" si="5"/>
        <v>27000</v>
      </c>
      <c r="I112" s="13" t="s">
        <v>61</v>
      </c>
      <c r="J112" s="13" t="s">
        <v>46</v>
      </c>
    </row>
    <row r="113" s="13" customFormat="1" customHeight="1" spans="1:10">
      <c r="A113" s="19">
        <v>45951</v>
      </c>
      <c r="B113" s="13" t="s">
        <v>11</v>
      </c>
      <c r="C113" s="13" t="s">
        <v>2442</v>
      </c>
      <c r="D113" s="19" t="s">
        <v>1428</v>
      </c>
      <c r="E113" s="13" t="s">
        <v>14</v>
      </c>
      <c r="F113" s="2">
        <v>50000</v>
      </c>
      <c r="G113" s="2">
        <v>1.3</v>
      </c>
      <c r="H113" s="2">
        <f t="shared" si="5"/>
        <v>65000</v>
      </c>
      <c r="I113" s="13" t="s">
        <v>2191</v>
      </c>
      <c r="J113" s="13" t="s">
        <v>46</v>
      </c>
    </row>
    <row r="114" s="13" customFormat="1" customHeight="1" spans="1:10">
      <c r="A114" s="19">
        <v>45951</v>
      </c>
      <c r="B114" s="13" t="s">
        <v>11</v>
      </c>
      <c r="C114" s="13" t="s">
        <v>2442</v>
      </c>
      <c r="D114" s="19" t="s">
        <v>823</v>
      </c>
      <c r="E114" s="13" t="s">
        <v>14</v>
      </c>
      <c r="F114" s="2">
        <v>40000</v>
      </c>
      <c r="G114" s="2">
        <v>1.4</v>
      </c>
      <c r="H114" s="2">
        <f t="shared" si="5"/>
        <v>56000</v>
      </c>
      <c r="I114" s="13" t="s">
        <v>1827</v>
      </c>
      <c r="J114" s="13" t="s">
        <v>46</v>
      </c>
    </row>
    <row r="115" s="13" customFormat="1" customHeight="1" spans="1:10">
      <c r="A115" s="19">
        <v>45951</v>
      </c>
      <c r="B115" s="13" t="s">
        <v>11</v>
      </c>
      <c r="C115" s="13" t="s">
        <v>2442</v>
      </c>
      <c r="D115" s="19" t="s">
        <v>314</v>
      </c>
      <c r="E115" s="13" t="s">
        <v>14</v>
      </c>
      <c r="F115" s="2">
        <v>20000</v>
      </c>
      <c r="G115" s="2">
        <v>1.45</v>
      </c>
      <c r="H115" s="2">
        <f t="shared" si="5"/>
        <v>29000</v>
      </c>
      <c r="I115" s="13" t="s">
        <v>1827</v>
      </c>
      <c r="J115" s="13" t="s">
        <v>46</v>
      </c>
    </row>
    <row r="116" s="13" customFormat="1" customHeight="1" spans="1:10">
      <c r="A116" s="19">
        <v>45951</v>
      </c>
      <c r="B116" s="13" t="s">
        <v>11</v>
      </c>
      <c r="C116" s="13" t="s">
        <v>2443</v>
      </c>
      <c r="D116" s="19" t="s">
        <v>851</v>
      </c>
      <c r="E116" s="13" t="s">
        <v>14</v>
      </c>
      <c r="F116" s="2">
        <v>20000</v>
      </c>
      <c r="G116" s="2">
        <v>1.75</v>
      </c>
      <c r="H116" s="2">
        <f t="shared" si="5"/>
        <v>35000</v>
      </c>
      <c r="I116" s="13" t="s">
        <v>406</v>
      </c>
      <c r="J116" s="13" t="s">
        <v>46</v>
      </c>
    </row>
    <row r="117" s="13" customFormat="1" customHeight="1" spans="1:10">
      <c r="A117" s="19">
        <v>45951</v>
      </c>
      <c r="B117" s="13" t="s">
        <v>11</v>
      </c>
      <c r="C117" s="13" t="s">
        <v>2443</v>
      </c>
      <c r="D117" s="19" t="s">
        <v>18</v>
      </c>
      <c r="E117" s="13" t="s">
        <v>14</v>
      </c>
      <c r="F117" s="2">
        <v>50000</v>
      </c>
      <c r="G117" s="2">
        <v>0.7</v>
      </c>
      <c r="H117" s="2">
        <f t="shared" si="5"/>
        <v>35000</v>
      </c>
      <c r="I117" s="13" t="s">
        <v>61</v>
      </c>
      <c r="J117" s="13" t="s">
        <v>46</v>
      </c>
    </row>
    <row r="118" s="13" customFormat="1" customHeight="1" spans="1:10">
      <c r="A118" s="19">
        <v>45951</v>
      </c>
      <c r="B118" s="13" t="s">
        <v>11</v>
      </c>
      <c r="C118" s="13" t="s">
        <v>2443</v>
      </c>
      <c r="D118" s="19" t="s">
        <v>1342</v>
      </c>
      <c r="E118" s="13" t="s">
        <v>14</v>
      </c>
      <c r="F118" s="2">
        <v>20000</v>
      </c>
      <c r="G118" s="2">
        <v>1</v>
      </c>
      <c r="H118" s="2">
        <f t="shared" si="5"/>
        <v>20000</v>
      </c>
      <c r="I118" s="13" t="s">
        <v>2430</v>
      </c>
      <c r="J118" s="13" t="s">
        <v>46</v>
      </c>
    </row>
    <row r="119" s="13" customFormat="1" customHeight="1" spans="1:10">
      <c r="A119" s="19">
        <v>45951</v>
      </c>
      <c r="B119" s="13" t="s">
        <v>11</v>
      </c>
      <c r="C119" s="13" t="s">
        <v>2443</v>
      </c>
      <c r="D119" s="19" t="s">
        <v>2277</v>
      </c>
      <c r="E119" s="13" t="s">
        <v>14</v>
      </c>
      <c r="F119" s="2">
        <v>4000</v>
      </c>
      <c r="G119" s="2">
        <v>0.95</v>
      </c>
      <c r="H119" s="2">
        <f t="shared" si="5"/>
        <v>3800</v>
      </c>
      <c r="I119" s="13" t="s">
        <v>2166</v>
      </c>
      <c r="J119" s="13" t="s">
        <v>46</v>
      </c>
    </row>
    <row r="120" s="13" customFormat="1" customHeight="1" spans="1:10">
      <c r="A120" s="19">
        <v>45951</v>
      </c>
      <c r="B120" s="13" t="s">
        <v>11</v>
      </c>
      <c r="C120" s="13" t="s">
        <v>2444</v>
      </c>
      <c r="D120" s="13" t="s">
        <v>134</v>
      </c>
      <c r="E120" s="13" t="s">
        <v>14</v>
      </c>
      <c r="F120" s="2">
        <v>20000</v>
      </c>
      <c r="G120" s="2">
        <v>0.8</v>
      </c>
      <c r="H120" s="2">
        <f t="shared" si="5"/>
        <v>16000</v>
      </c>
      <c r="I120" s="13" t="s">
        <v>61</v>
      </c>
      <c r="J120" s="13" t="s">
        <v>46</v>
      </c>
    </row>
    <row r="121" s="13" customFormat="1" customHeight="1" spans="1:10">
      <c r="A121" s="19">
        <v>45952</v>
      </c>
      <c r="B121" s="13" t="s">
        <v>11</v>
      </c>
      <c r="C121" s="13" t="s">
        <v>2445</v>
      </c>
      <c r="D121" s="19" t="s">
        <v>398</v>
      </c>
      <c r="E121" s="13" t="s">
        <v>14</v>
      </c>
      <c r="F121" s="2">
        <v>1100</v>
      </c>
      <c r="G121" s="2">
        <v>1.05</v>
      </c>
      <c r="H121" s="2">
        <f t="shared" si="5"/>
        <v>1155</v>
      </c>
      <c r="I121" s="13" t="s">
        <v>503</v>
      </c>
      <c r="J121" s="13" t="s">
        <v>46</v>
      </c>
    </row>
    <row r="122" s="13" customFormat="1" customHeight="1" spans="1:10">
      <c r="A122" s="19">
        <v>45952</v>
      </c>
      <c r="B122" s="13" t="s">
        <v>11</v>
      </c>
      <c r="C122" s="13" t="s">
        <v>2445</v>
      </c>
      <c r="D122" s="19" t="s">
        <v>1033</v>
      </c>
      <c r="E122" s="13" t="s">
        <v>14</v>
      </c>
      <c r="F122" s="2">
        <v>53</v>
      </c>
      <c r="G122" s="2">
        <v>1.9</v>
      </c>
      <c r="H122" s="2">
        <f t="shared" si="5"/>
        <v>100.7</v>
      </c>
      <c r="I122" s="13" t="s">
        <v>28</v>
      </c>
      <c r="J122" s="13" t="s">
        <v>46</v>
      </c>
    </row>
    <row r="123" customHeight="1" spans="1:10">
      <c r="A123" s="19">
        <v>45953</v>
      </c>
      <c r="B123" s="13" t="s">
        <v>11</v>
      </c>
      <c r="C123" s="13" t="s">
        <v>2446</v>
      </c>
      <c r="D123" s="13" t="s">
        <v>382</v>
      </c>
      <c r="E123" s="13" t="s">
        <v>14</v>
      </c>
      <c r="F123" s="13">
        <v>20</v>
      </c>
      <c r="G123" s="13">
        <v>0.65</v>
      </c>
      <c r="H123" s="2">
        <f t="shared" ref="H123:H131" si="6">F123*G123</f>
        <v>13</v>
      </c>
      <c r="I123" s="13" t="s">
        <v>363</v>
      </c>
    </row>
    <row r="124" s="14" customFormat="1" customHeight="1" spans="1:10">
      <c r="A124" s="19">
        <v>45954</v>
      </c>
      <c r="B124" s="13" t="s">
        <v>11</v>
      </c>
      <c r="C124" s="13" t="s">
        <v>2447</v>
      </c>
      <c r="D124" s="13" t="s">
        <v>27</v>
      </c>
      <c r="E124" s="13" t="s">
        <v>14</v>
      </c>
      <c r="F124" s="13">
        <v>20000</v>
      </c>
      <c r="G124" s="13">
        <v>1.8</v>
      </c>
      <c r="H124" s="2">
        <f t="shared" si="6"/>
        <v>36000</v>
      </c>
      <c r="I124" s="13" t="s">
        <v>61</v>
      </c>
      <c r="J124" s="13" t="s">
        <v>46</v>
      </c>
    </row>
    <row r="125" s="14" customFormat="1" customHeight="1" spans="1:10">
      <c r="A125" s="19">
        <v>45954</v>
      </c>
      <c r="B125" s="13" t="s">
        <v>11</v>
      </c>
      <c r="C125" s="13" t="s">
        <v>2447</v>
      </c>
      <c r="D125" s="13" t="s">
        <v>252</v>
      </c>
      <c r="E125" s="13" t="s">
        <v>14</v>
      </c>
      <c r="F125" s="13">
        <v>20000</v>
      </c>
      <c r="G125" s="13">
        <v>0.55</v>
      </c>
      <c r="H125" s="2">
        <f t="shared" si="6"/>
        <v>11000</v>
      </c>
      <c r="I125" s="13" t="s">
        <v>2448</v>
      </c>
      <c r="J125" s="13" t="s">
        <v>46</v>
      </c>
    </row>
    <row r="126" s="14" customFormat="1" customHeight="1" spans="1:10">
      <c r="A126" s="19">
        <v>45954</v>
      </c>
      <c r="B126" s="13" t="s">
        <v>11</v>
      </c>
      <c r="C126" s="13" t="s">
        <v>2447</v>
      </c>
      <c r="D126" s="13" t="s">
        <v>134</v>
      </c>
      <c r="E126" s="13" t="s">
        <v>14</v>
      </c>
      <c r="F126" s="13">
        <v>70000</v>
      </c>
      <c r="G126" s="13">
        <v>0.8</v>
      </c>
      <c r="H126" s="2">
        <f t="shared" si="6"/>
        <v>56000</v>
      </c>
      <c r="I126" s="13" t="s">
        <v>61</v>
      </c>
      <c r="J126" s="13" t="s">
        <v>46</v>
      </c>
    </row>
    <row r="127" s="14" customFormat="1" customHeight="1" spans="1:10">
      <c r="A127" s="19">
        <v>45954</v>
      </c>
      <c r="B127" s="13" t="s">
        <v>11</v>
      </c>
      <c r="C127" s="13" t="s">
        <v>2447</v>
      </c>
      <c r="D127" s="13" t="s">
        <v>277</v>
      </c>
      <c r="E127" s="13" t="s">
        <v>14</v>
      </c>
      <c r="F127" s="13">
        <v>17000</v>
      </c>
      <c r="G127" s="13">
        <v>0.95</v>
      </c>
      <c r="H127" s="2">
        <f t="shared" si="6"/>
        <v>16150</v>
      </c>
      <c r="I127" s="13" t="s">
        <v>1827</v>
      </c>
      <c r="J127" s="13" t="s">
        <v>46</v>
      </c>
    </row>
    <row r="128" s="14" customFormat="1" customHeight="1" spans="1:10">
      <c r="A128" s="19">
        <v>45954</v>
      </c>
      <c r="B128" s="13" t="s">
        <v>11</v>
      </c>
      <c r="C128" s="13" t="s">
        <v>2447</v>
      </c>
      <c r="D128" s="13" t="s">
        <v>179</v>
      </c>
      <c r="E128" s="13" t="s">
        <v>14</v>
      </c>
      <c r="F128" s="13">
        <v>10100</v>
      </c>
      <c r="G128" s="13">
        <v>1.17</v>
      </c>
      <c r="H128" s="2">
        <f t="shared" si="6"/>
        <v>11817</v>
      </c>
      <c r="I128" s="13" t="s">
        <v>61</v>
      </c>
      <c r="J128" s="13" t="s">
        <v>46</v>
      </c>
    </row>
    <row r="129" s="14" customFormat="1" customHeight="1" spans="1:10">
      <c r="A129" s="19">
        <v>45954</v>
      </c>
      <c r="B129" s="13" t="s">
        <v>11</v>
      </c>
      <c r="C129" s="13" t="s">
        <v>2447</v>
      </c>
      <c r="D129" s="13" t="s">
        <v>382</v>
      </c>
      <c r="E129" s="13" t="s">
        <v>14</v>
      </c>
      <c r="F129" s="13">
        <v>9210</v>
      </c>
      <c r="G129" s="13">
        <v>0.65</v>
      </c>
      <c r="H129" s="2">
        <f t="shared" si="6"/>
        <v>5986.5</v>
      </c>
      <c r="I129" s="13" t="s">
        <v>363</v>
      </c>
      <c r="J129" s="13" t="s">
        <v>46</v>
      </c>
    </row>
    <row r="130" s="14" customFormat="1" customHeight="1" spans="1:10">
      <c r="A130" s="19">
        <v>45954</v>
      </c>
      <c r="B130" s="13" t="s">
        <v>11</v>
      </c>
      <c r="C130" s="13" t="s">
        <v>2449</v>
      </c>
      <c r="D130" s="13" t="s">
        <v>44</v>
      </c>
      <c r="E130" s="13" t="s">
        <v>14</v>
      </c>
      <c r="F130" s="13">
        <v>53</v>
      </c>
      <c r="G130" s="13">
        <v>1</v>
      </c>
      <c r="H130" s="2">
        <f t="shared" si="6"/>
        <v>53</v>
      </c>
      <c r="I130" s="13" t="s">
        <v>28</v>
      </c>
    </row>
    <row r="131" s="14" customFormat="1" customHeight="1" spans="1:10">
      <c r="A131" s="19">
        <v>45955</v>
      </c>
      <c r="B131" s="13" t="s">
        <v>11</v>
      </c>
      <c r="C131" s="13" t="s">
        <v>2450</v>
      </c>
      <c r="D131" s="13" t="s">
        <v>699</v>
      </c>
      <c r="E131" s="13" t="s">
        <v>14</v>
      </c>
      <c r="F131" s="13">
        <v>103</v>
      </c>
      <c r="G131" s="13">
        <v>1.05</v>
      </c>
      <c r="H131" s="2">
        <f t="shared" si="6"/>
        <v>108.15</v>
      </c>
      <c r="I131" s="13" t="s">
        <v>28</v>
      </c>
    </row>
    <row r="132" s="13" customFormat="1" customHeight="1" spans="1:10">
      <c r="A132" s="19">
        <v>45937</v>
      </c>
      <c r="B132" s="12" t="s">
        <v>1862</v>
      </c>
      <c r="C132" s="12" t="s">
        <v>2451</v>
      </c>
      <c r="D132" s="12" t="s">
        <v>217</v>
      </c>
      <c r="E132" s="13" t="s">
        <v>2060</v>
      </c>
      <c r="F132" s="2">
        <v>200</v>
      </c>
      <c r="G132" s="2">
        <v>3.1</v>
      </c>
      <c r="H132" s="2">
        <f t="shared" ref="H132:H171" si="7">F132*G132</f>
        <v>620</v>
      </c>
      <c r="I132" s="13" t="s">
        <v>271</v>
      </c>
    </row>
    <row r="133" s="13" customFormat="1" customHeight="1" spans="1:10">
      <c r="A133" s="19">
        <v>45939</v>
      </c>
      <c r="B133" s="12" t="s">
        <v>1862</v>
      </c>
      <c r="C133" s="12" t="s">
        <v>2452</v>
      </c>
      <c r="D133" s="12" t="s">
        <v>217</v>
      </c>
      <c r="E133" s="13" t="s">
        <v>2453</v>
      </c>
      <c r="F133" s="2">
        <v>1000</v>
      </c>
      <c r="G133" s="2">
        <v>0.5</v>
      </c>
      <c r="H133" s="2">
        <f t="shared" si="7"/>
        <v>500</v>
      </c>
      <c r="I133" s="13" t="s">
        <v>2269</v>
      </c>
    </row>
    <row r="134" s="13" customFormat="1" customHeight="1" spans="1:10">
      <c r="A134" s="19">
        <v>45939</v>
      </c>
      <c r="B134" s="12" t="s">
        <v>1862</v>
      </c>
      <c r="C134" s="12" t="s">
        <v>2452</v>
      </c>
      <c r="D134" s="12" t="s">
        <v>217</v>
      </c>
      <c r="E134" s="13" t="s">
        <v>2058</v>
      </c>
      <c r="F134" s="2">
        <v>30</v>
      </c>
      <c r="G134" s="2">
        <v>2.2</v>
      </c>
      <c r="H134" s="2">
        <f t="shared" si="7"/>
        <v>66</v>
      </c>
      <c r="I134" s="13" t="s">
        <v>271</v>
      </c>
    </row>
    <row r="135" s="13" customFormat="1" customHeight="1" spans="1:10">
      <c r="A135" s="19">
        <v>45943</v>
      </c>
      <c r="B135" s="12" t="s">
        <v>1862</v>
      </c>
      <c r="C135" s="12" t="s">
        <v>2454</v>
      </c>
      <c r="D135" s="12" t="s">
        <v>217</v>
      </c>
      <c r="E135" s="13" t="s">
        <v>2059</v>
      </c>
      <c r="F135" s="2">
        <v>200</v>
      </c>
      <c r="G135" s="2">
        <v>2.2</v>
      </c>
      <c r="H135" s="2">
        <f t="shared" si="7"/>
        <v>440</v>
      </c>
      <c r="I135" s="13" t="s">
        <v>271</v>
      </c>
    </row>
    <row r="136" s="13" customFormat="1" customHeight="1" spans="1:10">
      <c r="A136" s="19">
        <v>45947</v>
      </c>
      <c r="B136" s="12" t="s">
        <v>1862</v>
      </c>
      <c r="C136" s="12" t="s">
        <v>2455</v>
      </c>
      <c r="D136" s="12" t="s">
        <v>217</v>
      </c>
      <c r="E136" s="13" t="s">
        <v>2058</v>
      </c>
      <c r="F136" s="2">
        <v>200</v>
      </c>
      <c r="G136" s="2">
        <v>2.2</v>
      </c>
      <c r="H136" s="2">
        <f t="shared" si="7"/>
        <v>440</v>
      </c>
      <c r="I136" s="13" t="s">
        <v>271</v>
      </c>
    </row>
    <row r="137" s="13" customFormat="1" customHeight="1" spans="1:10">
      <c r="A137" s="19">
        <v>45947</v>
      </c>
      <c r="B137" s="12" t="s">
        <v>1862</v>
      </c>
      <c r="C137" s="12" t="s">
        <v>2455</v>
      </c>
      <c r="D137" s="12" t="s">
        <v>217</v>
      </c>
      <c r="E137" s="13" t="s">
        <v>2060</v>
      </c>
      <c r="F137" s="2">
        <v>100</v>
      </c>
      <c r="G137" s="2">
        <v>3.1</v>
      </c>
      <c r="H137" s="2">
        <f t="shared" si="7"/>
        <v>310</v>
      </c>
      <c r="I137" s="13" t="s">
        <v>271</v>
      </c>
    </row>
    <row r="138" s="13" customFormat="1" customHeight="1" spans="1:10">
      <c r="A138" s="19">
        <v>45953</v>
      </c>
      <c r="B138" s="12" t="s">
        <v>1862</v>
      </c>
      <c r="C138" s="12" t="s">
        <v>2456</v>
      </c>
      <c r="D138" s="12" t="s">
        <v>217</v>
      </c>
      <c r="E138" s="13" t="s">
        <v>2060</v>
      </c>
      <c r="F138" s="2">
        <v>200</v>
      </c>
      <c r="G138" s="2">
        <v>3.1</v>
      </c>
      <c r="H138" s="2">
        <f t="shared" si="7"/>
        <v>620</v>
      </c>
      <c r="I138" s="13" t="s">
        <v>271</v>
      </c>
    </row>
    <row r="139" customHeight="1" spans="1:10">
      <c r="A139" s="19">
        <v>45930</v>
      </c>
      <c r="B139" s="13" t="s">
        <v>2457</v>
      </c>
      <c r="C139" s="12">
        <v>20250917</v>
      </c>
      <c r="D139" s="13" t="s">
        <v>752</v>
      </c>
      <c r="E139" s="13" t="s">
        <v>207</v>
      </c>
      <c r="F139" s="2">
        <v>35000</v>
      </c>
      <c r="G139" s="2">
        <v>0.57</v>
      </c>
      <c r="H139" s="2">
        <f t="shared" si="7"/>
        <v>19950</v>
      </c>
      <c r="I139" s="13" t="s">
        <v>396</v>
      </c>
    </row>
    <row r="140" customHeight="1" spans="1:10">
      <c r="A140" s="19">
        <v>45930</v>
      </c>
      <c r="B140" s="13" t="s">
        <v>2457</v>
      </c>
      <c r="C140" s="12">
        <v>20250917</v>
      </c>
      <c r="D140" s="13" t="s">
        <v>2458</v>
      </c>
      <c r="E140" s="13" t="s">
        <v>1405</v>
      </c>
      <c r="F140" s="2">
        <v>1010</v>
      </c>
      <c r="G140" s="2">
        <v>0.93</v>
      </c>
      <c r="H140" s="2">
        <f t="shared" si="7"/>
        <v>939.3</v>
      </c>
      <c r="I140" s="13" t="s">
        <v>330</v>
      </c>
    </row>
    <row r="141" customHeight="1" spans="1:10">
      <c r="A141" s="19">
        <v>45930</v>
      </c>
      <c r="B141" s="13" t="s">
        <v>2457</v>
      </c>
      <c r="C141" s="12">
        <v>20250917</v>
      </c>
      <c r="D141" s="13" t="s">
        <v>115</v>
      </c>
      <c r="E141" s="13" t="s">
        <v>222</v>
      </c>
      <c r="F141" s="2">
        <v>26100</v>
      </c>
      <c r="G141" s="2">
        <v>0.5</v>
      </c>
      <c r="H141" s="2">
        <f t="shared" si="7"/>
        <v>13050</v>
      </c>
      <c r="I141" s="13" t="s">
        <v>570</v>
      </c>
    </row>
    <row r="142" customHeight="1" spans="1:10">
      <c r="A142" s="19">
        <v>45930</v>
      </c>
      <c r="B142" s="13" t="s">
        <v>2457</v>
      </c>
      <c r="C142" s="12">
        <v>20250917</v>
      </c>
      <c r="D142" s="13" t="s">
        <v>362</v>
      </c>
      <c r="E142" s="13" t="s">
        <v>1405</v>
      </c>
      <c r="F142" s="2">
        <v>21010</v>
      </c>
      <c r="G142" s="2">
        <v>0.95</v>
      </c>
      <c r="H142" s="2">
        <f t="shared" si="7"/>
        <v>19959.5</v>
      </c>
      <c r="I142" s="13" t="s">
        <v>363</v>
      </c>
    </row>
    <row r="143" customHeight="1" spans="1:10">
      <c r="A143" s="19">
        <v>45939</v>
      </c>
      <c r="B143" s="13" t="s">
        <v>2457</v>
      </c>
      <c r="C143" s="13">
        <v>20251001</v>
      </c>
      <c r="D143" s="13" t="s">
        <v>115</v>
      </c>
      <c r="E143" s="13" t="s">
        <v>222</v>
      </c>
      <c r="F143" s="2">
        <v>8220</v>
      </c>
      <c r="G143" s="2">
        <v>0.5</v>
      </c>
      <c r="H143" s="2">
        <f t="shared" si="7"/>
        <v>4110</v>
      </c>
      <c r="I143" s="13" t="s">
        <v>71</v>
      </c>
    </row>
    <row r="144" customHeight="1" spans="1:10">
      <c r="A144" s="19">
        <v>45939</v>
      </c>
      <c r="B144" s="13" t="s">
        <v>2457</v>
      </c>
      <c r="C144" s="13">
        <v>20251001</v>
      </c>
      <c r="D144" s="13" t="s">
        <v>752</v>
      </c>
      <c r="E144" s="13" t="s">
        <v>207</v>
      </c>
      <c r="F144" s="2">
        <v>20000</v>
      </c>
      <c r="G144" s="2">
        <v>0.57</v>
      </c>
      <c r="H144" s="2">
        <f t="shared" si="7"/>
        <v>11400</v>
      </c>
      <c r="I144" s="13" t="s">
        <v>396</v>
      </c>
    </row>
    <row r="145" customHeight="1" spans="1:9">
      <c r="A145" s="19">
        <v>45941</v>
      </c>
      <c r="B145" s="13" t="s">
        <v>2457</v>
      </c>
      <c r="C145" s="13">
        <v>20251002</v>
      </c>
      <c r="D145" s="13" t="s">
        <v>362</v>
      </c>
      <c r="E145" s="13" t="s">
        <v>1405</v>
      </c>
      <c r="F145" s="2">
        <v>3005</v>
      </c>
      <c r="G145" s="2">
        <v>0.95</v>
      </c>
      <c r="H145" s="2">
        <f t="shared" si="7"/>
        <v>2854.75</v>
      </c>
      <c r="I145" s="13" t="s">
        <v>363</v>
      </c>
    </row>
    <row r="146" customHeight="1" spans="1:9">
      <c r="A146" s="19">
        <v>45941</v>
      </c>
      <c r="B146" s="13" t="s">
        <v>2457</v>
      </c>
      <c r="C146" s="13">
        <v>20251002</v>
      </c>
      <c r="D146" s="13" t="s">
        <v>84</v>
      </c>
      <c r="E146" s="13" t="s">
        <v>1405</v>
      </c>
      <c r="F146" s="2">
        <v>2005</v>
      </c>
      <c r="G146" s="2">
        <v>1.2</v>
      </c>
      <c r="H146" s="2">
        <f t="shared" si="7"/>
        <v>2406</v>
      </c>
      <c r="I146" s="13" t="s">
        <v>1991</v>
      </c>
    </row>
    <row r="147" customHeight="1" spans="1:9">
      <c r="A147" s="19">
        <v>45941</v>
      </c>
      <c r="B147" s="13" t="s">
        <v>2457</v>
      </c>
      <c r="C147" s="13">
        <v>20251002</v>
      </c>
      <c r="D147" s="13" t="s">
        <v>752</v>
      </c>
      <c r="E147" s="13" t="s">
        <v>207</v>
      </c>
      <c r="F147" s="2">
        <v>5000</v>
      </c>
      <c r="G147" s="2">
        <v>0.57</v>
      </c>
      <c r="H147" s="2">
        <f t="shared" si="7"/>
        <v>2850</v>
      </c>
      <c r="I147" s="13" t="s">
        <v>396</v>
      </c>
    </row>
    <row r="148" customHeight="1" spans="1:9">
      <c r="A148" s="19">
        <v>45942</v>
      </c>
      <c r="B148" s="13" t="s">
        <v>2457</v>
      </c>
      <c r="C148" s="13">
        <v>20251002</v>
      </c>
      <c r="D148" s="13" t="s">
        <v>752</v>
      </c>
      <c r="E148" s="13" t="s">
        <v>207</v>
      </c>
      <c r="F148" s="2">
        <v>20000</v>
      </c>
      <c r="G148" s="2">
        <v>0.57</v>
      </c>
      <c r="H148" s="2">
        <f t="shared" si="7"/>
        <v>11400</v>
      </c>
      <c r="I148" s="13" t="s">
        <v>396</v>
      </c>
    </row>
    <row r="149" customHeight="1" spans="1:9">
      <c r="A149" s="19">
        <v>45943</v>
      </c>
      <c r="B149" s="13" t="s">
        <v>2457</v>
      </c>
      <c r="C149" s="13">
        <v>20251004</v>
      </c>
      <c r="D149" s="13" t="s">
        <v>752</v>
      </c>
      <c r="E149" s="13" t="s">
        <v>207</v>
      </c>
      <c r="F149" s="2">
        <v>20000</v>
      </c>
      <c r="G149" s="2">
        <v>0.57</v>
      </c>
      <c r="H149" s="2">
        <f t="shared" si="7"/>
        <v>11400</v>
      </c>
      <c r="I149" s="13" t="s">
        <v>396</v>
      </c>
    </row>
    <row r="150" customHeight="1" spans="1:9">
      <c r="A150" s="19">
        <v>45946</v>
      </c>
      <c r="B150" s="13" t="s">
        <v>2457</v>
      </c>
      <c r="C150" s="13">
        <v>20251005</v>
      </c>
      <c r="D150" s="13" t="s">
        <v>115</v>
      </c>
      <c r="E150" s="13" t="s">
        <v>222</v>
      </c>
      <c r="F150" s="2">
        <v>10120</v>
      </c>
      <c r="G150" s="2">
        <v>0.5</v>
      </c>
      <c r="H150" s="2">
        <f t="shared" si="7"/>
        <v>5060</v>
      </c>
      <c r="I150" s="13" t="s">
        <v>570</v>
      </c>
    </row>
    <row r="151" customHeight="1" spans="1:9">
      <c r="A151" s="19">
        <v>45946</v>
      </c>
      <c r="B151" s="13" t="s">
        <v>2457</v>
      </c>
      <c r="C151" s="13">
        <v>20251005</v>
      </c>
      <c r="D151" s="13" t="s">
        <v>752</v>
      </c>
      <c r="E151" s="13" t="s">
        <v>207</v>
      </c>
      <c r="F151" s="2">
        <v>30000</v>
      </c>
      <c r="G151" s="2">
        <v>0.57</v>
      </c>
      <c r="H151" s="2">
        <f t="shared" si="7"/>
        <v>17100</v>
      </c>
      <c r="I151" s="13" t="s">
        <v>396</v>
      </c>
    </row>
    <row r="152" customHeight="1" spans="1:9">
      <c r="A152" s="19">
        <v>45952</v>
      </c>
      <c r="B152" s="13" t="s">
        <v>2457</v>
      </c>
      <c r="C152" s="13">
        <v>20251006</v>
      </c>
      <c r="D152" s="13" t="s">
        <v>102</v>
      </c>
      <c r="E152" s="13" t="s">
        <v>222</v>
      </c>
      <c r="F152" s="2">
        <v>13010</v>
      </c>
      <c r="G152" s="2">
        <v>0.8</v>
      </c>
      <c r="H152" s="2">
        <f t="shared" si="7"/>
        <v>10408</v>
      </c>
      <c r="I152" s="13" t="s">
        <v>2185</v>
      </c>
    </row>
    <row r="153" customHeight="1" spans="1:9">
      <c r="A153" s="19">
        <v>45952</v>
      </c>
      <c r="B153" s="13" t="s">
        <v>2457</v>
      </c>
      <c r="C153" s="13">
        <v>20251006</v>
      </c>
      <c r="D153" s="13" t="s">
        <v>754</v>
      </c>
      <c r="E153" s="13" t="s">
        <v>1405</v>
      </c>
      <c r="F153" s="2">
        <v>1505</v>
      </c>
      <c r="G153" s="2">
        <v>1.1</v>
      </c>
      <c r="H153" s="2">
        <f t="shared" si="7"/>
        <v>1655.5</v>
      </c>
      <c r="I153" s="13" t="s">
        <v>1991</v>
      </c>
    </row>
    <row r="154" customHeight="1" spans="1:9">
      <c r="A154" s="19">
        <v>45952</v>
      </c>
      <c r="B154" s="13" t="s">
        <v>2457</v>
      </c>
      <c r="C154" s="13">
        <v>20251006</v>
      </c>
      <c r="D154" s="13" t="s">
        <v>752</v>
      </c>
      <c r="E154" s="13" t="s">
        <v>207</v>
      </c>
      <c r="F154" s="2">
        <v>25000</v>
      </c>
      <c r="G154" s="2">
        <v>0.57</v>
      </c>
      <c r="H154" s="2">
        <f t="shared" si="7"/>
        <v>14250</v>
      </c>
      <c r="I154" s="13" t="s">
        <v>396</v>
      </c>
    </row>
    <row r="155" customHeight="1" spans="1:9">
      <c r="A155" s="19">
        <v>45953</v>
      </c>
      <c r="B155" s="13" t="s">
        <v>2457</v>
      </c>
      <c r="C155" s="13">
        <v>20251007</v>
      </c>
      <c r="D155" s="13" t="s">
        <v>752</v>
      </c>
      <c r="E155" s="13" t="s">
        <v>207</v>
      </c>
      <c r="F155" s="2">
        <v>20000</v>
      </c>
      <c r="G155" s="2">
        <v>0.57</v>
      </c>
      <c r="H155" s="2">
        <f t="shared" si="7"/>
        <v>11400</v>
      </c>
      <c r="I155" s="13" t="s">
        <v>396</v>
      </c>
    </row>
    <row r="156" customHeight="1" spans="1:9">
      <c r="A156" s="19">
        <v>45953</v>
      </c>
      <c r="B156" s="13" t="s">
        <v>2457</v>
      </c>
      <c r="C156" s="13">
        <v>20251007</v>
      </c>
      <c r="D156" s="13" t="s">
        <v>104</v>
      </c>
      <c r="E156" s="13" t="s">
        <v>361</v>
      </c>
      <c r="F156" s="2">
        <v>20010</v>
      </c>
      <c r="G156" s="2">
        <v>0.93</v>
      </c>
      <c r="H156" s="2">
        <f t="shared" si="7"/>
        <v>18609.3</v>
      </c>
      <c r="I156" s="13" t="s">
        <v>105</v>
      </c>
    </row>
    <row r="157" customHeight="1" spans="1:9">
      <c r="A157" s="19">
        <v>45955</v>
      </c>
      <c r="B157" s="13" t="s">
        <v>2457</v>
      </c>
      <c r="C157" s="13">
        <v>20251008</v>
      </c>
      <c r="D157" s="13" t="s">
        <v>104</v>
      </c>
      <c r="E157" s="13" t="s">
        <v>361</v>
      </c>
      <c r="F157" s="2">
        <v>10410</v>
      </c>
      <c r="G157" s="2">
        <v>0.93</v>
      </c>
      <c r="H157" s="2">
        <f t="shared" si="7"/>
        <v>9681.3</v>
      </c>
      <c r="I157" s="13" t="s">
        <v>213</v>
      </c>
    </row>
    <row r="158" customHeight="1" spans="1:9">
      <c r="A158" s="19">
        <v>45955</v>
      </c>
      <c r="B158" s="13" t="s">
        <v>2457</v>
      </c>
      <c r="C158" s="13">
        <v>20251008</v>
      </c>
      <c r="D158" s="13" t="s">
        <v>752</v>
      </c>
      <c r="E158" s="13" t="s">
        <v>207</v>
      </c>
      <c r="F158" s="2">
        <v>25000</v>
      </c>
      <c r="G158" s="2">
        <v>0.57</v>
      </c>
      <c r="H158" s="2">
        <f t="shared" si="7"/>
        <v>14250</v>
      </c>
      <c r="I158" s="13" t="s">
        <v>396</v>
      </c>
    </row>
    <row r="159" customHeight="1" spans="1:9">
      <c r="A159" s="19">
        <v>45943</v>
      </c>
      <c r="B159" s="13" t="s">
        <v>194</v>
      </c>
      <c r="D159" s="13" t="s">
        <v>198</v>
      </c>
      <c r="E159" s="13" t="s">
        <v>207</v>
      </c>
      <c r="F159" s="13">
        <v>2014</v>
      </c>
      <c r="G159" s="13">
        <v>1.05</v>
      </c>
      <c r="H159" s="13">
        <f t="shared" si="7"/>
        <v>2114.7</v>
      </c>
      <c r="I159" s="13" t="s">
        <v>208</v>
      </c>
    </row>
    <row r="160" customHeight="1" spans="1:9">
      <c r="A160" s="19">
        <v>45948</v>
      </c>
      <c r="B160" s="13" t="s">
        <v>194</v>
      </c>
      <c r="D160" s="13" t="s">
        <v>736</v>
      </c>
      <c r="E160" s="13" t="s">
        <v>14</v>
      </c>
      <c r="F160" s="13">
        <v>6100</v>
      </c>
      <c r="G160" s="13">
        <v>0.88</v>
      </c>
      <c r="H160" s="13">
        <f t="shared" si="7"/>
        <v>5368</v>
      </c>
      <c r="I160" s="13" t="s">
        <v>2459</v>
      </c>
    </row>
    <row r="161" customHeight="1" spans="1:10">
      <c r="A161" s="19">
        <v>45949</v>
      </c>
      <c r="B161" s="13" t="s">
        <v>194</v>
      </c>
      <c r="D161" s="13" t="s">
        <v>1398</v>
      </c>
      <c r="E161" s="13" t="s">
        <v>14</v>
      </c>
      <c r="F161" s="13">
        <v>2010</v>
      </c>
      <c r="G161" s="13">
        <v>0.69</v>
      </c>
      <c r="H161" s="13">
        <f t="shared" si="7"/>
        <v>1386.9</v>
      </c>
      <c r="I161" s="13" t="s">
        <v>2460</v>
      </c>
    </row>
    <row r="162" customHeight="1" spans="1:10">
      <c r="A162" s="19">
        <v>45952</v>
      </c>
      <c r="B162" s="13" t="s">
        <v>194</v>
      </c>
      <c r="D162" s="13" t="s">
        <v>417</v>
      </c>
      <c r="E162" s="13" t="s">
        <v>2461</v>
      </c>
      <c r="F162" s="13">
        <v>3011</v>
      </c>
      <c r="G162" s="13">
        <v>2.23</v>
      </c>
      <c r="H162" s="13">
        <f t="shared" si="7"/>
        <v>6714.53</v>
      </c>
      <c r="I162" s="13" t="s">
        <v>77</v>
      </c>
    </row>
    <row r="163" customHeight="1" spans="1:10">
      <c r="A163" s="19">
        <v>45955</v>
      </c>
      <c r="B163" s="13" t="s">
        <v>194</v>
      </c>
      <c r="D163" s="13" t="s">
        <v>1398</v>
      </c>
      <c r="E163" s="13" t="s">
        <v>14</v>
      </c>
      <c r="F163" s="13">
        <v>5010</v>
      </c>
      <c r="G163" s="13">
        <v>0.69</v>
      </c>
      <c r="H163" s="13">
        <f t="shared" si="7"/>
        <v>3456.9</v>
      </c>
      <c r="I163" s="13" t="s">
        <v>1399</v>
      </c>
    </row>
    <row r="164" customHeight="1" spans="1:10">
      <c r="A164" s="19">
        <v>45943</v>
      </c>
      <c r="B164" s="13" t="s">
        <v>121</v>
      </c>
      <c r="D164" s="13" t="s">
        <v>762</v>
      </c>
      <c r="E164" s="13" t="s">
        <v>361</v>
      </c>
      <c r="F164" s="13">
        <v>1035</v>
      </c>
      <c r="G164" s="13">
        <v>1.35</v>
      </c>
      <c r="H164" s="13">
        <f t="shared" si="7"/>
        <v>1397.25</v>
      </c>
      <c r="I164" s="13" t="s">
        <v>570</v>
      </c>
    </row>
    <row r="165" customHeight="1" spans="1:10">
      <c r="A165" s="19">
        <v>45943</v>
      </c>
      <c r="B165" s="13" t="s">
        <v>121</v>
      </c>
      <c r="D165" s="13" t="s">
        <v>122</v>
      </c>
      <c r="E165" s="13" t="s">
        <v>222</v>
      </c>
      <c r="F165" s="13">
        <v>12130</v>
      </c>
      <c r="G165" s="13">
        <v>0.51</v>
      </c>
      <c r="H165" s="13">
        <f t="shared" si="7"/>
        <v>6186.3</v>
      </c>
      <c r="I165" s="13" t="s">
        <v>117</v>
      </c>
    </row>
    <row r="166" customHeight="1" spans="1:10">
      <c r="A166" s="19">
        <v>45945</v>
      </c>
      <c r="B166" s="13" t="s">
        <v>121</v>
      </c>
      <c r="D166" s="13" t="s">
        <v>122</v>
      </c>
      <c r="E166" s="13" t="s">
        <v>1621</v>
      </c>
      <c r="F166" s="13">
        <v>12120</v>
      </c>
      <c r="G166" s="13">
        <v>0.5</v>
      </c>
      <c r="H166" s="13">
        <f t="shared" si="7"/>
        <v>6060</v>
      </c>
      <c r="I166" s="13" t="s">
        <v>117</v>
      </c>
    </row>
    <row r="167" customHeight="1" spans="1:10">
      <c r="A167" s="19">
        <v>45947</v>
      </c>
      <c r="B167" s="13" t="s">
        <v>121</v>
      </c>
      <c r="D167" s="13" t="s">
        <v>122</v>
      </c>
      <c r="E167" s="13" t="s">
        <v>1621</v>
      </c>
      <c r="F167" s="13">
        <v>10000</v>
      </c>
      <c r="G167" s="13">
        <v>0.5</v>
      </c>
      <c r="H167" s="13">
        <f t="shared" si="7"/>
        <v>5000</v>
      </c>
      <c r="I167" s="13" t="s">
        <v>117</v>
      </c>
    </row>
    <row r="168" customHeight="1" spans="1:10">
      <c r="A168" s="19">
        <v>45947</v>
      </c>
      <c r="B168" s="13" t="s">
        <v>121</v>
      </c>
      <c r="D168" s="13" t="s">
        <v>762</v>
      </c>
      <c r="E168" s="13" t="s">
        <v>361</v>
      </c>
      <c r="F168" s="13">
        <v>1035</v>
      </c>
      <c r="G168" s="13">
        <v>1.35</v>
      </c>
      <c r="H168" s="13">
        <f t="shared" si="7"/>
        <v>1397.25</v>
      </c>
      <c r="I168" s="13" t="s">
        <v>570</v>
      </c>
    </row>
    <row r="169" customHeight="1" spans="1:10">
      <c r="A169" s="19">
        <v>45948</v>
      </c>
      <c r="B169" s="13" t="s">
        <v>121</v>
      </c>
      <c r="D169" s="13" t="s">
        <v>122</v>
      </c>
      <c r="E169" s="13" t="s">
        <v>1621</v>
      </c>
      <c r="F169" s="13">
        <v>10000</v>
      </c>
      <c r="G169" s="13">
        <v>0.5</v>
      </c>
      <c r="H169" s="13">
        <f t="shared" si="7"/>
        <v>5000</v>
      </c>
      <c r="I169" s="13" t="s">
        <v>117</v>
      </c>
    </row>
    <row r="170" customHeight="1" spans="1:10">
      <c r="A170" s="19">
        <v>45948</v>
      </c>
      <c r="B170" s="13" t="s">
        <v>121</v>
      </c>
      <c r="D170" s="13" t="s">
        <v>122</v>
      </c>
      <c r="E170" s="13" t="s">
        <v>1621</v>
      </c>
      <c r="F170" s="13">
        <v>12200</v>
      </c>
      <c r="G170" s="13">
        <v>0.5</v>
      </c>
      <c r="H170" s="13">
        <f t="shared" si="7"/>
        <v>6100</v>
      </c>
      <c r="I170" s="13" t="s">
        <v>117</v>
      </c>
    </row>
    <row r="171" customHeight="1" spans="1:10">
      <c r="A171" s="19">
        <v>45941</v>
      </c>
      <c r="B171" s="13" t="s">
        <v>138</v>
      </c>
      <c r="C171" s="13">
        <v>2025167</v>
      </c>
      <c r="D171" s="13" t="s">
        <v>290</v>
      </c>
      <c r="E171" s="13" t="s">
        <v>2347</v>
      </c>
      <c r="F171" s="2">
        <v>30000</v>
      </c>
      <c r="G171" s="2">
        <v>0.01</v>
      </c>
      <c r="H171" s="2">
        <f t="shared" si="7"/>
        <v>300</v>
      </c>
      <c r="I171" s="13" t="s">
        <v>45</v>
      </c>
      <c r="J171" s="13" t="s">
        <v>46</v>
      </c>
    </row>
    <row r="172" customHeight="1" spans="1:10">
      <c r="A172" s="19">
        <v>45945</v>
      </c>
      <c r="B172" s="13" t="s">
        <v>138</v>
      </c>
      <c r="C172" s="13">
        <v>2025169</v>
      </c>
      <c r="D172" s="13" t="s">
        <v>1568</v>
      </c>
      <c r="E172" s="13" t="s">
        <v>1279</v>
      </c>
      <c r="F172" s="2">
        <v>11200</v>
      </c>
      <c r="G172" s="2"/>
      <c r="H172" s="2">
        <v>150</v>
      </c>
      <c r="I172" s="13" t="s">
        <v>37</v>
      </c>
      <c r="J172" s="13" t="s">
        <v>46</v>
      </c>
    </row>
    <row r="173" customHeight="1" spans="1:10">
      <c r="A173" s="19">
        <v>45945</v>
      </c>
      <c r="B173" s="13" t="s">
        <v>138</v>
      </c>
      <c r="C173" s="13">
        <v>2025169</v>
      </c>
      <c r="D173" s="13" t="s">
        <v>252</v>
      </c>
      <c r="E173" s="13" t="s">
        <v>1279</v>
      </c>
      <c r="F173" s="2">
        <v>15000</v>
      </c>
      <c r="G173" s="2"/>
      <c r="H173" s="2">
        <v>150</v>
      </c>
      <c r="I173" s="13" t="s">
        <v>982</v>
      </c>
      <c r="J173" s="13" t="s">
        <v>46</v>
      </c>
    </row>
    <row r="174" customHeight="1" spans="1:10">
      <c r="A174" s="19">
        <v>45945</v>
      </c>
      <c r="B174" s="13" t="s">
        <v>138</v>
      </c>
      <c r="C174" s="13">
        <v>2025169</v>
      </c>
      <c r="D174" s="13" t="s">
        <v>2462</v>
      </c>
      <c r="E174" s="13" t="s">
        <v>1279</v>
      </c>
      <c r="F174" s="2">
        <v>11200</v>
      </c>
      <c r="G174" s="2"/>
      <c r="H174" s="2">
        <v>220</v>
      </c>
      <c r="I174" s="13" t="s">
        <v>89</v>
      </c>
      <c r="J174" s="13" t="s">
        <v>46</v>
      </c>
    </row>
    <row r="175" customHeight="1" spans="1:10">
      <c r="A175" s="19">
        <v>45954</v>
      </c>
      <c r="B175" s="13" t="s">
        <v>138</v>
      </c>
      <c r="C175" s="13">
        <v>2025170</v>
      </c>
      <c r="D175" s="13" t="s">
        <v>1138</v>
      </c>
      <c r="E175" s="13" t="s">
        <v>2463</v>
      </c>
      <c r="F175" s="2">
        <v>20000</v>
      </c>
      <c r="G175" s="2"/>
      <c r="H175" s="2">
        <v>150</v>
      </c>
      <c r="I175" s="13" t="s">
        <v>415</v>
      </c>
      <c r="J175" s="13" t="s">
        <v>46</v>
      </c>
    </row>
    <row r="176" customHeight="1" spans="1:10">
      <c r="A176" s="19">
        <v>45954</v>
      </c>
      <c r="B176" s="13" t="s">
        <v>138</v>
      </c>
      <c r="C176" s="13">
        <v>2025170</v>
      </c>
      <c r="D176" s="13" t="s">
        <v>179</v>
      </c>
      <c r="E176" s="13" t="s">
        <v>2464</v>
      </c>
      <c r="F176" s="2">
        <v>15000</v>
      </c>
      <c r="G176" s="2"/>
      <c r="H176" s="2">
        <v>150</v>
      </c>
      <c r="I176" s="13" t="s">
        <v>2465</v>
      </c>
      <c r="J176" s="13" t="s">
        <v>46</v>
      </c>
    </row>
    <row r="177" customHeight="1" spans="1:11">
      <c r="A177" s="19">
        <v>45954</v>
      </c>
      <c r="B177" s="13" t="s">
        <v>138</v>
      </c>
      <c r="C177" s="13">
        <v>2025170</v>
      </c>
      <c r="D177" s="13" t="s">
        <v>179</v>
      </c>
      <c r="E177" s="13" t="s">
        <v>2466</v>
      </c>
      <c r="F177" s="2">
        <v>20000</v>
      </c>
      <c r="G177" s="2"/>
      <c r="H177" s="2">
        <v>150</v>
      </c>
      <c r="I177" s="13" t="s">
        <v>2465</v>
      </c>
      <c r="J177" s="13" t="s">
        <v>46</v>
      </c>
    </row>
    <row r="178" customHeight="1" spans="1:11">
      <c r="A178" s="19">
        <v>45942</v>
      </c>
      <c r="B178" s="13" t="s">
        <v>82</v>
      </c>
      <c r="C178" s="13" t="s">
        <v>2467</v>
      </c>
      <c r="D178" s="13" t="s">
        <v>134</v>
      </c>
      <c r="E178" s="13" t="s">
        <v>14</v>
      </c>
      <c r="F178" s="13">
        <v>9300</v>
      </c>
      <c r="G178" s="13">
        <v>0.67</v>
      </c>
      <c r="H178" s="13">
        <f t="shared" ref="H178:H193" si="8">F178*G178</f>
        <v>6231</v>
      </c>
      <c r="I178" s="13" t="s">
        <v>45</v>
      </c>
      <c r="J178" s="13" t="s">
        <v>46</v>
      </c>
      <c r="K178" s="13" t="s">
        <v>1135</v>
      </c>
    </row>
    <row r="179" customHeight="1" spans="1:11">
      <c r="A179" s="19">
        <v>45944</v>
      </c>
      <c r="B179" s="13" t="s">
        <v>82</v>
      </c>
      <c r="C179" s="13" t="s">
        <v>2468</v>
      </c>
      <c r="D179" s="13" t="s">
        <v>201</v>
      </c>
      <c r="E179" s="13" t="s">
        <v>14</v>
      </c>
      <c r="F179" s="13">
        <v>50000</v>
      </c>
      <c r="G179" s="13">
        <v>0.8</v>
      </c>
      <c r="H179" s="13">
        <f t="shared" si="8"/>
        <v>40000</v>
      </c>
      <c r="I179" s="13" t="s">
        <v>61</v>
      </c>
      <c r="J179" s="13" t="s">
        <v>46</v>
      </c>
      <c r="K179" s="13" t="s">
        <v>1135</v>
      </c>
    </row>
    <row r="180" customHeight="1" spans="1:11">
      <c r="A180" s="19">
        <v>45948</v>
      </c>
      <c r="B180" s="13" t="s">
        <v>82</v>
      </c>
      <c r="C180" s="13" t="s">
        <v>2469</v>
      </c>
      <c r="D180" s="13" t="s">
        <v>134</v>
      </c>
      <c r="E180" s="13" t="s">
        <v>361</v>
      </c>
      <c r="F180" s="13">
        <v>2023</v>
      </c>
      <c r="G180" s="13">
        <v>1.1</v>
      </c>
      <c r="H180" s="13">
        <f t="shared" si="8"/>
        <v>2225.3</v>
      </c>
      <c r="I180" s="13" t="s">
        <v>1441</v>
      </c>
      <c r="K180" s="13" t="s">
        <v>1135</v>
      </c>
    </row>
    <row r="181" customHeight="1" spans="1:11">
      <c r="A181" s="19">
        <v>45943</v>
      </c>
      <c r="B181" s="13" t="s">
        <v>2470</v>
      </c>
      <c r="C181" s="13">
        <v>7608085</v>
      </c>
      <c r="D181" s="13" t="s">
        <v>380</v>
      </c>
      <c r="E181" s="13" t="s">
        <v>14</v>
      </c>
      <c r="F181" s="13">
        <v>51135</v>
      </c>
      <c r="G181" s="13">
        <v>0.7</v>
      </c>
      <c r="H181" s="13">
        <f t="shared" si="8"/>
        <v>35794.5</v>
      </c>
      <c r="I181" s="13" t="s">
        <v>243</v>
      </c>
      <c r="J181" s="13" t="s">
        <v>46</v>
      </c>
      <c r="K181" s="13" t="s">
        <v>1135</v>
      </c>
    </row>
    <row r="182" customHeight="1" spans="1:11">
      <c r="A182" s="19">
        <v>45940</v>
      </c>
      <c r="B182" s="13" t="s">
        <v>808</v>
      </c>
      <c r="D182" s="13" t="s">
        <v>256</v>
      </c>
      <c r="E182" s="13" t="s">
        <v>14</v>
      </c>
      <c r="F182" s="13">
        <v>50000</v>
      </c>
      <c r="G182" s="13">
        <v>0.67</v>
      </c>
      <c r="H182" s="13">
        <f t="shared" si="8"/>
        <v>33500</v>
      </c>
      <c r="I182" s="13" t="s">
        <v>2471</v>
      </c>
      <c r="J182" s="13" t="s">
        <v>46</v>
      </c>
      <c r="K182" s="13" t="s">
        <v>1135</v>
      </c>
    </row>
    <row r="183" customHeight="1" spans="1:11">
      <c r="A183" s="19">
        <v>45940</v>
      </c>
      <c r="B183" s="13" t="s">
        <v>808</v>
      </c>
      <c r="D183" s="13" t="s">
        <v>1166</v>
      </c>
      <c r="E183" s="13" t="s">
        <v>14</v>
      </c>
      <c r="F183" s="13">
        <v>50000</v>
      </c>
      <c r="G183" s="13">
        <v>0.65</v>
      </c>
      <c r="H183" s="13">
        <f t="shared" si="8"/>
        <v>32500</v>
      </c>
      <c r="I183" s="13" t="s">
        <v>2472</v>
      </c>
      <c r="J183" s="13" t="s">
        <v>46</v>
      </c>
      <c r="K183" s="13" t="s">
        <v>1135</v>
      </c>
    </row>
    <row r="184" customHeight="1" spans="1:11">
      <c r="A184" s="19">
        <v>45944</v>
      </c>
      <c r="B184" s="13" t="s">
        <v>808</v>
      </c>
      <c r="D184" s="13" t="s">
        <v>709</v>
      </c>
      <c r="E184" s="13" t="s">
        <v>14</v>
      </c>
      <c r="F184" s="13">
        <v>67960</v>
      </c>
      <c r="G184" s="13">
        <v>0.59</v>
      </c>
      <c r="H184" s="13">
        <f t="shared" si="8"/>
        <v>40096.4</v>
      </c>
      <c r="I184" s="13" t="s">
        <v>1848</v>
      </c>
      <c r="J184" s="13" t="s">
        <v>46</v>
      </c>
      <c r="K184" s="13" t="s">
        <v>1135</v>
      </c>
    </row>
    <row r="185" customHeight="1" spans="1:11">
      <c r="A185" s="19">
        <v>45944</v>
      </c>
      <c r="B185" s="13" t="s">
        <v>808</v>
      </c>
      <c r="D185" s="13" t="s">
        <v>709</v>
      </c>
      <c r="E185" s="13" t="s">
        <v>14</v>
      </c>
      <c r="F185" s="13">
        <v>2040</v>
      </c>
      <c r="G185" s="13">
        <v>0.59</v>
      </c>
      <c r="H185" s="13">
        <f t="shared" si="8"/>
        <v>1203.6</v>
      </c>
      <c r="I185" s="13" t="s">
        <v>503</v>
      </c>
      <c r="J185" s="13" t="s">
        <v>46</v>
      </c>
      <c r="K185" s="13" t="s">
        <v>1135</v>
      </c>
    </row>
    <row r="186" customHeight="1" spans="1:11">
      <c r="A186" s="19">
        <v>45944</v>
      </c>
      <c r="B186" s="13" t="s">
        <v>808</v>
      </c>
      <c r="D186" s="13" t="s">
        <v>1202</v>
      </c>
      <c r="E186" s="13" t="s">
        <v>14</v>
      </c>
      <c r="F186" s="13">
        <v>700</v>
      </c>
      <c r="G186" s="13">
        <v>0.65</v>
      </c>
      <c r="H186" s="13">
        <f t="shared" si="8"/>
        <v>455</v>
      </c>
      <c r="I186" s="13" t="s">
        <v>982</v>
      </c>
      <c r="J186" s="13" t="s">
        <v>46</v>
      </c>
      <c r="K186" s="13" t="s">
        <v>1135</v>
      </c>
    </row>
    <row r="187" customHeight="1" spans="1:11">
      <c r="A187" s="19">
        <v>45950</v>
      </c>
      <c r="B187" s="13" t="s">
        <v>808</v>
      </c>
      <c r="C187" s="13">
        <v>3787327</v>
      </c>
      <c r="D187" s="13" t="s">
        <v>1166</v>
      </c>
      <c r="E187" s="13" t="s">
        <v>14</v>
      </c>
      <c r="F187" s="13">
        <v>88500</v>
      </c>
      <c r="G187" s="13">
        <v>0.65</v>
      </c>
      <c r="H187" s="13">
        <f t="shared" si="8"/>
        <v>57525</v>
      </c>
      <c r="I187" s="13" t="s">
        <v>433</v>
      </c>
      <c r="J187" s="13" t="s">
        <v>46</v>
      </c>
      <c r="K187" s="13" t="s">
        <v>1135</v>
      </c>
    </row>
    <row r="188" customHeight="1" spans="1:11">
      <c r="A188" s="19">
        <v>45928</v>
      </c>
      <c r="B188" s="13" t="s">
        <v>906</v>
      </c>
      <c r="C188" s="13" t="s">
        <v>2473</v>
      </c>
      <c r="D188" s="13" t="s">
        <v>1615</v>
      </c>
      <c r="E188" s="13" t="s">
        <v>158</v>
      </c>
      <c r="F188" s="2">
        <v>260000</v>
      </c>
      <c r="G188" s="2">
        <v>0.17</v>
      </c>
      <c r="H188" s="2">
        <f t="shared" si="8"/>
        <v>44200</v>
      </c>
      <c r="I188" s="13" t="s">
        <v>61</v>
      </c>
      <c r="J188" s="13" t="s">
        <v>46</v>
      </c>
      <c r="K188" s="13" t="s">
        <v>1135</v>
      </c>
    </row>
    <row r="189" customHeight="1" spans="1:11">
      <c r="A189" s="19">
        <v>45938</v>
      </c>
      <c r="B189" s="13" t="s">
        <v>906</v>
      </c>
      <c r="C189" s="13" t="s">
        <v>2474</v>
      </c>
      <c r="D189" s="13" t="s">
        <v>1619</v>
      </c>
      <c r="E189" s="13" t="s">
        <v>158</v>
      </c>
      <c r="F189" s="2">
        <v>65000</v>
      </c>
      <c r="G189" s="2">
        <v>0.17</v>
      </c>
      <c r="H189" s="2">
        <f t="shared" si="8"/>
        <v>11050</v>
      </c>
      <c r="I189" s="13" t="s">
        <v>61</v>
      </c>
      <c r="J189" s="13" t="s">
        <v>46</v>
      </c>
    </row>
    <row r="190" customHeight="1" spans="1:11">
      <c r="A190" s="19">
        <v>45939</v>
      </c>
      <c r="B190" s="13" t="s">
        <v>906</v>
      </c>
      <c r="C190" s="13" t="s">
        <v>2475</v>
      </c>
      <c r="D190" s="13" t="s">
        <v>1619</v>
      </c>
      <c r="E190" s="13" t="s">
        <v>158</v>
      </c>
      <c r="F190" s="2">
        <v>35000</v>
      </c>
      <c r="G190" s="2">
        <v>0.17</v>
      </c>
      <c r="H190" s="2">
        <f t="shared" si="8"/>
        <v>5950</v>
      </c>
      <c r="I190" s="13" t="s">
        <v>61</v>
      </c>
      <c r="J190" s="13" t="s">
        <v>46</v>
      </c>
    </row>
    <row r="191" customHeight="1" spans="1:11">
      <c r="A191" s="19">
        <v>45939</v>
      </c>
      <c r="B191" s="13" t="s">
        <v>906</v>
      </c>
      <c r="C191" s="13" t="s">
        <v>2475</v>
      </c>
      <c r="D191" s="13" t="s">
        <v>1803</v>
      </c>
      <c r="E191" s="13" t="s">
        <v>158</v>
      </c>
      <c r="F191" s="2">
        <v>75000</v>
      </c>
      <c r="G191" s="2">
        <v>0.17</v>
      </c>
      <c r="H191" s="2">
        <f t="shared" si="8"/>
        <v>12750</v>
      </c>
      <c r="I191" s="13" t="s">
        <v>61</v>
      </c>
      <c r="J191" s="13" t="s">
        <v>46</v>
      </c>
    </row>
    <row r="192" customHeight="1" spans="1:11">
      <c r="A192" s="19">
        <v>45940</v>
      </c>
      <c r="B192" s="13" t="s">
        <v>906</v>
      </c>
      <c r="C192" s="13" t="s">
        <v>2476</v>
      </c>
      <c r="D192" s="13" t="s">
        <v>1803</v>
      </c>
      <c r="E192" s="13" t="s">
        <v>158</v>
      </c>
      <c r="F192" s="2">
        <v>125000</v>
      </c>
      <c r="G192" s="2">
        <v>0.17</v>
      </c>
      <c r="H192" s="2">
        <f t="shared" si="8"/>
        <v>21250</v>
      </c>
      <c r="I192" s="13" t="s">
        <v>61</v>
      </c>
      <c r="J192" s="13" t="s">
        <v>46</v>
      </c>
    </row>
    <row r="193" customHeight="1" spans="1:11">
      <c r="A193" s="19">
        <v>45954</v>
      </c>
      <c r="B193" s="13" t="s">
        <v>906</v>
      </c>
      <c r="C193" s="13" t="s">
        <v>2477</v>
      </c>
      <c r="D193" s="13" t="s">
        <v>2478</v>
      </c>
      <c r="E193" s="13" t="s">
        <v>158</v>
      </c>
      <c r="F193" s="2">
        <v>50000</v>
      </c>
      <c r="G193" s="2">
        <v>0.17</v>
      </c>
      <c r="H193" s="2">
        <f t="shared" si="8"/>
        <v>8500</v>
      </c>
      <c r="I193" s="13" t="s">
        <v>61</v>
      </c>
      <c r="J193" s="13" t="s">
        <v>46</v>
      </c>
    </row>
    <row r="194" customHeight="1" spans="1:11">
      <c r="A194" s="19">
        <v>45928</v>
      </c>
      <c r="B194" s="13" t="s">
        <v>260</v>
      </c>
      <c r="C194" s="13" t="s">
        <v>2479</v>
      </c>
      <c r="D194" s="13" t="s">
        <v>188</v>
      </c>
      <c r="E194" s="13" t="s">
        <v>14</v>
      </c>
      <c r="F194" s="13">
        <v>15000</v>
      </c>
      <c r="G194" s="13">
        <v>1.05</v>
      </c>
      <c r="H194" s="13">
        <f t="shared" ref="H194:H228" si="9">F194*G194</f>
        <v>15750</v>
      </c>
      <c r="I194" s="13" t="s">
        <v>189</v>
      </c>
      <c r="J194" s="13" t="s">
        <v>46</v>
      </c>
      <c r="K194" s="13" t="s">
        <v>1135</v>
      </c>
    </row>
    <row r="195" customHeight="1" spans="1:11">
      <c r="A195" s="19">
        <v>45937</v>
      </c>
      <c r="B195" s="13" t="s">
        <v>260</v>
      </c>
      <c r="C195" s="13" t="s">
        <v>2480</v>
      </c>
      <c r="D195" s="13" t="s">
        <v>134</v>
      </c>
      <c r="E195" s="13" t="s">
        <v>14</v>
      </c>
      <c r="F195" s="13">
        <v>400</v>
      </c>
      <c r="G195" s="13">
        <v>0.8</v>
      </c>
      <c r="H195" s="13">
        <f t="shared" si="9"/>
        <v>320</v>
      </c>
      <c r="I195" s="13" t="s">
        <v>35</v>
      </c>
      <c r="K195" s="13" t="s">
        <v>1135</v>
      </c>
    </row>
    <row r="196" customHeight="1" spans="1:11">
      <c r="A196" s="19">
        <v>45947</v>
      </c>
      <c r="B196" s="13" t="s">
        <v>260</v>
      </c>
      <c r="C196" s="13" t="s">
        <v>2481</v>
      </c>
      <c r="D196" s="13" t="s">
        <v>188</v>
      </c>
      <c r="E196" s="13" t="s">
        <v>14</v>
      </c>
      <c r="F196" s="13">
        <v>10000</v>
      </c>
      <c r="G196" s="13">
        <v>1.05</v>
      </c>
      <c r="H196" s="13">
        <f t="shared" si="9"/>
        <v>10500</v>
      </c>
      <c r="I196" s="13" t="s">
        <v>189</v>
      </c>
      <c r="J196" s="13" t="s">
        <v>46</v>
      </c>
      <c r="K196" s="13" t="s">
        <v>1135</v>
      </c>
    </row>
    <row r="197" customHeight="1" spans="1:11">
      <c r="A197" s="19">
        <v>45953</v>
      </c>
      <c r="B197" s="13" t="s">
        <v>260</v>
      </c>
      <c r="C197" s="13" t="s">
        <v>2482</v>
      </c>
      <c r="D197" s="13" t="s">
        <v>884</v>
      </c>
      <c r="E197" s="13" t="s">
        <v>14</v>
      </c>
      <c r="F197" s="13">
        <v>51</v>
      </c>
      <c r="G197" s="13">
        <v>2</v>
      </c>
      <c r="H197" s="13">
        <f t="shared" si="9"/>
        <v>102</v>
      </c>
      <c r="I197" s="13" t="s">
        <v>2483</v>
      </c>
      <c r="K197" s="13" t="s">
        <v>1135</v>
      </c>
    </row>
    <row r="198" customHeight="1" spans="1:11">
      <c r="A198" s="19">
        <v>45926</v>
      </c>
      <c r="B198" s="13" t="s">
        <v>97</v>
      </c>
      <c r="D198" s="13" t="s">
        <v>270</v>
      </c>
      <c r="E198" s="13" t="s">
        <v>14</v>
      </c>
      <c r="F198" s="2">
        <v>25200</v>
      </c>
      <c r="G198" s="2">
        <v>1.2</v>
      </c>
      <c r="H198" s="2">
        <f t="shared" si="9"/>
        <v>30240</v>
      </c>
      <c r="I198" s="13" t="s">
        <v>271</v>
      </c>
      <c r="J198" s="13" t="s">
        <v>46</v>
      </c>
    </row>
    <row r="199" customHeight="1" spans="1:11">
      <c r="A199" s="19">
        <v>45930</v>
      </c>
      <c r="B199" s="13" t="s">
        <v>97</v>
      </c>
      <c r="D199" s="13" t="s">
        <v>270</v>
      </c>
      <c r="E199" s="13" t="s">
        <v>14</v>
      </c>
      <c r="F199" s="2">
        <v>7707</v>
      </c>
      <c r="G199" s="2">
        <v>1.2</v>
      </c>
      <c r="H199" s="2">
        <f t="shared" si="9"/>
        <v>9248.4</v>
      </c>
      <c r="I199" s="13" t="s">
        <v>271</v>
      </c>
      <c r="J199" s="13" t="s">
        <v>46</v>
      </c>
    </row>
    <row r="200" customHeight="1" spans="1:11">
      <c r="A200" s="19">
        <v>45938</v>
      </c>
      <c r="B200" s="13" t="s">
        <v>97</v>
      </c>
      <c r="D200" s="13" t="s">
        <v>98</v>
      </c>
      <c r="E200" s="13" t="s">
        <v>361</v>
      </c>
      <c r="F200" s="2">
        <v>505</v>
      </c>
      <c r="G200" s="2">
        <v>0.83</v>
      </c>
      <c r="H200" s="2">
        <f t="shared" si="9"/>
        <v>419.15</v>
      </c>
      <c r="I200" s="13" t="s">
        <v>330</v>
      </c>
    </row>
    <row r="201" customHeight="1" spans="1:11">
      <c r="A201" s="19">
        <v>45938</v>
      </c>
      <c r="B201" s="13" t="s">
        <v>97</v>
      </c>
      <c r="D201" s="13" t="s">
        <v>387</v>
      </c>
      <c r="E201" s="13" t="s">
        <v>1405</v>
      </c>
      <c r="F201" s="2">
        <v>10110</v>
      </c>
      <c r="G201" s="2">
        <v>1.35</v>
      </c>
      <c r="H201" s="2">
        <f t="shared" si="9"/>
        <v>13648.5</v>
      </c>
      <c r="I201" s="13" t="s">
        <v>235</v>
      </c>
    </row>
    <row r="202" customHeight="1" spans="1:11">
      <c r="A202" s="19">
        <v>45938</v>
      </c>
      <c r="B202" s="13" t="s">
        <v>97</v>
      </c>
      <c r="D202" s="13" t="s">
        <v>2484</v>
      </c>
      <c r="E202" s="13" t="s">
        <v>361</v>
      </c>
      <c r="F202" s="2">
        <v>20</v>
      </c>
      <c r="G202" s="2">
        <v>0</v>
      </c>
      <c r="H202" s="2">
        <f t="shared" si="9"/>
        <v>0</v>
      </c>
      <c r="I202" s="13" t="s">
        <v>35</v>
      </c>
    </row>
    <row r="203" customHeight="1" spans="1:11">
      <c r="A203" s="19">
        <v>45943</v>
      </c>
      <c r="B203" s="13" t="s">
        <v>97</v>
      </c>
      <c r="D203" s="13" t="s">
        <v>98</v>
      </c>
      <c r="E203" s="13" t="s">
        <v>361</v>
      </c>
      <c r="F203" s="2">
        <v>7805</v>
      </c>
      <c r="G203" s="2">
        <v>0.83</v>
      </c>
      <c r="H203" s="2">
        <f t="shared" si="9"/>
        <v>6478.15</v>
      </c>
      <c r="I203" s="13" t="s">
        <v>100</v>
      </c>
    </row>
    <row r="204" customHeight="1" spans="1:11">
      <c r="A204" s="19">
        <v>45948</v>
      </c>
      <c r="B204" s="13" t="s">
        <v>97</v>
      </c>
      <c r="D204" s="13" t="s">
        <v>224</v>
      </c>
      <c r="E204" s="13" t="s">
        <v>207</v>
      </c>
      <c r="F204" s="2">
        <v>2005</v>
      </c>
      <c r="G204" s="2">
        <v>0.95</v>
      </c>
      <c r="H204" s="2">
        <f t="shared" si="9"/>
        <v>1904.75</v>
      </c>
      <c r="I204" s="13" t="s">
        <v>208</v>
      </c>
    </row>
    <row r="205" customHeight="1" spans="1:11">
      <c r="A205" s="19">
        <v>45931</v>
      </c>
      <c r="B205" s="21" t="s">
        <v>1818</v>
      </c>
      <c r="C205" s="21" t="s">
        <v>2485</v>
      </c>
      <c r="D205" s="13" t="s">
        <v>2188</v>
      </c>
      <c r="E205" s="13" t="s">
        <v>158</v>
      </c>
      <c r="F205" s="13">
        <v>40000</v>
      </c>
      <c r="G205" s="13">
        <v>0.17</v>
      </c>
      <c r="H205" s="13">
        <f t="shared" si="9"/>
        <v>6800</v>
      </c>
      <c r="I205" s="13" t="s">
        <v>61</v>
      </c>
      <c r="J205" s="13" t="s">
        <v>46</v>
      </c>
    </row>
    <row r="206" customHeight="1" spans="1:11">
      <c r="A206" s="19">
        <v>45936</v>
      </c>
      <c r="B206" s="21" t="s">
        <v>1818</v>
      </c>
      <c r="C206" s="21" t="s">
        <v>2486</v>
      </c>
      <c r="D206" s="13" t="s">
        <v>2219</v>
      </c>
      <c r="E206" s="13" t="s">
        <v>158</v>
      </c>
      <c r="F206" s="13">
        <v>20000</v>
      </c>
      <c r="G206" s="13">
        <v>0.17</v>
      </c>
      <c r="H206" s="13">
        <f t="shared" si="9"/>
        <v>3400</v>
      </c>
      <c r="I206" s="13" t="s">
        <v>61</v>
      </c>
      <c r="J206" s="13" t="s">
        <v>46</v>
      </c>
    </row>
    <row r="207" customHeight="1" spans="1:11">
      <c r="A207" s="19">
        <v>45936</v>
      </c>
      <c r="B207" s="21" t="s">
        <v>1818</v>
      </c>
      <c r="C207" s="21" t="s">
        <v>2486</v>
      </c>
      <c r="D207" s="13" t="s">
        <v>2188</v>
      </c>
      <c r="E207" s="21" t="s">
        <v>158</v>
      </c>
      <c r="F207" s="13">
        <v>50000</v>
      </c>
      <c r="G207" s="13">
        <v>0.17</v>
      </c>
      <c r="H207" s="13">
        <f t="shared" si="9"/>
        <v>8500</v>
      </c>
      <c r="I207" s="13" t="s">
        <v>61</v>
      </c>
      <c r="J207" s="13" t="s">
        <v>46</v>
      </c>
    </row>
    <row r="208" customHeight="1" spans="1:11">
      <c r="A208" s="19">
        <v>45946</v>
      </c>
      <c r="B208" s="21" t="s">
        <v>1818</v>
      </c>
      <c r="C208" s="21" t="s">
        <v>2487</v>
      </c>
      <c r="D208" s="13" t="s">
        <v>2488</v>
      </c>
      <c r="E208" s="21" t="s">
        <v>158</v>
      </c>
      <c r="F208" s="13">
        <v>3020</v>
      </c>
      <c r="G208" s="13">
        <v>0.16</v>
      </c>
      <c r="H208" s="13">
        <f t="shared" si="9"/>
        <v>483.2</v>
      </c>
      <c r="I208" s="13" t="s">
        <v>2489</v>
      </c>
    </row>
    <row r="209" customHeight="1" spans="1:11">
      <c r="A209" s="19">
        <v>45951</v>
      </c>
      <c r="B209" s="21" t="s">
        <v>1818</v>
      </c>
      <c r="C209" s="21" t="s">
        <v>2490</v>
      </c>
      <c r="D209" s="13" t="s">
        <v>2196</v>
      </c>
      <c r="E209" s="21" t="s">
        <v>158</v>
      </c>
      <c r="F209" s="13">
        <v>30000</v>
      </c>
      <c r="G209" s="13">
        <v>0.17</v>
      </c>
      <c r="H209" s="13">
        <f t="shared" si="9"/>
        <v>5100</v>
      </c>
      <c r="I209" s="13" t="s">
        <v>61</v>
      </c>
      <c r="J209" s="13" t="s">
        <v>46</v>
      </c>
    </row>
    <row r="210" customHeight="1" spans="1:11">
      <c r="A210" s="19">
        <v>45954</v>
      </c>
      <c r="B210" s="21" t="s">
        <v>1818</v>
      </c>
      <c r="C210" s="21" t="s">
        <v>2491</v>
      </c>
      <c r="D210" s="13" t="s">
        <v>2492</v>
      </c>
      <c r="E210" s="21" t="s">
        <v>158</v>
      </c>
      <c r="F210" s="13">
        <v>10000</v>
      </c>
      <c r="G210" s="13">
        <v>0.25</v>
      </c>
      <c r="H210" s="13">
        <f t="shared" si="9"/>
        <v>2500</v>
      </c>
      <c r="I210" s="13" t="s">
        <v>61</v>
      </c>
      <c r="J210" s="13" t="s">
        <v>46</v>
      </c>
    </row>
    <row r="211" customHeight="1" spans="1:11">
      <c r="A211" s="19">
        <v>45928</v>
      </c>
      <c r="B211" s="13" t="s">
        <v>2493</v>
      </c>
      <c r="C211" s="13">
        <v>20205092801</v>
      </c>
      <c r="D211" s="13" t="s">
        <v>2494</v>
      </c>
      <c r="E211" s="21" t="s">
        <v>158</v>
      </c>
      <c r="F211" s="13">
        <v>5180</v>
      </c>
      <c r="G211" s="13">
        <v>0.2</v>
      </c>
      <c r="H211" s="13">
        <f t="shared" si="9"/>
        <v>1036</v>
      </c>
      <c r="I211" s="13" t="s">
        <v>61</v>
      </c>
      <c r="J211" s="13" t="s">
        <v>46</v>
      </c>
      <c r="K211" s="13" t="s">
        <v>1135</v>
      </c>
    </row>
    <row r="212" customHeight="1" spans="1:11">
      <c r="A212" s="19">
        <v>45943</v>
      </c>
      <c r="B212" s="13" t="s">
        <v>2493</v>
      </c>
      <c r="C212" s="13">
        <v>20205101301</v>
      </c>
      <c r="D212" s="13" t="s">
        <v>2494</v>
      </c>
      <c r="E212" s="21" t="s">
        <v>158</v>
      </c>
      <c r="F212" s="13">
        <v>25000</v>
      </c>
      <c r="G212" s="13">
        <v>0.2</v>
      </c>
      <c r="H212" s="13">
        <f t="shared" si="9"/>
        <v>5000</v>
      </c>
      <c r="I212" s="13" t="s">
        <v>61</v>
      </c>
      <c r="J212" s="13" t="s">
        <v>46</v>
      </c>
      <c r="K212" s="13" t="s">
        <v>1135</v>
      </c>
    </row>
    <row r="213" customHeight="1" spans="1:11">
      <c r="A213" s="19">
        <v>45946</v>
      </c>
      <c r="B213" s="13" t="s">
        <v>2493</v>
      </c>
      <c r="C213" s="13">
        <v>2025101601</v>
      </c>
      <c r="D213" s="13" t="s">
        <v>2495</v>
      </c>
      <c r="E213" s="21" t="s">
        <v>158</v>
      </c>
      <c r="F213" s="13">
        <v>50500</v>
      </c>
      <c r="G213" s="13">
        <v>0.18</v>
      </c>
      <c r="H213" s="13">
        <f t="shared" si="9"/>
        <v>9090</v>
      </c>
      <c r="I213" s="13" t="s">
        <v>2496</v>
      </c>
      <c r="J213" s="13" t="s">
        <v>46</v>
      </c>
      <c r="K213" s="13" t="s">
        <v>1135</v>
      </c>
    </row>
    <row r="214" customHeight="1" spans="1:11">
      <c r="A214" s="19">
        <v>45940</v>
      </c>
      <c r="B214" s="13" t="s">
        <v>1588</v>
      </c>
      <c r="C214" s="13" t="s">
        <v>2497</v>
      </c>
      <c r="D214" s="13" t="s">
        <v>2498</v>
      </c>
      <c r="E214" s="13" t="s">
        <v>447</v>
      </c>
      <c r="F214" s="13">
        <v>2030</v>
      </c>
      <c r="G214" s="13">
        <v>1.7</v>
      </c>
      <c r="H214" s="13">
        <f t="shared" si="9"/>
        <v>3451</v>
      </c>
      <c r="I214" s="13" t="s">
        <v>2499</v>
      </c>
    </row>
    <row r="215" customHeight="1" spans="1:11">
      <c r="A215" s="19">
        <v>45940</v>
      </c>
      <c r="B215" s="13" t="s">
        <v>1588</v>
      </c>
      <c r="C215" s="13" t="s">
        <v>2497</v>
      </c>
      <c r="D215" s="13" t="s">
        <v>875</v>
      </c>
      <c r="E215" s="13" t="s">
        <v>447</v>
      </c>
      <c r="F215" s="13">
        <v>1020</v>
      </c>
      <c r="G215" s="13">
        <v>2.2</v>
      </c>
      <c r="H215" s="13">
        <f t="shared" si="9"/>
        <v>2244</v>
      </c>
      <c r="I215" s="13" t="s">
        <v>587</v>
      </c>
    </row>
    <row r="216" customHeight="1" spans="1:11">
      <c r="A216" s="19">
        <v>45954</v>
      </c>
      <c r="B216" s="13" t="s">
        <v>1588</v>
      </c>
      <c r="C216" s="13" t="s">
        <v>2500</v>
      </c>
      <c r="D216" s="13" t="s">
        <v>2358</v>
      </c>
      <c r="E216" s="13" t="s">
        <v>447</v>
      </c>
      <c r="F216" s="13">
        <v>1043</v>
      </c>
      <c r="G216" s="13">
        <v>2.9</v>
      </c>
      <c r="H216" s="13">
        <f t="shared" si="9"/>
        <v>3024.7</v>
      </c>
      <c r="I216" s="13" t="s">
        <v>2499</v>
      </c>
    </row>
    <row r="217" customHeight="1" spans="1:11">
      <c r="A217" s="19">
        <v>45940</v>
      </c>
      <c r="B217" s="13" t="s">
        <v>57</v>
      </c>
      <c r="D217" s="13" t="s">
        <v>115</v>
      </c>
      <c r="E217" s="13" t="s">
        <v>222</v>
      </c>
      <c r="F217" s="13">
        <v>6050</v>
      </c>
      <c r="G217" s="13">
        <v>0.48</v>
      </c>
      <c r="H217" s="13">
        <f t="shared" si="9"/>
        <v>2904</v>
      </c>
      <c r="I217" s="13" t="s">
        <v>432</v>
      </c>
    </row>
    <row r="218" customHeight="1" spans="1:11">
      <c r="A218" s="19">
        <v>45944</v>
      </c>
      <c r="B218" s="13" t="s">
        <v>57</v>
      </c>
      <c r="D218" s="13" t="s">
        <v>115</v>
      </c>
      <c r="E218" s="13" t="s">
        <v>222</v>
      </c>
      <c r="F218" s="13">
        <v>200</v>
      </c>
      <c r="G218" s="13">
        <v>0</v>
      </c>
      <c r="H218" s="13">
        <f t="shared" si="9"/>
        <v>0</v>
      </c>
      <c r="I218" s="13" t="s">
        <v>432</v>
      </c>
    </row>
    <row r="219" customHeight="1" spans="1:11">
      <c r="A219" s="19">
        <v>45937</v>
      </c>
      <c r="B219" s="13" t="s">
        <v>1407</v>
      </c>
      <c r="C219" s="13">
        <v>2025007001</v>
      </c>
      <c r="D219" s="13" t="s">
        <v>115</v>
      </c>
      <c r="E219" s="13" t="s">
        <v>1273</v>
      </c>
      <c r="F219" s="2">
        <v>9980</v>
      </c>
      <c r="G219" s="2">
        <v>0.52</v>
      </c>
      <c r="H219" s="2">
        <f t="shared" si="9"/>
        <v>5189.6</v>
      </c>
      <c r="I219" s="13" t="s">
        <v>77</v>
      </c>
    </row>
    <row r="220" customHeight="1" spans="1:11">
      <c r="A220" s="19">
        <v>45946</v>
      </c>
      <c r="B220" s="13" t="s">
        <v>1407</v>
      </c>
      <c r="C220" s="13">
        <v>20251015001</v>
      </c>
      <c r="D220" s="13" t="s">
        <v>2073</v>
      </c>
      <c r="E220" s="13" t="s">
        <v>222</v>
      </c>
      <c r="F220" s="2">
        <v>10220</v>
      </c>
      <c r="G220" s="2">
        <v>0.42</v>
      </c>
      <c r="H220" s="2">
        <f t="shared" si="9"/>
        <v>4292.4</v>
      </c>
      <c r="I220" s="13" t="s">
        <v>1465</v>
      </c>
    </row>
    <row r="221" customHeight="1" spans="1:11">
      <c r="A221" s="19">
        <v>45951</v>
      </c>
      <c r="B221" s="13" t="s">
        <v>1407</v>
      </c>
      <c r="C221" s="13">
        <v>20251021001</v>
      </c>
      <c r="D221" s="13" t="s">
        <v>59</v>
      </c>
      <c r="E221" s="13" t="s">
        <v>1273</v>
      </c>
      <c r="F221" s="2">
        <v>5905</v>
      </c>
      <c r="G221" s="2">
        <v>0.52</v>
      </c>
      <c r="H221" s="2">
        <f t="shared" si="9"/>
        <v>3070.6</v>
      </c>
      <c r="I221" s="13" t="s">
        <v>77</v>
      </c>
    </row>
    <row r="222" customHeight="1" spans="1:11">
      <c r="A222" s="19">
        <v>45951</v>
      </c>
      <c r="B222" s="13" t="s">
        <v>1407</v>
      </c>
      <c r="C222" s="13">
        <v>20251021001</v>
      </c>
      <c r="D222" s="13" t="s">
        <v>115</v>
      </c>
      <c r="E222" s="13" t="s">
        <v>1273</v>
      </c>
      <c r="F222" s="2">
        <v>5984</v>
      </c>
      <c r="G222" s="2">
        <v>0.52</v>
      </c>
      <c r="H222" s="2">
        <f t="shared" si="9"/>
        <v>3111.68</v>
      </c>
      <c r="I222" s="13" t="s">
        <v>77</v>
      </c>
    </row>
    <row r="223" customHeight="1" spans="1:11">
      <c r="A223" s="19">
        <v>45953</v>
      </c>
      <c r="B223" s="13" t="s">
        <v>1407</v>
      </c>
      <c r="C223" s="13">
        <v>20251023001</v>
      </c>
      <c r="D223" s="13" t="s">
        <v>115</v>
      </c>
      <c r="E223" s="13" t="s">
        <v>1273</v>
      </c>
      <c r="F223" s="2">
        <v>614</v>
      </c>
      <c r="G223" s="2">
        <v>0.52</v>
      </c>
      <c r="H223" s="2">
        <f t="shared" si="9"/>
        <v>319.28</v>
      </c>
      <c r="I223" s="13" t="s">
        <v>77</v>
      </c>
    </row>
    <row r="224" customHeight="1" spans="1:11">
      <c r="A224" s="19">
        <v>45941</v>
      </c>
      <c r="B224" s="13" t="s">
        <v>2371</v>
      </c>
      <c r="C224" s="89" t="s">
        <v>2501</v>
      </c>
      <c r="D224" s="13">
        <v>1045</v>
      </c>
      <c r="E224" s="13" t="s">
        <v>222</v>
      </c>
      <c r="F224" s="13">
        <v>10000</v>
      </c>
      <c r="G224" s="13">
        <v>0.95</v>
      </c>
      <c r="H224" s="13">
        <f t="shared" si="9"/>
        <v>9500</v>
      </c>
      <c r="I224" s="13" t="s">
        <v>330</v>
      </c>
    </row>
    <row r="225" customHeight="1" spans="1:11">
      <c r="A225" s="19">
        <v>45944</v>
      </c>
      <c r="B225" s="13" t="s">
        <v>2371</v>
      </c>
      <c r="C225" s="89" t="s">
        <v>2502</v>
      </c>
      <c r="D225" s="13">
        <v>1240</v>
      </c>
      <c r="E225" s="13" t="s">
        <v>222</v>
      </c>
      <c r="F225" s="13">
        <v>505</v>
      </c>
      <c r="G225" s="13">
        <v>1.15</v>
      </c>
      <c r="H225" s="13">
        <f t="shared" si="9"/>
        <v>580.75</v>
      </c>
      <c r="I225" s="13" t="s">
        <v>330</v>
      </c>
    </row>
    <row r="226" customHeight="1" spans="1:11">
      <c r="A226" s="19">
        <v>45941</v>
      </c>
      <c r="B226" s="13" t="s">
        <v>1049</v>
      </c>
      <c r="D226" s="13" t="s">
        <v>130</v>
      </c>
      <c r="E226" s="13" t="s">
        <v>222</v>
      </c>
      <c r="F226" s="13">
        <v>600</v>
      </c>
      <c r="G226" s="13">
        <v>0.35</v>
      </c>
      <c r="H226" s="13">
        <f t="shared" si="9"/>
        <v>210</v>
      </c>
      <c r="I226" s="13" t="s">
        <v>100</v>
      </c>
      <c r="K226" s="13" t="s">
        <v>1135</v>
      </c>
    </row>
    <row r="227" customHeight="1" spans="1:11">
      <c r="A227" s="19">
        <v>45953</v>
      </c>
      <c r="B227" s="13" t="s">
        <v>1049</v>
      </c>
      <c r="D227" s="13" t="s">
        <v>130</v>
      </c>
      <c r="E227" s="13" t="s">
        <v>222</v>
      </c>
      <c r="F227" s="13">
        <v>16700</v>
      </c>
      <c r="G227" s="13">
        <v>0.37</v>
      </c>
      <c r="H227" s="13">
        <f t="shared" si="9"/>
        <v>6179</v>
      </c>
      <c r="I227" s="13" t="s">
        <v>100</v>
      </c>
      <c r="K227" s="13" t="s">
        <v>1135</v>
      </c>
    </row>
    <row r="228" customHeight="1" spans="1:11">
      <c r="A228" s="19">
        <v>45955</v>
      </c>
      <c r="B228" s="13" t="s">
        <v>1049</v>
      </c>
      <c r="D228" s="13" t="s">
        <v>130</v>
      </c>
      <c r="E228" s="13" t="s">
        <v>222</v>
      </c>
      <c r="F228" s="13">
        <v>1100</v>
      </c>
      <c r="G228" s="13">
        <v>0</v>
      </c>
      <c r="H228" s="13">
        <f t="shared" si="9"/>
        <v>0</v>
      </c>
      <c r="I228" s="13" t="s">
        <v>100</v>
      </c>
      <c r="J228" s="13" t="s">
        <v>475</v>
      </c>
    </row>
    <row r="229" customHeight="1" spans="1:11">
      <c r="A229" s="19">
        <v>45937</v>
      </c>
      <c r="B229" s="13" t="s">
        <v>825</v>
      </c>
      <c r="C229" s="89" t="s">
        <v>2503</v>
      </c>
      <c r="D229" s="13">
        <v>802040</v>
      </c>
      <c r="E229" s="13" t="s">
        <v>2504</v>
      </c>
      <c r="F229" s="13">
        <v>850</v>
      </c>
      <c r="G229" s="13">
        <v>0.34</v>
      </c>
      <c r="H229" s="13">
        <f t="shared" ref="H229:H250" si="10">F229*G229</f>
        <v>289</v>
      </c>
      <c r="I229" s="13" t="s">
        <v>1718</v>
      </c>
      <c r="J229" s="13" t="s">
        <v>46</v>
      </c>
    </row>
    <row r="230" customHeight="1" spans="1:11">
      <c r="A230" s="19">
        <v>45941</v>
      </c>
      <c r="B230" s="13" t="s">
        <v>879</v>
      </c>
      <c r="C230" s="13" t="s">
        <v>2505</v>
      </c>
      <c r="D230" s="13" t="s">
        <v>1339</v>
      </c>
      <c r="E230" s="13" t="s">
        <v>14</v>
      </c>
      <c r="F230" s="1">
        <v>3030</v>
      </c>
      <c r="G230" s="1">
        <v>1.65</v>
      </c>
      <c r="H230" s="1">
        <f t="shared" si="10"/>
        <v>4999.5</v>
      </c>
      <c r="I230" s="13" t="s">
        <v>202</v>
      </c>
      <c r="J230" s="13" t="s">
        <v>46</v>
      </c>
    </row>
    <row r="231" customHeight="1" spans="1:11">
      <c r="A231" s="19">
        <v>45937</v>
      </c>
      <c r="B231" s="13" t="s">
        <v>263</v>
      </c>
      <c r="C231" s="89" t="s">
        <v>2506</v>
      </c>
      <c r="D231" s="13">
        <v>1532</v>
      </c>
      <c r="E231" s="13" t="s">
        <v>158</v>
      </c>
      <c r="F231" s="13">
        <v>20000</v>
      </c>
      <c r="G231" s="13">
        <v>0.113</v>
      </c>
      <c r="H231" s="13">
        <f t="shared" si="10"/>
        <v>2260</v>
      </c>
      <c r="I231" s="13" t="s">
        <v>133</v>
      </c>
      <c r="J231" s="13" t="s">
        <v>46</v>
      </c>
      <c r="K231" s="13" t="s">
        <v>1135</v>
      </c>
    </row>
    <row r="232" customHeight="1" spans="1:11">
      <c r="A232" s="19">
        <v>45945</v>
      </c>
      <c r="B232" s="13" t="s">
        <v>225</v>
      </c>
      <c r="C232" s="89" t="s">
        <v>2507</v>
      </c>
      <c r="D232" s="13" t="s">
        <v>130</v>
      </c>
      <c r="E232" s="13" t="s">
        <v>222</v>
      </c>
      <c r="F232" s="2">
        <v>8328</v>
      </c>
      <c r="G232" s="2">
        <v>0.37</v>
      </c>
      <c r="H232" s="2">
        <f t="shared" si="10"/>
        <v>3081.36</v>
      </c>
      <c r="I232" s="13" t="s">
        <v>432</v>
      </c>
    </row>
    <row r="233" customHeight="1" spans="1:11">
      <c r="A233" s="19">
        <v>45945</v>
      </c>
      <c r="B233" s="13" t="s">
        <v>225</v>
      </c>
      <c r="C233" s="89" t="s">
        <v>2507</v>
      </c>
      <c r="D233" s="13" t="s">
        <v>76</v>
      </c>
      <c r="E233" s="13" t="s">
        <v>1621</v>
      </c>
      <c r="F233" s="2">
        <v>877</v>
      </c>
      <c r="G233" s="2">
        <v>0.45</v>
      </c>
      <c r="H233" s="2">
        <f t="shared" si="10"/>
        <v>394.65</v>
      </c>
      <c r="I233" s="13" t="s">
        <v>356</v>
      </c>
    </row>
    <row r="234" customHeight="1" spans="1:11">
      <c r="A234" s="19">
        <v>45945</v>
      </c>
      <c r="B234" s="13" t="s">
        <v>225</v>
      </c>
      <c r="C234" s="89" t="s">
        <v>2507</v>
      </c>
      <c r="D234" s="13" t="s">
        <v>122</v>
      </c>
      <c r="E234" s="13" t="s">
        <v>222</v>
      </c>
      <c r="F234" s="2">
        <v>30808</v>
      </c>
      <c r="G234" s="2">
        <v>0.45</v>
      </c>
      <c r="H234" s="2">
        <f t="shared" si="10"/>
        <v>13863.6</v>
      </c>
      <c r="I234" s="13" t="s">
        <v>117</v>
      </c>
    </row>
    <row r="235" customHeight="1" spans="1:11">
      <c r="A235" s="19">
        <v>45949</v>
      </c>
      <c r="B235" s="13" t="s">
        <v>225</v>
      </c>
      <c r="C235" s="89" t="s">
        <v>2508</v>
      </c>
      <c r="D235" s="13" t="s">
        <v>130</v>
      </c>
      <c r="E235" s="13" t="s">
        <v>222</v>
      </c>
      <c r="F235" s="2">
        <v>17307</v>
      </c>
      <c r="G235" s="2">
        <v>0.37</v>
      </c>
      <c r="H235" s="2">
        <f t="shared" si="10"/>
        <v>6403.59</v>
      </c>
      <c r="I235" s="13" t="s">
        <v>1465</v>
      </c>
    </row>
    <row r="236" customHeight="1" spans="1:11">
      <c r="A236" s="19">
        <v>45951</v>
      </c>
      <c r="B236" s="13" t="s">
        <v>225</v>
      </c>
      <c r="C236" s="89" t="s">
        <v>2509</v>
      </c>
      <c r="D236" s="13" t="s">
        <v>122</v>
      </c>
      <c r="E236" s="13" t="s">
        <v>222</v>
      </c>
      <c r="F236" s="2">
        <v>10567</v>
      </c>
      <c r="G236" s="2">
        <v>0.45</v>
      </c>
      <c r="H236" s="2">
        <f t="shared" si="10"/>
        <v>4755.15</v>
      </c>
      <c r="I236" s="13" t="s">
        <v>1453</v>
      </c>
    </row>
    <row r="237" customHeight="1" spans="1:11">
      <c r="A237" s="19">
        <v>45951</v>
      </c>
      <c r="B237" s="13" t="s">
        <v>225</v>
      </c>
      <c r="C237" s="89" t="s">
        <v>2509</v>
      </c>
      <c r="D237" s="13" t="s">
        <v>130</v>
      </c>
      <c r="E237" s="13" t="s">
        <v>222</v>
      </c>
      <c r="F237" s="2">
        <v>42640</v>
      </c>
      <c r="G237" s="2">
        <v>0.37</v>
      </c>
      <c r="H237" s="2">
        <f t="shared" si="10"/>
        <v>15776.8</v>
      </c>
      <c r="I237" s="13" t="s">
        <v>149</v>
      </c>
    </row>
    <row r="238" customHeight="1" spans="1:11">
      <c r="A238" s="19">
        <v>45951</v>
      </c>
      <c r="B238" s="13" t="s">
        <v>225</v>
      </c>
      <c r="C238" s="89" t="s">
        <v>2509</v>
      </c>
      <c r="D238" s="13" t="s">
        <v>130</v>
      </c>
      <c r="E238" s="13" t="s">
        <v>2399</v>
      </c>
      <c r="F238" s="2">
        <v>10</v>
      </c>
      <c r="G238" s="2">
        <v>0</v>
      </c>
      <c r="H238" s="2">
        <f t="shared" si="10"/>
        <v>0</v>
      </c>
      <c r="I238" s="13" t="s">
        <v>32</v>
      </c>
    </row>
    <row r="239" customHeight="1" spans="1:11">
      <c r="A239" s="19">
        <v>45941</v>
      </c>
      <c r="B239" s="13" t="s">
        <v>2373</v>
      </c>
      <c r="D239" s="13" t="s">
        <v>1803</v>
      </c>
      <c r="E239" s="13" t="s">
        <v>2510</v>
      </c>
      <c r="F239" s="2">
        <v>38000</v>
      </c>
      <c r="G239" s="2">
        <v>0.023</v>
      </c>
      <c r="H239" s="2">
        <f t="shared" si="10"/>
        <v>874</v>
      </c>
      <c r="I239" s="13" t="s">
        <v>271</v>
      </c>
      <c r="J239" s="13" t="s">
        <v>46</v>
      </c>
    </row>
    <row r="240" customHeight="1" spans="1:11">
      <c r="A240" s="19">
        <v>45954</v>
      </c>
      <c r="B240" s="13" t="s">
        <v>2373</v>
      </c>
      <c r="D240" s="13" t="s">
        <v>1803</v>
      </c>
      <c r="E240" s="13" t="s">
        <v>2510</v>
      </c>
      <c r="F240" s="2">
        <v>60800</v>
      </c>
      <c r="G240" s="2">
        <v>0.023</v>
      </c>
      <c r="H240" s="2">
        <f t="shared" si="10"/>
        <v>1398.4</v>
      </c>
      <c r="I240" s="13" t="s">
        <v>271</v>
      </c>
      <c r="J240" s="13" t="s">
        <v>46</v>
      </c>
    </row>
    <row r="241" customHeight="1" spans="1:11">
      <c r="A241" s="19">
        <v>45947</v>
      </c>
      <c r="B241" s="13" t="s">
        <v>2511</v>
      </c>
      <c r="C241" s="13" t="s">
        <v>2512</v>
      </c>
      <c r="D241" s="13" t="s">
        <v>2031</v>
      </c>
      <c r="E241" s="13" t="s">
        <v>14</v>
      </c>
      <c r="F241" s="13">
        <v>1225</v>
      </c>
      <c r="G241" s="13">
        <v>1.36</v>
      </c>
      <c r="H241" s="13">
        <f t="shared" si="10"/>
        <v>1666</v>
      </c>
      <c r="I241" s="13" t="s">
        <v>298</v>
      </c>
      <c r="J241" s="13" t="s">
        <v>2209</v>
      </c>
      <c r="K241" s="13" t="s">
        <v>1135</v>
      </c>
    </row>
    <row r="242" customHeight="1" spans="1:11">
      <c r="A242" s="19">
        <v>45950</v>
      </c>
      <c r="B242" s="13" t="s">
        <v>2513</v>
      </c>
      <c r="C242" s="13" t="s">
        <v>2514</v>
      </c>
      <c r="D242" s="13" t="s">
        <v>598</v>
      </c>
      <c r="E242" s="13" t="s">
        <v>14</v>
      </c>
      <c r="F242" s="2">
        <v>100</v>
      </c>
      <c r="G242" s="2">
        <v>1.3</v>
      </c>
      <c r="H242" s="2">
        <f t="shared" si="10"/>
        <v>130</v>
      </c>
      <c r="I242" s="2" t="s">
        <v>32</v>
      </c>
    </row>
    <row r="243" customHeight="1" spans="1:11">
      <c r="A243" s="19">
        <v>45951</v>
      </c>
      <c r="B243" s="13" t="s">
        <v>2513</v>
      </c>
      <c r="C243" s="13" t="s">
        <v>2515</v>
      </c>
      <c r="D243" s="13" t="s">
        <v>598</v>
      </c>
      <c r="E243" s="13" t="s">
        <v>14</v>
      </c>
      <c r="F243" s="2">
        <v>2105</v>
      </c>
      <c r="G243" s="2">
        <v>1.3</v>
      </c>
      <c r="H243" s="2">
        <f t="shared" si="10"/>
        <v>2736.5</v>
      </c>
      <c r="I243" s="2" t="s">
        <v>271</v>
      </c>
      <c r="J243" s="13" t="s">
        <v>46</v>
      </c>
    </row>
    <row r="244" customHeight="1" spans="1:11">
      <c r="A244" s="19">
        <v>45950</v>
      </c>
      <c r="B244" s="13" t="s">
        <v>448</v>
      </c>
      <c r="C244" s="13">
        <v>202500024</v>
      </c>
      <c r="D244" s="13" t="s">
        <v>195</v>
      </c>
      <c r="E244" s="13" t="s">
        <v>1273</v>
      </c>
      <c r="F244" s="2">
        <v>22270</v>
      </c>
      <c r="G244" s="2">
        <v>0.8</v>
      </c>
      <c r="H244" s="2">
        <f t="shared" si="10"/>
        <v>17816</v>
      </c>
      <c r="I244" s="13" t="s">
        <v>2516</v>
      </c>
    </row>
    <row r="245" customHeight="1" spans="1:11">
      <c r="A245" s="19">
        <v>45936</v>
      </c>
      <c r="B245" s="13" t="s">
        <v>272</v>
      </c>
      <c r="D245" s="13" t="s">
        <v>252</v>
      </c>
      <c r="E245" s="13" t="s">
        <v>14</v>
      </c>
      <c r="F245" s="13">
        <v>100000</v>
      </c>
      <c r="G245" s="13">
        <v>0.45</v>
      </c>
      <c r="H245" s="13">
        <f t="shared" si="10"/>
        <v>45000</v>
      </c>
      <c r="I245" s="13" t="s">
        <v>857</v>
      </c>
      <c r="J245" s="13" t="s">
        <v>46</v>
      </c>
      <c r="K245" s="13" t="s">
        <v>1135</v>
      </c>
    </row>
    <row r="246" customHeight="1" spans="1:11">
      <c r="A246" s="19">
        <v>45946</v>
      </c>
      <c r="B246" s="13" t="s">
        <v>272</v>
      </c>
      <c r="D246" s="13" t="s">
        <v>252</v>
      </c>
      <c r="E246" s="13" t="s">
        <v>14</v>
      </c>
      <c r="F246" s="13">
        <v>20000</v>
      </c>
      <c r="G246" s="13">
        <v>0.45</v>
      </c>
      <c r="H246" s="13">
        <f t="shared" si="10"/>
        <v>9000</v>
      </c>
      <c r="I246" s="13" t="s">
        <v>2517</v>
      </c>
      <c r="J246" s="13" t="s">
        <v>46</v>
      </c>
      <c r="K246" s="13" t="s">
        <v>1135</v>
      </c>
    </row>
    <row r="247" customHeight="1" spans="1:11">
      <c r="A247" s="19">
        <v>45945</v>
      </c>
      <c r="B247" s="13" t="s">
        <v>439</v>
      </c>
      <c r="C247" s="13" t="s">
        <v>2518</v>
      </c>
      <c r="D247" s="13" t="s">
        <v>441</v>
      </c>
      <c r="E247" s="13" t="s">
        <v>158</v>
      </c>
      <c r="F247" s="13">
        <v>50000</v>
      </c>
      <c r="G247" s="13">
        <v>0.11</v>
      </c>
      <c r="H247" s="13">
        <f t="shared" si="10"/>
        <v>5500</v>
      </c>
      <c r="I247" s="13" t="s">
        <v>2519</v>
      </c>
      <c r="J247" s="13" t="s">
        <v>46</v>
      </c>
      <c r="K247" s="13" t="s">
        <v>1135</v>
      </c>
    </row>
    <row r="248" customHeight="1" spans="1:11">
      <c r="A248" s="19">
        <v>45945</v>
      </c>
      <c r="B248" s="13" t="s">
        <v>439</v>
      </c>
      <c r="C248" s="13" t="s">
        <v>2518</v>
      </c>
      <c r="D248" s="13" t="s">
        <v>2520</v>
      </c>
      <c r="E248" s="13" t="s">
        <v>158</v>
      </c>
      <c r="F248" s="13">
        <v>100000</v>
      </c>
      <c r="G248" s="13">
        <v>0.11</v>
      </c>
      <c r="H248" s="13">
        <f t="shared" si="10"/>
        <v>11000</v>
      </c>
      <c r="I248" s="13" t="s">
        <v>61</v>
      </c>
      <c r="J248" s="13" t="s">
        <v>46</v>
      </c>
      <c r="K248" s="13" t="s">
        <v>1135</v>
      </c>
    </row>
    <row r="249" customHeight="1" spans="1:11">
      <c r="A249" s="19">
        <v>45952</v>
      </c>
      <c r="B249" s="13" t="s">
        <v>439</v>
      </c>
      <c r="C249" s="13" t="s">
        <v>2521</v>
      </c>
      <c r="D249" s="13" t="s">
        <v>441</v>
      </c>
      <c r="E249" s="13" t="s">
        <v>158</v>
      </c>
      <c r="F249" s="13">
        <v>100000</v>
      </c>
      <c r="G249" s="13">
        <v>0.125</v>
      </c>
      <c r="H249" s="13">
        <f t="shared" si="10"/>
        <v>12500</v>
      </c>
      <c r="I249" s="13" t="s">
        <v>2522</v>
      </c>
      <c r="J249" s="13" t="s">
        <v>46</v>
      </c>
    </row>
    <row r="250" customHeight="1" spans="1:11">
      <c r="A250" s="19">
        <v>45957</v>
      </c>
      <c r="B250" s="13" t="s">
        <v>74</v>
      </c>
      <c r="C250" s="13" t="s">
        <v>2523</v>
      </c>
      <c r="D250" s="13" t="s">
        <v>59</v>
      </c>
      <c r="E250" s="13" t="s">
        <v>222</v>
      </c>
      <c r="F250" s="2">
        <v>7587</v>
      </c>
      <c r="G250" s="2">
        <v>0.58</v>
      </c>
      <c r="H250" s="2">
        <f t="shared" si="10"/>
        <v>4400.46</v>
      </c>
      <c r="I250" s="13" t="s">
        <v>78</v>
      </c>
    </row>
    <row r="257" ht="32" customHeight="1"/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7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20.375" defaultRowHeight="27" customHeight="1"/>
  <cols>
    <col min="1" max="1" width="13.25" style="1" customWidth="1"/>
    <col min="2" max="2" width="20.375" style="1" customWidth="1"/>
    <col min="3" max="3" width="27.625" style="1" customWidth="1"/>
    <col min="4" max="4" width="25.875" style="1" customWidth="1"/>
    <col min="5" max="16384" width="20.375" style="1" customWidth="1"/>
  </cols>
  <sheetData>
    <row r="1" s="1" customFormat="1" ht="40" customHeight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</row>
    <row r="2" s="1" customFormat="1" customHeight="1" spans="1:11">
      <c r="A2" s="7">
        <v>45956</v>
      </c>
      <c r="B2" s="1" t="s">
        <v>113</v>
      </c>
      <c r="C2" s="1" t="s">
        <v>2524</v>
      </c>
      <c r="D2" s="1" t="s">
        <v>59</v>
      </c>
      <c r="E2" s="1" t="s">
        <v>222</v>
      </c>
      <c r="F2" s="1">
        <v>2505</v>
      </c>
      <c r="G2" s="1">
        <v>0.43</v>
      </c>
      <c r="H2" s="1">
        <f t="shared" ref="H2:H10" si="0">F2*G2</f>
        <v>1077.15</v>
      </c>
      <c r="I2" s="1" t="s">
        <v>149</v>
      </c>
    </row>
    <row r="3" s="1" customFormat="1" customHeight="1" spans="1:11">
      <c r="A3" s="7">
        <v>45957</v>
      </c>
      <c r="B3" s="1" t="s">
        <v>113</v>
      </c>
      <c r="C3" s="1" t="s">
        <v>2525</v>
      </c>
      <c r="D3" s="1" t="s">
        <v>59</v>
      </c>
      <c r="E3" s="1" t="s">
        <v>1273</v>
      </c>
      <c r="F3" s="1">
        <v>5110</v>
      </c>
      <c r="G3" s="1">
        <v>0.45</v>
      </c>
      <c r="H3" s="1">
        <f t="shared" si="0"/>
        <v>2299.5</v>
      </c>
      <c r="I3" s="1" t="s">
        <v>133</v>
      </c>
    </row>
    <row r="4" s="1" customFormat="1" customHeight="1" spans="1:11">
      <c r="A4" s="7">
        <v>45957</v>
      </c>
      <c r="B4" s="1" t="s">
        <v>113</v>
      </c>
      <c r="C4" s="1" t="s">
        <v>2525</v>
      </c>
      <c r="D4" s="1" t="s">
        <v>128</v>
      </c>
      <c r="E4" s="1" t="s">
        <v>2399</v>
      </c>
      <c r="F4" s="1">
        <v>20</v>
      </c>
      <c r="G4" s="1">
        <v>0</v>
      </c>
      <c r="H4" s="1">
        <f t="shared" si="0"/>
        <v>0</v>
      </c>
      <c r="I4" s="1" t="s">
        <v>32</v>
      </c>
    </row>
    <row r="5" s="1" customFormat="1" customHeight="1" spans="1:11">
      <c r="A5" s="7">
        <v>45958</v>
      </c>
      <c r="B5" s="1" t="s">
        <v>113</v>
      </c>
      <c r="C5" s="1" t="s">
        <v>2526</v>
      </c>
      <c r="D5" s="1" t="s">
        <v>59</v>
      </c>
      <c r="E5" s="1" t="s">
        <v>2527</v>
      </c>
      <c r="F5" s="1">
        <v>100</v>
      </c>
      <c r="G5" s="1">
        <v>0.7</v>
      </c>
      <c r="H5" s="1">
        <f t="shared" si="0"/>
        <v>70</v>
      </c>
      <c r="I5" s="1" t="s">
        <v>79</v>
      </c>
    </row>
    <row r="6" s="1" customFormat="1" customHeight="1" spans="1:11">
      <c r="A6" s="7">
        <v>45958</v>
      </c>
      <c r="B6" s="1" t="s">
        <v>113</v>
      </c>
      <c r="C6" s="1" t="s">
        <v>2526</v>
      </c>
      <c r="D6" s="1" t="s">
        <v>76</v>
      </c>
      <c r="E6" s="1" t="s">
        <v>1621</v>
      </c>
      <c r="F6" s="1">
        <v>10100</v>
      </c>
      <c r="G6" s="1">
        <v>0.45</v>
      </c>
      <c r="H6" s="1">
        <f t="shared" si="0"/>
        <v>4545</v>
      </c>
      <c r="I6" s="1" t="s">
        <v>126</v>
      </c>
    </row>
    <row r="7" s="1" customFormat="1" customHeight="1" spans="1:11">
      <c r="A7" s="7">
        <v>45958</v>
      </c>
      <c r="B7" s="1" t="s">
        <v>113</v>
      </c>
      <c r="C7" s="1" t="s">
        <v>2526</v>
      </c>
      <c r="D7" s="1" t="s">
        <v>59</v>
      </c>
      <c r="E7" s="1" t="s">
        <v>222</v>
      </c>
      <c r="F7" s="1">
        <v>4000</v>
      </c>
      <c r="G7" s="1">
        <v>0.43</v>
      </c>
      <c r="H7" s="1">
        <f t="shared" si="0"/>
        <v>1720</v>
      </c>
      <c r="I7" s="1" t="s">
        <v>1206</v>
      </c>
    </row>
    <row r="8" s="1" customFormat="1" customHeight="1" spans="1:11">
      <c r="A8" s="7">
        <v>45958</v>
      </c>
      <c r="B8" s="1" t="s">
        <v>113</v>
      </c>
      <c r="C8" s="1" t="s">
        <v>2526</v>
      </c>
      <c r="D8" s="1" t="s">
        <v>76</v>
      </c>
      <c r="E8" s="1" t="s">
        <v>1621</v>
      </c>
      <c r="F8" s="1">
        <v>6040</v>
      </c>
      <c r="G8" s="1">
        <v>0.45</v>
      </c>
      <c r="H8" s="1">
        <f t="shared" si="0"/>
        <v>2718</v>
      </c>
      <c r="I8" s="1" t="s">
        <v>126</v>
      </c>
    </row>
    <row r="9" s="1" customFormat="1" customHeight="1" spans="1:11">
      <c r="A9" s="7">
        <v>45958</v>
      </c>
      <c r="B9" s="1" t="s">
        <v>113</v>
      </c>
      <c r="C9" s="1" t="s">
        <v>2526</v>
      </c>
      <c r="D9" s="1" t="s">
        <v>59</v>
      </c>
      <c r="E9" s="1" t="s">
        <v>1273</v>
      </c>
      <c r="F9" s="1">
        <v>2110</v>
      </c>
      <c r="G9" s="1">
        <v>0.45</v>
      </c>
      <c r="H9" s="1">
        <f t="shared" si="0"/>
        <v>949.5</v>
      </c>
      <c r="I9" s="1" t="s">
        <v>133</v>
      </c>
    </row>
    <row r="10" s="1" customFormat="1" customHeight="1" spans="1:11">
      <c r="A10" s="7">
        <v>45958</v>
      </c>
      <c r="B10" s="1" t="s">
        <v>113</v>
      </c>
      <c r="C10" s="1" t="s">
        <v>2526</v>
      </c>
      <c r="D10" s="1" t="s">
        <v>148</v>
      </c>
      <c r="E10" s="1" t="s">
        <v>1273</v>
      </c>
      <c r="F10" s="1">
        <v>7070</v>
      </c>
      <c r="G10" s="1">
        <v>0.47</v>
      </c>
      <c r="H10" s="1">
        <f t="shared" si="0"/>
        <v>3322.9</v>
      </c>
      <c r="I10" s="1" t="s">
        <v>65</v>
      </c>
    </row>
    <row r="11" s="1" customFormat="1" customHeight="1" spans="1:11">
      <c r="A11" s="7">
        <v>45959</v>
      </c>
      <c r="B11" s="1" t="s">
        <v>113</v>
      </c>
      <c r="C11" s="1" t="s">
        <v>2528</v>
      </c>
      <c r="D11" s="1" t="s">
        <v>130</v>
      </c>
      <c r="E11" s="1" t="s">
        <v>1621</v>
      </c>
      <c r="F11" s="1">
        <v>15000</v>
      </c>
      <c r="G11" s="1">
        <v>0.45</v>
      </c>
      <c r="H11" s="1">
        <f t="shared" ref="H11:H24" si="1">F11*G11</f>
        <v>6750</v>
      </c>
      <c r="I11" s="1" t="s">
        <v>433</v>
      </c>
    </row>
    <row r="12" s="1" customFormat="1" customHeight="1" spans="1:11">
      <c r="A12" s="7">
        <v>45959</v>
      </c>
      <c r="B12" s="1" t="s">
        <v>113</v>
      </c>
      <c r="C12" s="1" t="s">
        <v>2528</v>
      </c>
      <c r="D12" s="1" t="s">
        <v>70</v>
      </c>
      <c r="E12" s="1" t="s">
        <v>222</v>
      </c>
      <c r="F12" s="1">
        <v>20000</v>
      </c>
      <c r="G12" s="1">
        <v>0.57</v>
      </c>
      <c r="H12" s="1">
        <f t="shared" si="1"/>
        <v>11400</v>
      </c>
      <c r="I12" s="1" t="s">
        <v>45</v>
      </c>
    </row>
    <row r="13" s="1" customFormat="1" customHeight="1" spans="1:11">
      <c r="A13" s="7">
        <v>45959</v>
      </c>
      <c r="B13" s="1" t="s">
        <v>113</v>
      </c>
      <c r="C13" s="1" t="s">
        <v>2528</v>
      </c>
      <c r="D13" s="1" t="s">
        <v>1962</v>
      </c>
      <c r="E13" s="1" t="s">
        <v>222</v>
      </c>
      <c r="F13" s="1">
        <v>2055</v>
      </c>
      <c r="G13" s="1">
        <v>0.55</v>
      </c>
      <c r="H13" s="1">
        <f t="shared" si="1"/>
        <v>1130.25</v>
      </c>
      <c r="I13" s="1" t="s">
        <v>126</v>
      </c>
    </row>
    <row r="14" s="1" customFormat="1" customHeight="1" spans="1:11">
      <c r="A14" s="7">
        <v>45959</v>
      </c>
      <c r="B14" s="1" t="s">
        <v>113</v>
      </c>
      <c r="C14" s="1" t="s">
        <v>2528</v>
      </c>
      <c r="D14" s="1" t="s">
        <v>76</v>
      </c>
      <c r="E14" s="1" t="s">
        <v>1621</v>
      </c>
      <c r="F14" s="1">
        <v>4070</v>
      </c>
      <c r="G14" s="1">
        <v>0.45</v>
      </c>
      <c r="H14" s="1">
        <f t="shared" si="1"/>
        <v>1831.5</v>
      </c>
      <c r="I14" s="1" t="s">
        <v>126</v>
      </c>
    </row>
    <row r="15" s="1" customFormat="1" customHeight="1" spans="1:11">
      <c r="A15" s="7">
        <v>45959</v>
      </c>
      <c r="B15" s="1" t="s">
        <v>113</v>
      </c>
      <c r="C15" s="1" t="s">
        <v>2528</v>
      </c>
      <c r="D15" s="1" t="s">
        <v>76</v>
      </c>
      <c r="E15" s="1" t="s">
        <v>1621</v>
      </c>
      <c r="F15" s="1">
        <v>24150</v>
      </c>
      <c r="G15" s="1">
        <v>0.45</v>
      </c>
      <c r="H15" s="1">
        <f t="shared" si="1"/>
        <v>10867.5</v>
      </c>
      <c r="I15" s="1" t="s">
        <v>126</v>
      </c>
    </row>
    <row r="16" s="1" customFormat="1" customHeight="1" spans="1:11">
      <c r="A16" s="7">
        <v>45959</v>
      </c>
      <c r="B16" s="1" t="s">
        <v>113</v>
      </c>
      <c r="C16" s="1" t="s">
        <v>2528</v>
      </c>
      <c r="D16" s="1" t="s">
        <v>76</v>
      </c>
      <c r="E16" s="1" t="s">
        <v>222</v>
      </c>
      <c r="F16" s="1">
        <v>12100</v>
      </c>
      <c r="G16" s="1">
        <v>0.43</v>
      </c>
      <c r="H16" s="1">
        <f t="shared" si="1"/>
        <v>5203</v>
      </c>
      <c r="I16" s="1" t="s">
        <v>126</v>
      </c>
    </row>
    <row r="17" s="1" customFormat="1" customHeight="1" spans="1:9">
      <c r="A17" s="7">
        <v>45959</v>
      </c>
      <c r="B17" s="1" t="s">
        <v>113</v>
      </c>
      <c r="C17" s="1" t="s">
        <v>2528</v>
      </c>
      <c r="D17" s="1" t="s">
        <v>59</v>
      </c>
      <c r="E17" s="1" t="s">
        <v>1273</v>
      </c>
      <c r="F17" s="1">
        <v>3050</v>
      </c>
      <c r="G17" s="1">
        <v>0.45</v>
      </c>
      <c r="H17" s="1">
        <f t="shared" si="1"/>
        <v>1372.5</v>
      </c>
      <c r="I17" s="1" t="s">
        <v>133</v>
      </c>
    </row>
    <row r="18" s="1" customFormat="1" customHeight="1" spans="1:9">
      <c r="A18" s="7">
        <v>45960</v>
      </c>
      <c r="B18" s="1" t="s">
        <v>113</v>
      </c>
      <c r="C18" s="1" t="s">
        <v>2529</v>
      </c>
      <c r="D18" s="1" t="s">
        <v>70</v>
      </c>
      <c r="E18" s="1" t="s">
        <v>361</v>
      </c>
      <c r="F18" s="1">
        <v>20610</v>
      </c>
      <c r="G18" s="1">
        <v>0.77</v>
      </c>
      <c r="H18" s="1">
        <f t="shared" ref="H18:H26" si="2">F18*G18</f>
        <v>15869.7</v>
      </c>
      <c r="I18" s="1" t="s">
        <v>213</v>
      </c>
    </row>
    <row r="19" s="1" customFormat="1" customHeight="1" spans="1:9">
      <c r="A19" s="7">
        <v>45960</v>
      </c>
      <c r="B19" s="1" t="s">
        <v>113</v>
      </c>
      <c r="C19" s="1" t="s">
        <v>2529</v>
      </c>
      <c r="D19" s="1" t="s">
        <v>130</v>
      </c>
      <c r="E19" s="1" t="s">
        <v>1621</v>
      </c>
      <c r="F19" s="1">
        <v>9010</v>
      </c>
      <c r="G19" s="1">
        <v>0.45</v>
      </c>
      <c r="H19" s="1">
        <f t="shared" si="2"/>
        <v>4054.5</v>
      </c>
      <c r="I19" s="1" t="s">
        <v>117</v>
      </c>
    </row>
    <row r="20" s="1" customFormat="1" customHeight="1" spans="1:9">
      <c r="A20" s="7">
        <v>45960</v>
      </c>
      <c r="B20" s="1" t="s">
        <v>113</v>
      </c>
      <c r="C20" s="1" t="s">
        <v>2529</v>
      </c>
      <c r="D20" s="1" t="s">
        <v>59</v>
      </c>
      <c r="E20" s="1" t="s">
        <v>1273</v>
      </c>
      <c r="F20" s="1">
        <v>5630</v>
      </c>
      <c r="G20" s="1">
        <v>0.45</v>
      </c>
      <c r="H20" s="1">
        <f t="shared" si="2"/>
        <v>2533.5</v>
      </c>
      <c r="I20" s="1" t="s">
        <v>133</v>
      </c>
    </row>
    <row r="21" s="1" customFormat="1" customHeight="1" spans="1:9">
      <c r="A21" s="7">
        <v>45960</v>
      </c>
      <c r="B21" s="1" t="s">
        <v>113</v>
      </c>
      <c r="C21" s="1" t="s">
        <v>2529</v>
      </c>
      <c r="D21" s="1" t="s">
        <v>59</v>
      </c>
      <c r="E21" s="1" t="s">
        <v>1621</v>
      </c>
      <c r="F21" s="1">
        <v>1880</v>
      </c>
      <c r="G21" s="1">
        <v>0.45</v>
      </c>
      <c r="H21" s="1">
        <f t="shared" si="2"/>
        <v>846</v>
      </c>
      <c r="I21" s="1" t="s">
        <v>35</v>
      </c>
    </row>
    <row r="22" s="1" customFormat="1" customHeight="1" spans="1:9">
      <c r="A22" s="7">
        <v>45960</v>
      </c>
      <c r="B22" s="1" t="s">
        <v>113</v>
      </c>
      <c r="C22" s="1" t="s">
        <v>2529</v>
      </c>
      <c r="D22" s="1" t="s">
        <v>115</v>
      </c>
      <c r="E22" s="1" t="s">
        <v>222</v>
      </c>
      <c r="F22" s="1">
        <v>6050</v>
      </c>
      <c r="G22" s="1">
        <v>0.43</v>
      </c>
      <c r="H22" s="1">
        <f t="shared" si="2"/>
        <v>2601.5</v>
      </c>
      <c r="I22" s="1" t="s">
        <v>432</v>
      </c>
    </row>
    <row r="23" s="1" customFormat="1" customHeight="1" spans="1:9">
      <c r="A23" s="7">
        <v>45960</v>
      </c>
      <c r="B23" s="1" t="s">
        <v>113</v>
      </c>
      <c r="C23" s="1" t="s">
        <v>2529</v>
      </c>
      <c r="D23" s="1" t="s">
        <v>70</v>
      </c>
      <c r="E23" s="1" t="s">
        <v>222</v>
      </c>
      <c r="F23" s="1">
        <v>24020</v>
      </c>
      <c r="G23" s="1">
        <v>0.57</v>
      </c>
      <c r="H23" s="1">
        <f t="shared" si="2"/>
        <v>13691.4</v>
      </c>
      <c r="I23" s="1" t="s">
        <v>45</v>
      </c>
    </row>
    <row r="24" s="1" customFormat="1" customHeight="1" spans="1:9">
      <c r="A24" s="7">
        <v>45960</v>
      </c>
      <c r="B24" s="1" t="s">
        <v>113</v>
      </c>
      <c r="C24" s="1" t="s">
        <v>2530</v>
      </c>
      <c r="D24" s="1" t="s">
        <v>128</v>
      </c>
      <c r="E24" s="1" t="s">
        <v>2399</v>
      </c>
      <c r="F24" s="1">
        <v>200</v>
      </c>
      <c r="G24" s="1">
        <v>0.47</v>
      </c>
      <c r="H24" s="1">
        <f t="shared" si="2"/>
        <v>94</v>
      </c>
      <c r="I24" s="1" t="s">
        <v>2531</v>
      </c>
    </row>
    <row r="25" customHeight="1" spans="1:9">
      <c r="A25" s="7">
        <v>45960</v>
      </c>
      <c r="B25" s="1" t="s">
        <v>113</v>
      </c>
      <c r="C25" s="1" t="s">
        <v>2532</v>
      </c>
      <c r="D25" s="1" t="s">
        <v>128</v>
      </c>
      <c r="E25" s="1" t="s">
        <v>1273</v>
      </c>
      <c r="F25" s="1">
        <v>20</v>
      </c>
      <c r="G25" s="1">
        <v>0</v>
      </c>
      <c r="H25" s="1">
        <f t="shared" si="2"/>
        <v>0</v>
      </c>
      <c r="I25" s="1" t="s">
        <v>32</v>
      </c>
    </row>
    <row r="26" customHeight="1" spans="1:9">
      <c r="A26" s="7">
        <v>45961</v>
      </c>
      <c r="B26" s="1" t="s">
        <v>113</v>
      </c>
      <c r="C26" s="1" t="s">
        <v>2533</v>
      </c>
      <c r="D26" s="1" t="s">
        <v>76</v>
      </c>
      <c r="E26" s="1" t="s">
        <v>222</v>
      </c>
      <c r="F26" s="1">
        <v>20</v>
      </c>
      <c r="G26" s="1">
        <v>0</v>
      </c>
      <c r="H26" s="1">
        <f t="shared" si="2"/>
        <v>0</v>
      </c>
      <c r="I26" s="1" t="s">
        <v>32</v>
      </c>
    </row>
    <row r="27" customHeight="1" spans="1:9">
      <c r="A27" s="7">
        <v>45962</v>
      </c>
      <c r="B27" s="1" t="s">
        <v>113</v>
      </c>
      <c r="C27" s="1" t="s">
        <v>2534</v>
      </c>
      <c r="D27" s="1" t="s">
        <v>128</v>
      </c>
      <c r="E27" s="1" t="s">
        <v>2399</v>
      </c>
      <c r="F27" s="1">
        <v>5000</v>
      </c>
      <c r="G27" s="1">
        <v>0.47</v>
      </c>
      <c r="H27" s="1">
        <f t="shared" ref="H27:H68" si="3">F27*G27</f>
        <v>2350</v>
      </c>
      <c r="I27" s="1" t="s">
        <v>2531</v>
      </c>
    </row>
    <row r="28" customHeight="1" spans="1:9">
      <c r="A28" s="7">
        <v>45962</v>
      </c>
      <c r="B28" s="1" t="s">
        <v>113</v>
      </c>
      <c r="C28" s="1" t="s">
        <v>2534</v>
      </c>
      <c r="D28" s="1" t="s">
        <v>130</v>
      </c>
      <c r="E28" s="1" t="s">
        <v>1621</v>
      </c>
      <c r="F28" s="1">
        <v>8050</v>
      </c>
      <c r="G28" s="1">
        <v>0.45</v>
      </c>
      <c r="H28" s="1">
        <f t="shared" si="3"/>
        <v>3622.5</v>
      </c>
      <c r="I28" s="1" t="s">
        <v>433</v>
      </c>
    </row>
    <row r="29" customHeight="1" spans="1:9">
      <c r="A29" s="7">
        <v>45962</v>
      </c>
      <c r="B29" s="1" t="s">
        <v>113</v>
      </c>
      <c r="C29" s="1" t="s">
        <v>2534</v>
      </c>
      <c r="D29" s="1" t="s">
        <v>76</v>
      </c>
      <c r="E29" s="1" t="s">
        <v>1621</v>
      </c>
      <c r="F29" s="1">
        <v>8050</v>
      </c>
      <c r="G29" s="1">
        <v>0.45</v>
      </c>
      <c r="H29" s="1">
        <f t="shared" si="3"/>
        <v>3622.5</v>
      </c>
      <c r="I29" s="1" t="s">
        <v>126</v>
      </c>
    </row>
    <row r="30" customHeight="1" spans="1:9">
      <c r="A30" s="7">
        <v>45962</v>
      </c>
      <c r="B30" s="1" t="s">
        <v>113</v>
      </c>
      <c r="C30" s="1" t="s">
        <v>2534</v>
      </c>
      <c r="D30" s="1" t="s">
        <v>130</v>
      </c>
      <c r="E30" s="1" t="s">
        <v>1621</v>
      </c>
      <c r="F30" s="1">
        <v>30000</v>
      </c>
      <c r="G30" s="1">
        <v>0.45</v>
      </c>
      <c r="H30" s="1">
        <f t="shared" si="3"/>
        <v>13500</v>
      </c>
      <c r="I30" s="1" t="s">
        <v>433</v>
      </c>
    </row>
    <row r="31" customHeight="1" spans="1:9">
      <c r="A31" s="7">
        <v>45962</v>
      </c>
      <c r="B31" s="1" t="s">
        <v>113</v>
      </c>
      <c r="C31" s="1" t="s">
        <v>2534</v>
      </c>
      <c r="D31" s="1" t="s">
        <v>1962</v>
      </c>
      <c r="E31" s="1" t="s">
        <v>1273</v>
      </c>
      <c r="F31" s="1">
        <v>303</v>
      </c>
      <c r="G31" s="1">
        <v>0.6</v>
      </c>
      <c r="H31" s="1">
        <f t="shared" si="3"/>
        <v>181.8</v>
      </c>
      <c r="I31" s="1" t="s">
        <v>982</v>
      </c>
    </row>
    <row r="32" customHeight="1" spans="1:9">
      <c r="A32" s="7">
        <v>45962</v>
      </c>
      <c r="B32" s="1" t="s">
        <v>113</v>
      </c>
      <c r="C32" s="1" t="s">
        <v>2534</v>
      </c>
      <c r="D32" s="1" t="s">
        <v>1962</v>
      </c>
      <c r="E32" s="1" t="s">
        <v>2399</v>
      </c>
      <c r="F32" s="1">
        <v>10</v>
      </c>
      <c r="G32" s="1">
        <v>0</v>
      </c>
      <c r="H32" s="1">
        <f t="shared" si="3"/>
        <v>0</v>
      </c>
      <c r="I32" s="1" t="s">
        <v>32</v>
      </c>
    </row>
    <row r="33" customHeight="1" spans="1:9">
      <c r="A33" s="7">
        <v>45962</v>
      </c>
      <c r="B33" s="1" t="s">
        <v>113</v>
      </c>
      <c r="C33" s="1" t="s">
        <v>2534</v>
      </c>
      <c r="D33" s="1" t="s">
        <v>988</v>
      </c>
      <c r="E33" s="1" t="s">
        <v>222</v>
      </c>
      <c r="F33" s="1">
        <v>0</v>
      </c>
      <c r="G33" s="1">
        <v>0</v>
      </c>
      <c r="H33" s="1">
        <f t="shared" si="3"/>
        <v>0</v>
      </c>
      <c r="I33" s="1" t="s">
        <v>32</v>
      </c>
    </row>
    <row r="34" customHeight="1" spans="1:9">
      <c r="A34" s="7">
        <v>45963</v>
      </c>
      <c r="B34" s="1" t="s">
        <v>113</v>
      </c>
      <c r="C34" s="1" t="s">
        <v>2535</v>
      </c>
      <c r="D34" s="1" t="s">
        <v>130</v>
      </c>
      <c r="E34" s="1" t="s">
        <v>1621</v>
      </c>
      <c r="F34" s="1">
        <v>6070</v>
      </c>
      <c r="G34" s="1">
        <v>0.45</v>
      </c>
      <c r="H34" s="1">
        <f t="shared" si="3"/>
        <v>2731.5</v>
      </c>
      <c r="I34" s="1" t="s">
        <v>117</v>
      </c>
    </row>
    <row r="35" customHeight="1" spans="1:9">
      <c r="A35" s="7">
        <v>45963</v>
      </c>
      <c r="B35" s="1" t="s">
        <v>113</v>
      </c>
      <c r="C35" s="1" t="s">
        <v>2535</v>
      </c>
      <c r="D35" s="1" t="s">
        <v>59</v>
      </c>
      <c r="E35" s="1" t="s">
        <v>1273</v>
      </c>
      <c r="F35" s="1">
        <v>6010</v>
      </c>
      <c r="G35" s="1">
        <v>0.45</v>
      </c>
      <c r="H35" s="1">
        <f t="shared" si="3"/>
        <v>2704.5</v>
      </c>
      <c r="I35" s="1" t="s">
        <v>133</v>
      </c>
    </row>
    <row r="36" customHeight="1" spans="1:9">
      <c r="A36" s="7">
        <v>45964</v>
      </c>
      <c r="B36" s="1" t="s">
        <v>113</v>
      </c>
      <c r="C36" s="1" t="s">
        <v>2536</v>
      </c>
      <c r="D36" s="1" t="s">
        <v>76</v>
      </c>
      <c r="E36" s="1" t="s">
        <v>1621</v>
      </c>
      <c r="F36" s="1">
        <v>20200</v>
      </c>
      <c r="G36" s="1">
        <v>0.45</v>
      </c>
      <c r="H36" s="1">
        <f t="shared" si="3"/>
        <v>9090</v>
      </c>
      <c r="I36" s="1" t="s">
        <v>117</v>
      </c>
    </row>
    <row r="37" customHeight="1" spans="1:9">
      <c r="A37" s="7">
        <v>45964</v>
      </c>
      <c r="B37" s="1" t="s">
        <v>113</v>
      </c>
      <c r="C37" s="1" t="s">
        <v>2536</v>
      </c>
      <c r="D37" s="1" t="s">
        <v>128</v>
      </c>
      <c r="E37" s="1" t="s">
        <v>222</v>
      </c>
      <c r="F37" s="1">
        <v>20060</v>
      </c>
      <c r="G37" s="1">
        <v>0.45</v>
      </c>
      <c r="H37" s="1">
        <f t="shared" si="3"/>
        <v>9027</v>
      </c>
      <c r="I37" s="1" t="s">
        <v>2175</v>
      </c>
    </row>
    <row r="38" customHeight="1" spans="1:9">
      <c r="A38" s="7">
        <v>45964</v>
      </c>
      <c r="B38" s="1" t="s">
        <v>113</v>
      </c>
      <c r="C38" s="1" t="s">
        <v>2536</v>
      </c>
      <c r="D38" s="1" t="s">
        <v>76</v>
      </c>
      <c r="E38" s="1" t="s">
        <v>207</v>
      </c>
      <c r="F38" s="1">
        <v>4070</v>
      </c>
      <c r="G38" s="1">
        <v>0.45</v>
      </c>
      <c r="H38" s="1">
        <f t="shared" si="3"/>
        <v>1831.5</v>
      </c>
      <c r="I38" s="1" t="s">
        <v>126</v>
      </c>
    </row>
    <row r="39" s="1" customFormat="1" customHeight="1" spans="1:9">
      <c r="A39" s="7">
        <v>45965</v>
      </c>
      <c r="B39" s="1" t="s">
        <v>113</v>
      </c>
      <c r="C39" s="1" t="s">
        <v>2537</v>
      </c>
      <c r="D39" s="1" t="s">
        <v>130</v>
      </c>
      <c r="E39" s="1" t="s">
        <v>1273</v>
      </c>
      <c r="F39" s="1">
        <v>6110</v>
      </c>
      <c r="G39" s="1">
        <v>0.4</v>
      </c>
      <c r="H39" s="1">
        <f t="shared" si="3"/>
        <v>2444</v>
      </c>
      <c r="I39" s="1" t="s">
        <v>2175</v>
      </c>
    </row>
    <row r="40" s="1" customFormat="1" customHeight="1" spans="1:9">
      <c r="A40" s="7">
        <v>45965</v>
      </c>
      <c r="B40" s="1" t="s">
        <v>113</v>
      </c>
      <c r="C40" s="1" t="s">
        <v>2537</v>
      </c>
      <c r="D40" s="1" t="s">
        <v>2155</v>
      </c>
      <c r="E40" s="1" t="s">
        <v>1621</v>
      </c>
      <c r="F40" s="1">
        <v>6210</v>
      </c>
      <c r="G40" s="1">
        <v>0.45</v>
      </c>
      <c r="H40" s="1">
        <f t="shared" si="3"/>
        <v>2794.5</v>
      </c>
      <c r="I40" s="1" t="s">
        <v>356</v>
      </c>
    </row>
    <row r="41" s="1" customFormat="1" customHeight="1" spans="1:9">
      <c r="A41" s="7">
        <v>45965</v>
      </c>
      <c r="B41" s="1" t="s">
        <v>113</v>
      </c>
      <c r="C41" s="1" t="s">
        <v>2537</v>
      </c>
      <c r="D41" s="1" t="s">
        <v>128</v>
      </c>
      <c r="E41" s="1" t="s">
        <v>1621</v>
      </c>
      <c r="F41" s="1">
        <v>25000</v>
      </c>
      <c r="G41" s="1">
        <v>0.47</v>
      </c>
      <c r="H41" s="1">
        <f t="shared" si="3"/>
        <v>11750</v>
      </c>
      <c r="I41" s="1" t="s">
        <v>2531</v>
      </c>
    </row>
    <row r="42" s="1" customFormat="1" customHeight="1" spans="1:9">
      <c r="A42" s="7">
        <v>45965</v>
      </c>
      <c r="B42" s="1" t="s">
        <v>113</v>
      </c>
      <c r="C42" s="1" t="s">
        <v>2537</v>
      </c>
      <c r="D42" s="1" t="s">
        <v>627</v>
      </c>
      <c r="E42" s="1" t="s">
        <v>1621</v>
      </c>
      <c r="F42" s="1">
        <v>10</v>
      </c>
      <c r="G42" s="1">
        <v>0</v>
      </c>
      <c r="H42" s="1">
        <f t="shared" si="3"/>
        <v>0</v>
      </c>
      <c r="I42" s="1" t="s">
        <v>32</v>
      </c>
    </row>
    <row r="43" s="1" customFormat="1" customHeight="1" spans="1:9">
      <c r="A43" s="7">
        <v>45966</v>
      </c>
      <c r="B43" s="1" t="s">
        <v>113</v>
      </c>
      <c r="C43" s="1" t="s">
        <v>2538</v>
      </c>
      <c r="D43" s="1" t="s">
        <v>115</v>
      </c>
      <c r="E43" s="1" t="s">
        <v>2527</v>
      </c>
      <c r="F43" s="1">
        <v>10000</v>
      </c>
      <c r="G43" s="1">
        <v>0.7</v>
      </c>
      <c r="H43" s="1">
        <f t="shared" si="3"/>
        <v>7000</v>
      </c>
      <c r="I43" s="1" t="s">
        <v>149</v>
      </c>
    </row>
    <row r="44" s="1" customFormat="1" customHeight="1" spans="1:9">
      <c r="A44" s="7">
        <v>45966</v>
      </c>
      <c r="B44" s="1" t="s">
        <v>113</v>
      </c>
      <c r="C44" s="1" t="s">
        <v>2539</v>
      </c>
      <c r="D44" s="1" t="s">
        <v>115</v>
      </c>
      <c r="E44" s="1" t="s">
        <v>2527</v>
      </c>
      <c r="F44" s="1">
        <v>10000</v>
      </c>
      <c r="G44" s="1">
        <v>0.7</v>
      </c>
      <c r="H44" s="1">
        <f t="shared" si="3"/>
        <v>7000</v>
      </c>
      <c r="I44" s="1" t="s">
        <v>149</v>
      </c>
    </row>
    <row r="45" s="1" customFormat="1" customHeight="1" spans="1:9">
      <c r="A45" s="7">
        <v>45966</v>
      </c>
      <c r="B45" s="1" t="s">
        <v>113</v>
      </c>
      <c r="C45" s="1" t="s">
        <v>2539</v>
      </c>
      <c r="D45" s="1" t="s">
        <v>130</v>
      </c>
      <c r="E45" s="1" t="s">
        <v>222</v>
      </c>
      <c r="F45" s="1">
        <v>6040</v>
      </c>
      <c r="G45" s="1">
        <v>0.38</v>
      </c>
      <c r="H45" s="1">
        <f t="shared" si="3"/>
        <v>2295.2</v>
      </c>
      <c r="I45" s="1" t="s">
        <v>189</v>
      </c>
    </row>
    <row r="46" s="1" customFormat="1" customHeight="1" spans="1:9">
      <c r="A46" s="7">
        <v>45966</v>
      </c>
      <c r="B46" s="1" t="s">
        <v>113</v>
      </c>
      <c r="C46" s="1" t="s">
        <v>2539</v>
      </c>
      <c r="D46" s="1" t="s">
        <v>128</v>
      </c>
      <c r="E46" s="1" t="s">
        <v>1621</v>
      </c>
      <c r="F46" s="1">
        <v>10120</v>
      </c>
      <c r="G46" s="1">
        <v>0.47</v>
      </c>
      <c r="H46" s="1">
        <f t="shared" si="3"/>
        <v>4756.4</v>
      </c>
      <c r="I46" s="1" t="s">
        <v>2531</v>
      </c>
    </row>
    <row r="47" s="1" customFormat="1" customHeight="1" spans="1:9">
      <c r="A47" s="7">
        <v>45966</v>
      </c>
      <c r="B47" s="1" t="s">
        <v>113</v>
      </c>
      <c r="C47" s="1" t="s">
        <v>2539</v>
      </c>
      <c r="D47" s="1" t="s">
        <v>130</v>
      </c>
      <c r="E47" s="1" t="s">
        <v>1621</v>
      </c>
      <c r="F47" s="1">
        <v>20000</v>
      </c>
      <c r="G47" s="1">
        <v>0.45</v>
      </c>
      <c r="H47" s="1">
        <f t="shared" si="3"/>
        <v>9000</v>
      </c>
      <c r="I47" s="1" t="s">
        <v>433</v>
      </c>
    </row>
    <row r="48" s="1" customFormat="1" customHeight="1" spans="1:9">
      <c r="A48" s="7">
        <v>45966</v>
      </c>
      <c r="B48" s="1" t="s">
        <v>113</v>
      </c>
      <c r="C48" s="1" t="s">
        <v>2539</v>
      </c>
      <c r="D48" s="1" t="s">
        <v>59</v>
      </c>
      <c r="E48" s="1" t="s">
        <v>222</v>
      </c>
      <c r="F48" s="1">
        <v>10</v>
      </c>
      <c r="G48" s="1">
        <v>0</v>
      </c>
      <c r="H48" s="1">
        <f t="shared" si="3"/>
        <v>0</v>
      </c>
      <c r="I48" s="1" t="s">
        <v>32</v>
      </c>
    </row>
    <row r="49" s="1" customFormat="1" customHeight="1" spans="1:9">
      <c r="A49" s="7">
        <v>45967</v>
      </c>
      <c r="B49" s="1" t="s">
        <v>113</v>
      </c>
      <c r="C49" s="1" t="s">
        <v>2540</v>
      </c>
      <c r="D49" s="1" t="s">
        <v>130</v>
      </c>
      <c r="E49" s="1" t="s">
        <v>1621</v>
      </c>
      <c r="F49" s="1">
        <v>60000</v>
      </c>
      <c r="G49" s="1">
        <v>0.45</v>
      </c>
      <c r="H49" s="1">
        <f t="shared" si="3"/>
        <v>27000</v>
      </c>
      <c r="I49" s="1" t="s">
        <v>433</v>
      </c>
    </row>
    <row r="50" s="1" customFormat="1" customHeight="1" spans="1:9">
      <c r="A50" s="7">
        <v>45967</v>
      </c>
      <c r="B50" s="1" t="s">
        <v>113</v>
      </c>
      <c r="C50" s="1" t="s">
        <v>2540</v>
      </c>
      <c r="D50" s="1" t="s">
        <v>128</v>
      </c>
      <c r="E50" s="1" t="s">
        <v>222</v>
      </c>
      <c r="F50" s="1">
        <v>20060</v>
      </c>
      <c r="G50" s="1">
        <v>0.45</v>
      </c>
      <c r="H50" s="1">
        <f t="shared" si="3"/>
        <v>9027</v>
      </c>
      <c r="I50" s="1" t="s">
        <v>2175</v>
      </c>
    </row>
    <row r="51" s="1" customFormat="1" customHeight="1" spans="1:9">
      <c r="A51" s="7">
        <v>45967</v>
      </c>
      <c r="B51" s="1" t="s">
        <v>113</v>
      </c>
      <c r="C51" s="1" t="s">
        <v>2541</v>
      </c>
      <c r="D51" s="1" t="s">
        <v>76</v>
      </c>
      <c r="E51" s="1" t="s">
        <v>1621</v>
      </c>
      <c r="F51" s="1">
        <v>49440</v>
      </c>
      <c r="G51" s="1">
        <v>0.45</v>
      </c>
      <c r="H51" s="1">
        <f t="shared" si="3"/>
        <v>22248</v>
      </c>
      <c r="I51" s="1" t="s">
        <v>126</v>
      </c>
    </row>
    <row r="52" s="1" customFormat="1" customHeight="1" spans="1:9">
      <c r="A52" s="7">
        <v>45967</v>
      </c>
      <c r="B52" s="1" t="s">
        <v>113</v>
      </c>
      <c r="C52" s="1" t="s">
        <v>2541</v>
      </c>
      <c r="D52" s="1" t="s">
        <v>115</v>
      </c>
      <c r="E52" s="1" t="s">
        <v>1273</v>
      </c>
      <c r="F52" s="1">
        <v>2070</v>
      </c>
      <c r="G52" s="1">
        <v>0.45</v>
      </c>
      <c r="H52" s="1">
        <f t="shared" si="3"/>
        <v>931.5</v>
      </c>
      <c r="I52" s="1" t="s">
        <v>65</v>
      </c>
    </row>
    <row r="53" s="1" customFormat="1" customHeight="1" spans="1:9">
      <c r="A53" s="7">
        <v>45967</v>
      </c>
      <c r="B53" s="1" t="s">
        <v>113</v>
      </c>
      <c r="C53" s="1" t="s">
        <v>2541</v>
      </c>
      <c r="D53" s="1" t="s">
        <v>76</v>
      </c>
      <c r="E53" s="1" t="s">
        <v>222</v>
      </c>
      <c r="F53" s="1">
        <v>8210</v>
      </c>
      <c r="G53" s="1">
        <v>0.43</v>
      </c>
      <c r="H53" s="1">
        <f t="shared" si="3"/>
        <v>3530.3</v>
      </c>
      <c r="I53" s="1" t="s">
        <v>126</v>
      </c>
    </row>
    <row r="54" s="1" customFormat="1" customHeight="1" spans="1:9">
      <c r="A54" s="7">
        <v>45968</v>
      </c>
      <c r="B54" s="1" t="s">
        <v>113</v>
      </c>
      <c r="C54" s="1" t="s">
        <v>2542</v>
      </c>
      <c r="D54" s="1" t="s">
        <v>130</v>
      </c>
      <c r="E54" s="1" t="s">
        <v>1621</v>
      </c>
      <c r="F54" s="1">
        <v>43510</v>
      </c>
      <c r="G54" s="1">
        <v>0.45</v>
      </c>
      <c r="H54" s="1">
        <f t="shared" ref="H54:H94" si="4">F54*G54</f>
        <v>19579.5</v>
      </c>
      <c r="I54" s="1" t="s">
        <v>433</v>
      </c>
    </row>
    <row r="55" s="1" customFormat="1" customHeight="1" spans="1:9">
      <c r="A55" s="7">
        <v>45968</v>
      </c>
      <c r="B55" s="1" t="s">
        <v>113</v>
      </c>
      <c r="C55" s="1" t="s">
        <v>2542</v>
      </c>
      <c r="D55" s="1" t="s">
        <v>130</v>
      </c>
      <c r="E55" s="1" t="s">
        <v>1621</v>
      </c>
      <c r="F55" s="1">
        <v>100</v>
      </c>
      <c r="G55" s="1">
        <v>0.45</v>
      </c>
      <c r="H55" s="1">
        <f t="shared" si="4"/>
        <v>45</v>
      </c>
      <c r="I55" s="1" t="s">
        <v>433</v>
      </c>
    </row>
    <row r="56" s="1" customFormat="1" customHeight="1" spans="1:9">
      <c r="A56" s="7">
        <v>45968</v>
      </c>
      <c r="B56" s="1" t="s">
        <v>113</v>
      </c>
      <c r="C56" s="1" t="s">
        <v>2542</v>
      </c>
      <c r="D56" s="1" t="s">
        <v>76</v>
      </c>
      <c r="E56" s="1" t="s">
        <v>1621</v>
      </c>
      <c r="F56" s="1">
        <v>3020</v>
      </c>
      <c r="G56" s="1">
        <v>0.45</v>
      </c>
      <c r="H56" s="1">
        <f t="shared" si="4"/>
        <v>1359</v>
      </c>
      <c r="I56" s="1" t="s">
        <v>126</v>
      </c>
    </row>
    <row r="57" s="1" customFormat="1" customHeight="1" spans="1:9">
      <c r="A57" s="7">
        <v>45968</v>
      </c>
      <c r="B57" s="1" t="s">
        <v>113</v>
      </c>
      <c r="C57" s="1" t="s">
        <v>2542</v>
      </c>
      <c r="D57" s="1" t="s">
        <v>115</v>
      </c>
      <c r="E57" s="1" t="s">
        <v>2527</v>
      </c>
      <c r="F57" s="1">
        <v>10000</v>
      </c>
      <c r="G57" s="1">
        <v>0.7</v>
      </c>
      <c r="H57" s="1">
        <f t="shared" si="4"/>
        <v>7000</v>
      </c>
      <c r="I57" s="1" t="s">
        <v>149</v>
      </c>
    </row>
    <row r="58" s="1" customFormat="1" customHeight="1" spans="1:9">
      <c r="A58" s="7">
        <v>45968</v>
      </c>
      <c r="B58" s="1" t="s">
        <v>113</v>
      </c>
      <c r="C58" s="1" t="s">
        <v>2542</v>
      </c>
      <c r="D58" s="1" t="s">
        <v>1962</v>
      </c>
      <c r="E58" s="1" t="s">
        <v>1273</v>
      </c>
      <c r="F58" s="1">
        <v>1320</v>
      </c>
      <c r="G58" s="1">
        <v>0.6</v>
      </c>
      <c r="H58" s="1">
        <f t="shared" si="4"/>
        <v>792</v>
      </c>
      <c r="I58" s="1" t="s">
        <v>982</v>
      </c>
    </row>
    <row r="59" s="1" customFormat="1" customHeight="1" spans="1:9">
      <c r="A59" s="7">
        <v>45969</v>
      </c>
      <c r="B59" s="1" t="s">
        <v>113</v>
      </c>
      <c r="C59" s="1" t="s">
        <v>2543</v>
      </c>
      <c r="D59" s="1" t="s">
        <v>115</v>
      </c>
      <c r="E59" s="1" t="s">
        <v>2527</v>
      </c>
      <c r="F59" s="1">
        <v>10000</v>
      </c>
      <c r="G59" s="1">
        <v>0.7</v>
      </c>
      <c r="H59" s="1">
        <f t="shared" si="4"/>
        <v>7000</v>
      </c>
      <c r="I59" s="1" t="s">
        <v>149</v>
      </c>
    </row>
    <row r="60" s="1" customFormat="1" customHeight="1" spans="1:9">
      <c r="A60" s="7">
        <v>45969</v>
      </c>
      <c r="B60" s="1" t="s">
        <v>113</v>
      </c>
      <c r="C60" s="1" t="s">
        <v>2544</v>
      </c>
      <c r="D60" s="1" t="s">
        <v>128</v>
      </c>
      <c r="E60" s="1" t="s">
        <v>1621</v>
      </c>
      <c r="F60" s="1">
        <v>510</v>
      </c>
      <c r="G60" s="1">
        <v>0.53</v>
      </c>
      <c r="H60" s="1">
        <f t="shared" si="4"/>
        <v>270.3</v>
      </c>
      <c r="I60" s="1" t="s">
        <v>117</v>
      </c>
    </row>
    <row r="61" s="1" customFormat="1" customHeight="1" spans="1:9">
      <c r="A61" s="7">
        <v>45969</v>
      </c>
      <c r="B61" s="1" t="s">
        <v>113</v>
      </c>
      <c r="C61" s="1" t="s">
        <v>2544</v>
      </c>
      <c r="D61" s="1" t="s">
        <v>115</v>
      </c>
      <c r="E61" s="1" t="s">
        <v>2527</v>
      </c>
      <c r="F61" s="1">
        <v>10000</v>
      </c>
      <c r="G61" s="1">
        <v>0.7</v>
      </c>
      <c r="H61" s="1">
        <f t="shared" si="4"/>
        <v>7000</v>
      </c>
      <c r="I61" s="1" t="s">
        <v>149</v>
      </c>
    </row>
    <row r="62" s="1" customFormat="1" customHeight="1" spans="1:9">
      <c r="A62" s="7">
        <v>45970</v>
      </c>
      <c r="B62" s="1" t="s">
        <v>113</v>
      </c>
      <c r="C62" s="1" t="s">
        <v>2545</v>
      </c>
      <c r="D62" s="1" t="s">
        <v>130</v>
      </c>
      <c r="E62" s="1" t="s">
        <v>222</v>
      </c>
      <c r="F62" s="1">
        <v>10000</v>
      </c>
      <c r="G62" s="1">
        <v>0.38</v>
      </c>
      <c r="H62" s="1">
        <f t="shared" si="4"/>
        <v>3800</v>
      </c>
      <c r="I62" s="1" t="s">
        <v>61</v>
      </c>
    </row>
    <row r="63" s="1" customFormat="1" customHeight="1" spans="1:9">
      <c r="A63" s="7">
        <v>45970</v>
      </c>
      <c r="B63" s="1" t="s">
        <v>113</v>
      </c>
      <c r="C63" s="1" t="s">
        <v>2545</v>
      </c>
      <c r="D63" s="1" t="s">
        <v>130</v>
      </c>
      <c r="E63" s="1" t="s">
        <v>222</v>
      </c>
      <c r="F63" s="1">
        <v>10000</v>
      </c>
      <c r="G63" s="1">
        <v>0.38</v>
      </c>
      <c r="H63" s="1">
        <f t="shared" si="4"/>
        <v>3800</v>
      </c>
      <c r="I63" s="1" t="s">
        <v>61</v>
      </c>
    </row>
    <row r="64" s="1" customFormat="1" customHeight="1" spans="1:9">
      <c r="A64" s="7">
        <v>45970</v>
      </c>
      <c r="B64" s="1" t="s">
        <v>113</v>
      </c>
      <c r="C64" s="1" t="s">
        <v>2545</v>
      </c>
      <c r="D64" s="1" t="s">
        <v>130</v>
      </c>
      <c r="E64" s="1" t="s">
        <v>222</v>
      </c>
      <c r="F64" s="1">
        <v>8020</v>
      </c>
      <c r="G64" s="1">
        <v>0.38</v>
      </c>
      <c r="H64" s="1">
        <f t="shared" si="4"/>
        <v>3047.6</v>
      </c>
      <c r="I64" s="1" t="s">
        <v>1453</v>
      </c>
    </row>
    <row r="65" s="1" customFormat="1" customHeight="1" spans="1:9">
      <c r="A65" s="7">
        <v>45970</v>
      </c>
      <c r="B65" s="1" t="s">
        <v>113</v>
      </c>
      <c r="C65" s="1" t="s">
        <v>2545</v>
      </c>
      <c r="D65" s="1" t="s">
        <v>76</v>
      </c>
      <c r="E65" s="1" t="s">
        <v>207</v>
      </c>
      <c r="F65" s="1">
        <v>10380</v>
      </c>
      <c r="G65" s="1">
        <v>0.45</v>
      </c>
      <c r="H65" s="1">
        <f t="shared" si="4"/>
        <v>4671</v>
      </c>
      <c r="I65" s="1" t="s">
        <v>340</v>
      </c>
    </row>
    <row r="66" s="1" customFormat="1" customHeight="1" spans="1:9">
      <c r="A66" s="7">
        <v>45970</v>
      </c>
      <c r="B66" s="1" t="s">
        <v>113</v>
      </c>
      <c r="C66" s="1" t="s">
        <v>2545</v>
      </c>
      <c r="D66" s="1" t="s">
        <v>76</v>
      </c>
      <c r="E66" s="1" t="s">
        <v>222</v>
      </c>
      <c r="F66" s="1">
        <v>6055</v>
      </c>
      <c r="G66" s="1">
        <v>0.43</v>
      </c>
      <c r="H66" s="1">
        <f t="shared" si="4"/>
        <v>2603.65</v>
      </c>
      <c r="I66" s="1" t="s">
        <v>126</v>
      </c>
    </row>
    <row r="67" s="1" customFormat="1" customHeight="1" spans="1:9">
      <c r="A67" s="7">
        <v>45971</v>
      </c>
      <c r="B67" s="1" t="s">
        <v>113</v>
      </c>
      <c r="C67" s="1" t="s">
        <v>2546</v>
      </c>
      <c r="D67" s="1" t="s">
        <v>59</v>
      </c>
      <c r="E67" s="1" t="s">
        <v>1273</v>
      </c>
      <c r="F67" s="1">
        <v>5310</v>
      </c>
      <c r="G67" s="1">
        <v>0.45</v>
      </c>
      <c r="H67" s="1">
        <f t="shared" si="4"/>
        <v>2389.5</v>
      </c>
      <c r="I67" s="1" t="s">
        <v>133</v>
      </c>
    </row>
    <row r="68" s="1" customFormat="1" customHeight="1" spans="1:9">
      <c r="A68" s="7">
        <v>45971</v>
      </c>
      <c r="B68" s="1" t="s">
        <v>113</v>
      </c>
      <c r="C68" s="1" t="s">
        <v>2546</v>
      </c>
      <c r="D68" s="1" t="s">
        <v>130</v>
      </c>
      <c r="E68" s="1" t="s">
        <v>222</v>
      </c>
      <c r="F68" s="1">
        <v>2035</v>
      </c>
      <c r="G68" s="1">
        <v>0.4</v>
      </c>
      <c r="H68" s="1">
        <f t="shared" si="4"/>
        <v>814</v>
      </c>
      <c r="I68" s="1" t="s">
        <v>432</v>
      </c>
    </row>
    <row r="69" s="1" customFormat="1" customHeight="1" spans="1:9">
      <c r="A69" s="7">
        <v>45972</v>
      </c>
      <c r="B69" s="1" t="s">
        <v>113</v>
      </c>
      <c r="C69" s="1" t="s">
        <v>2547</v>
      </c>
      <c r="D69" s="1" t="s">
        <v>59</v>
      </c>
      <c r="E69" s="1" t="s">
        <v>1273</v>
      </c>
      <c r="F69" s="1">
        <v>1210</v>
      </c>
      <c r="G69" s="1">
        <v>0.47</v>
      </c>
      <c r="H69" s="1">
        <f t="shared" si="4"/>
        <v>568.7</v>
      </c>
      <c r="I69" s="1" t="s">
        <v>65</v>
      </c>
    </row>
    <row r="70" s="1" customFormat="1" customHeight="1" spans="1:9">
      <c r="A70" s="7">
        <v>45972</v>
      </c>
      <c r="B70" s="1" t="s">
        <v>113</v>
      </c>
      <c r="C70" s="1" t="s">
        <v>2547</v>
      </c>
      <c r="D70" s="1" t="s">
        <v>59</v>
      </c>
      <c r="E70" s="1" t="s">
        <v>1273</v>
      </c>
      <c r="F70" s="1">
        <v>2060</v>
      </c>
      <c r="G70" s="1">
        <v>0.47</v>
      </c>
      <c r="H70" s="1">
        <f t="shared" si="4"/>
        <v>968.2</v>
      </c>
      <c r="I70" s="1" t="s">
        <v>65</v>
      </c>
    </row>
    <row r="71" s="1" customFormat="1" customHeight="1" spans="1:9">
      <c r="A71" s="7">
        <v>45972</v>
      </c>
      <c r="B71" s="1" t="s">
        <v>113</v>
      </c>
      <c r="C71" s="1" t="s">
        <v>2547</v>
      </c>
      <c r="D71" s="1" t="s">
        <v>59</v>
      </c>
      <c r="E71" s="1" t="s">
        <v>361</v>
      </c>
      <c r="F71" s="1">
        <v>10</v>
      </c>
      <c r="G71" s="1">
        <v>0</v>
      </c>
      <c r="H71" s="1">
        <f t="shared" si="4"/>
        <v>0</v>
      </c>
      <c r="I71" s="1" t="s">
        <v>32</v>
      </c>
    </row>
    <row r="72" s="1" customFormat="1" customHeight="1" spans="1:9">
      <c r="A72" s="7">
        <v>45972</v>
      </c>
      <c r="B72" s="1" t="s">
        <v>113</v>
      </c>
      <c r="C72" s="1" t="s">
        <v>2547</v>
      </c>
      <c r="D72" s="1" t="s">
        <v>130</v>
      </c>
      <c r="E72" s="1" t="s">
        <v>2527</v>
      </c>
      <c r="F72" s="1">
        <v>10</v>
      </c>
      <c r="G72" s="1">
        <v>0</v>
      </c>
      <c r="H72" s="1">
        <f t="shared" si="4"/>
        <v>0</v>
      </c>
      <c r="I72" s="1" t="s">
        <v>32</v>
      </c>
    </row>
    <row r="73" s="1" customFormat="1" customHeight="1" spans="1:9">
      <c r="A73" s="7">
        <v>45973</v>
      </c>
      <c r="B73" s="1" t="s">
        <v>113</v>
      </c>
      <c r="C73" s="1" t="s">
        <v>2548</v>
      </c>
      <c r="D73" s="1" t="s">
        <v>130</v>
      </c>
      <c r="E73" s="1" t="s">
        <v>222</v>
      </c>
      <c r="F73" s="1">
        <v>2045</v>
      </c>
      <c r="G73" s="1">
        <v>0.4</v>
      </c>
      <c r="H73" s="1">
        <f t="shared" si="4"/>
        <v>818</v>
      </c>
      <c r="I73" s="1" t="s">
        <v>432</v>
      </c>
    </row>
    <row r="74" s="1" customFormat="1" customHeight="1" spans="1:9">
      <c r="A74" s="7">
        <v>45973</v>
      </c>
      <c r="B74" s="1" t="s">
        <v>113</v>
      </c>
      <c r="C74" s="1" t="s">
        <v>2548</v>
      </c>
      <c r="D74" s="1" t="s">
        <v>1962</v>
      </c>
      <c r="E74" s="1" t="s">
        <v>1273</v>
      </c>
      <c r="F74" s="1">
        <v>205</v>
      </c>
      <c r="G74" s="1">
        <v>0.6</v>
      </c>
      <c r="H74" s="1">
        <f t="shared" si="4"/>
        <v>123</v>
      </c>
      <c r="I74" s="1" t="s">
        <v>982</v>
      </c>
    </row>
    <row r="75" s="1" customFormat="1" customHeight="1" spans="1:9">
      <c r="A75" s="7">
        <v>45973</v>
      </c>
      <c r="B75" s="1" t="s">
        <v>113</v>
      </c>
      <c r="C75" s="1" t="s">
        <v>2548</v>
      </c>
      <c r="D75" s="1" t="s">
        <v>1962</v>
      </c>
      <c r="E75" s="1" t="s">
        <v>222</v>
      </c>
      <c r="F75" s="1">
        <v>10</v>
      </c>
      <c r="G75" s="1">
        <v>0</v>
      </c>
      <c r="H75" s="1">
        <f t="shared" si="4"/>
        <v>0</v>
      </c>
      <c r="I75" s="1" t="s">
        <v>32</v>
      </c>
    </row>
    <row r="76" s="1" customFormat="1" customHeight="1" spans="1:9">
      <c r="A76" s="7">
        <v>45973</v>
      </c>
      <c r="B76" s="1" t="s">
        <v>113</v>
      </c>
      <c r="C76" s="1" t="s">
        <v>2548</v>
      </c>
      <c r="D76" s="1" t="s">
        <v>148</v>
      </c>
      <c r="E76" s="1" t="s">
        <v>222</v>
      </c>
      <c r="F76" s="1">
        <v>20</v>
      </c>
      <c r="G76" s="1">
        <v>0</v>
      </c>
      <c r="H76" s="1">
        <f t="shared" si="4"/>
        <v>0</v>
      </c>
      <c r="I76" s="1" t="s">
        <v>32</v>
      </c>
    </row>
    <row r="77" s="1" customFormat="1" customHeight="1" spans="1:9">
      <c r="A77" s="7">
        <v>45974</v>
      </c>
      <c r="B77" s="1" t="s">
        <v>113</v>
      </c>
      <c r="C77" s="1" t="s">
        <v>2549</v>
      </c>
      <c r="D77" s="1" t="s">
        <v>107</v>
      </c>
      <c r="E77" s="1" t="s">
        <v>222</v>
      </c>
      <c r="F77" s="1">
        <v>20</v>
      </c>
      <c r="G77" s="1">
        <v>0</v>
      </c>
      <c r="H77" s="1">
        <f t="shared" si="4"/>
        <v>0</v>
      </c>
      <c r="I77" s="1" t="s">
        <v>32</v>
      </c>
    </row>
    <row r="78" s="1" customFormat="1" customHeight="1" spans="1:9">
      <c r="A78" s="7">
        <v>45974</v>
      </c>
      <c r="B78" s="1" t="s">
        <v>113</v>
      </c>
      <c r="C78" s="1" t="s">
        <v>2549</v>
      </c>
      <c r="D78" s="1" t="s">
        <v>122</v>
      </c>
      <c r="E78" s="1" t="s">
        <v>222</v>
      </c>
      <c r="F78" s="1">
        <v>20</v>
      </c>
      <c r="G78" s="1">
        <v>0</v>
      </c>
      <c r="H78" s="1">
        <f t="shared" si="4"/>
        <v>0</v>
      </c>
      <c r="I78" s="1" t="s">
        <v>32</v>
      </c>
    </row>
    <row r="79" s="1" customFormat="1" customHeight="1" spans="1:9">
      <c r="A79" s="7">
        <v>45974</v>
      </c>
      <c r="B79" s="1" t="s">
        <v>113</v>
      </c>
      <c r="C79" s="1" t="s">
        <v>2549</v>
      </c>
      <c r="D79" s="1" t="s">
        <v>128</v>
      </c>
      <c r="E79" s="1" t="s">
        <v>222</v>
      </c>
      <c r="F79" s="1">
        <v>20460</v>
      </c>
      <c r="G79" s="1">
        <v>0.45</v>
      </c>
      <c r="H79" s="1">
        <f t="shared" si="4"/>
        <v>9207</v>
      </c>
      <c r="I79" s="1" t="s">
        <v>2175</v>
      </c>
    </row>
    <row r="80" s="1" customFormat="1" customHeight="1" spans="1:9">
      <c r="A80" s="7">
        <v>45975</v>
      </c>
      <c r="B80" s="1" t="s">
        <v>113</v>
      </c>
      <c r="C80" s="1" t="s">
        <v>2550</v>
      </c>
      <c r="D80" s="1" t="s">
        <v>1958</v>
      </c>
      <c r="E80" s="1" t="s">
        <v>222</v>
      </c>
      <c r="F80" s="1">
        <v>10000</v>
      </c>
      <c r="G80" s="1">
        <v>0.45</v>
      </c>
      <c r="H80" s="1">
        <f t="shared" si="4"/>
        <v>4500</v>
      </c>
      <c r="I80" s="1" t="s">
        <v>356</v>
      </c>
    </row>
    <row r="81" s="1" customFormat="1" customHeight="1" spans="1:9">
      <c r="A81" s="7">
        <v>45975</v>
      </c>
      <c r="B81" s="1" t="s">
        <v>113</v>
      </c>
      <c r="C81" s="1" t="s">
        <v>2550</v>
      </c>
      <c r="D81" s="1" t="s">
        <v>59</v>
      </c>
      <c r="E81" s="1" t="s">
        <v>1273</v>
      </c>
      <c r="F81" s="1">
        <v>405</v>
      </c>
      <c r="G81" s="1">
        <v>0.47</v>
      </c>
      <c r="H81" s="1">
        <f t="shared" si="4"/>
        <v>190.35</v>
      </c>
      <c r="I81" s="1" t="s">
        <v>65</v>
      </c>
    </row>
    <row r="82" s="1" customFormat="1" customHeight="1" spans="1:9">
      <c r="A82" s="7">
        <v>45976</v>
      </c>
      <c r="B82" s="1" t="s">
        <v>113</v>
      </c>
      <c r="C82" s="1" t="s">
        <v>2551</v>
      </c>
      <c r="D82" s="1" t="s">
        <v>1958</v>
      </c>
      <c r="E82" s="1" t="s">
        <v>222</v>
      </c>
      <c r="F82" s="1">
        <v>20090</v>
      </c>
      <c r="G82" s="1">
        <v>0.45</v>
      </c>
      <c r="H82" s="1">
        <f t="shared" si="4"/>
        <v>9040.5</v>
      </c>
      <c r="I82" s="1" t="s">
        <v>356</v>
      </c>
    </row>
    <row r="83" s="1" customFormat="1" customHeight="1" spans="1:9">
      <c r="A83" s="7">
        <v>45976</v>
      </c>
      <c r="B83" s="1" t="s">
        <v>113</v>
      </c>
      <c r="C83" s="1" t="s">
        <v>2551</v>
      </c>
      <c r="D83" s="1" t="s">
        <v>2155</v>
      </c>
      <c r="E83" s="1" t="s">
        <v>1621</v>
      </c>
      <c r="F83" s="1">
        <v>7730</v>
      </c>
      <c r="G83" s="1">
        <v>0.5</v>
      </c>
      <c r="H83" s="1">
        <f t="shared" si="4"/>
        <v>3865</v>
      </c>
      <c r="I83" s="1" t="s">
        <v>437</v>
      </c>
    </row>
    <row r="84" s="1" customFormat="1" customHeight="1" spans="1:9">
      <c r="A84" s="7">
        <v>45976</v>
      </c>
      <c r="B84" s="1" t="s">
        <v>113</v>
      </c>
      <c r="C84" s="1" t="s">
        <v>2551</v>
      </c>
      <c r="D84" s="1" t="s">
        <v>1962</v>
      </c>
      <c r="E84" s="1" t="s">
        <v>1621</v>
      </c>
      <c r="F84" s="1">
        <v>4045</v>
      </c>
      <c r="G84" s="1">
        <v>0.65</v>
      </c>
      <c r="H84" s="1">
        <f t="shared" si="4"/>
        <v>2629.25</v>
      </c>
      <c r="I84" s="1" t="s">
        <v>126</v>
      </c>
    </row>
    <row r="85" s="1" customFormat="1" customHeight="1" spans="1:9">
      <c r="A85" s="7">
        <v>45976</v>
      </c>
      <c r="B85" s="1" t="s">
        <v>113</v>
      </c>
      <c r="C85" s="1" t="s">
        <v>2551</v>
      </c>
      <c r="D85" s="1" t="s">
        <v>128</v>
      </c>
      <c r="E85" s="1" t="s">
        <v>222</v>
      </c>
      <c r="F85" s="1">
        <v>8020</v>
      </c>
      <c r="G85" s="1">
        <v>0.48</v>
      </c>
      <c r="H85" s="1">
        <f t="shared" si="4"/>
        <v>3849.6</v>
      </c>
      <c r="I85" s="1" t="s">
        <v>129</v>
      </c>
    </row>
    <row r="86" s="1" customFormat="1" customHeight="1" spans="1:9">
      <c r="A86" s="7">
        <v>45977</v>
      </c>
      <c r="B86" s="1" t="s">
        <v>113</v>
      </c>
      <c r="C86" s="1" t="s">
        <v>2552</v>
      </c>
      <c r="D86" s="1" t="s">
        <v>130</v>
      </c>
      <c r="E86" s="1" t="s">
        <v>222</v>
      </c>
      <c r="F86" s="1">
        <v>25000</v>
      </c>
      <c r="G86" s="1">
        <v>0.38</v>
      </c>
      <c r="H86" s="1">
        <f t="shared" si="4"/>
        <v>9500</v>
      </c>
      <c r="I86" s="1" t="s">
        <v>149</v>
      </c>
    </row>
    <row r="87" s="1" customFormat="1" customHeight="1" spans="1:9">
      <c r="A87" s="7">
        <v>45977</v>
      </c>
      <c r="B87" s="1" t="s">
        <v>113</v>
      </c>
      <c r="C87" s="1" t="s">
        <v>2552</v>
      </c>
      <c r="D87" s="1" t="s">
        <v>76</v>
      </c>
      <c r="E87" s="1" t="s">
        <v>2553</v>
      </c>
      <c r="F87" s="1">
        <v>2035</v>
      </c>
      <c r="G87" s="1">
        <v>0.4</v>
      </c>
      <c r="H87" s="1">
        <f t="shared" si="4"/>
        <v>814</v>
      </c>
      <c r="I87" s="1" t="s">
        <v>432</v>
      </c>
    </row>
    <row r="88" s="1" customFormat="1" customHeight="1" spans="1:9">
      <c r="A88" s="7">
        <v>45977</v>
      </c>
      <c r="B88" s="1" t="s">
        <v>113</v>
      </c>
      <c r="C88" s="1" t="s">
        <v>2552</v>
      </c>
      <c r="D88" s="1" t="s">
        <v>130</v>
      </c>
      <c r="E88" s="1" t="s">
        <v>222</v>
      </c>
      <c r="F88" s="1">
        <v>15</v>
      </c>
      <c r="G88" s="1">
        <v>0</v>
      </c>
      <c r="H88" s="1">
        <f t="shared" si="4"/>
        <v>0</v>
      </c>
      <c r="I88" s="1" t="s">
        <v>32</v>
      </c>
    </row>
    <row r="89" s="1" customFormat="1" customHeight="1" spans="1:9">
      <c r="A89" s="7">
        <v>45978</v>
      </c>
      <c r="B89" s="1" t="s">
        <v>113</v>
      </c>
      <c r="C89" s="1" t="s">
        <v>2554</v>
      </c>
      <c r="D89" s="1" t="s">
        <v>59</v>
      </c>
      <c r="E89" s="1" t="s">
        <v>222</v>
      </c>
      <c r="F89" s="1">
        <v>4010</v>
      </c>
      <c r="G89" s="1">
        <v>0.45</v>
      </c>
      <c r="H89" s="1">
        <f t="shared" si="4"/>
        <v>1804.5</v>
      </c>
      <c r="I89" s="1" t="s">
        <v>1206</v>
      </c>
    </row>
    <row r="90" s="1" customFormat="1" customHeight="1" spans="1:9">
      <c r="A90" s="7">
        <v>45978</v>
      </c>
      <c r="B90" s="1" t="s">
        <v>113</v>
      </c>
      <c r="C90" s="1" t="s">
        <v>2554</v>
      </c>
      <c r="D90" s="1" t="s">
        <v>76</v>
      </c>
      <c r="E90" s="1" t="s">
        <v>1273</v>
      </c>
      <c r="F90" s="1">
        <v>10450</v>
      </c>
      <c r="G90" s="1">
        <v>0.47</v>
      </c>
      <c r="H90" s="1">
        <f t="shared" si="4"/>
        <v>4911.5</v>
      </c>
      <c r="I90" s="1" t="s">
        <v>65</v>
      </c>
    </row>
    <row r="91" s="1" customFormat="1" customHeight="1" spans="1:9">
      <c r="A91" s="7">
        <v>45978</v>
      </c>
      <c r="B91" s="1" t="s">
        <v>113</v>
      </c>
      <c r="C91" s="1" t="s">
        <v>2554</v>
      </c>
      <c r="D91" s="1" t="s">
        <v>148</v>
      </c>
      <c r="E91" s="1" t="s">
        <v>1273</v>
      </c>
      <c r="F91" s="1">
        <v>5430</v>
      </c>
      <c r="G91" s="1">
        <v>0.5</v>
      </c>
      <c r="H91" s="1">
        <f t="shared" si="4"/>
        <v>2715</v>
      </c>
      <c r="I91" s="1" t="s">
        <v>65</v>
      </c>
    </row>
    <row r="92" s="1" customFormat="1" customHeight="1" spans="1:9">
      <c r="A92" s="7">
        <v>45978</v>
      </c>
      <c r="B92" s="1" t="s">
        <v>113</v>
      </c>
      <c r="C92" s="1" t="s">
        <v>2554</v>
      </c>
      <c r="D92" s="1" t="s">
        <v>59</v>
      </c>
      <c r="E92" s="1" t="s">
        <v>1273</v>
      </c>
      <c r="F92" s="1">
        <v>8090</v>
      </c>
      <c r="G92" s="1">
        <v>0.47</v>
      </c>
      <c r="H92" s="1">
        <f t="shared" si="4"/>
        <v>3802.3</v>
      </c>
      <c r="I92" s="1" t="s">
        <v>133</v>
      </c>
    </row>
    <row r="93" s="1" customFormat="1" customHeight="1" spans="1:9">
      <c r="A93" s="7">
        <v>45978</v>
      </c>
      <c r="B93" s="1" t="s">
        <v>113</v>
      </c>
      <c r="C93" s="1" t="s">
        <v>2555</v>
      </c>
      <c r="D93" s="1" t="s">
        <v>59</v>
      </c>
      <c r="E93" s="1" t="s">
        <v>1273</v>
      </c>
      <c r="F93" s="1">
        <v>20000</v>
      </c>
      <c r="G93" s="1">
        <v>0.47</v>
      </c>
      <c r="H93" s="1">
        <f t="shared" si="4"/>
        <v>9400</v>
      </c>
      <c r="I93" s="1" t="s">
        <v>77</v>
      </c>
    </row>
    <row r="94" s="1" customFormat="1" customHeight="1" spans="1:9">
      <c r="A94" s="7">
        <v>45978</v>
      </c>
      <c r="B94" s="1" t="s">
        <v>113</v>
      </c>
      <c r="C94" s="1" t="s">
        <v>2555</v>
      </c>
      <c r="D94" s="1" t="s">
        <v>130</v>
      </c>
      <c r="E94" s="1" t="s">
        <v>222</v>
      </c>
      <c r="F94" s="1">
        <v>30000</v>
      </c>
      <c r="G94" s="1">
        <v>0.38</v>
      </c>
      <c r="H94" s="1">
        <f t="shared" si="4"/>
        <v>11400</v>
      </c>
      <c r="I94" s="1" t="s">
        <v>149</v>
      </c>
    </row>
    <row r="95" s="1" customFormat="1" customHeight="1" spans="1:9">
      <c r="A95" s="7">
        <v>45979</v>
      </c>
      <c r="B95" s="1" t="s">
        <v>113</v>
      </c>
      <c r="C95" s="1" t="s">
        <v>2556</v>
      </c>
      <c r="D95" s="1" t="s">
        <v>59</v>
      </c>
      <c r="E95" s="1" t="s">
        <v>1273</v>
      </c>
      <c r="F95" s="1">
        <v>20070</v>
      </c>
      <c r="G95" s="1">
        <v>0.47</v>
      </c>
      <c r="H95" s="1">
        <f t="shared" ref="H95:H106" si="5">F95*G95</f>
        <v>9432.9</v>
      </c>
      <c r="I95" s="1" t="s">
        <v>77</v>
      </c>
    </row>
    <row r="96" s="1" customFormat="1" customHeight="1" spans="1:9">
      <c r="A96" s="7">
        <v>45979</v>
      </c>
      <c r="B96" s="1" t="s">
        <v>113</v>
      </c>
      <c r="C96" s="1" t="s">
        <v>2556</v>
      </c>
      <c r="D96" s="1" t="s">
        <v>130</v>
      </c>
      <c r="E96" s="1" t="s">
        <v>222</v>
      </c>
      <c r="F96" s="1">
        <v>35000</v>
      </c>
      <c r="G96" s="1">
        <v>0.38</v>
      </c>
      <c r="H96" s="1">
        <f t="shared" si="5"/>
        <v>13300</v>
      </c>
      <c r="I96" s="1" t="s">
        <v>149</v>
      </c>
    </row>
    <row r="97" s="1" customFormat="1" customHeight="1" spans="1:9">
      <c r="A97" s="7">
        <v>45979</v>
      </c>
      <c r="B97" s="1" t="s">
        <v>113</v>
      </c>
      <c r="C97" s="1" t="s">
        <v>2556</v>
      </c>
      <c r="D97" s="1" t="s">
        <v>59</v>
      </c>
      <c r="E97" s="1" t="s">
        <v>222</v>
      </c>
      <c r="F97" s="1">
        <v>4075</v>
      </c>
      <c r="G97" s="1">
        <v>0.45</v>
      </c>
      <c r="H97" s="1">
        <f t="shared" si="5"/>
        <v>1833.75</v>
      </c>
      <c r="I97" s="1" t="s">
        <v>137</v>
      </c>
    </row>
    <row r="98" s="1" customFormat="1" customHeight="1" spans="1:9">
      <c r="A98" s="7">
        <v>45979</v>
      </c>
      <c r="B98" s="1" t="s">
        <v>113</v>
      </c>
      <c r="C98" s="1" t="s">
        <v>2556</v>
      </c>
      <c r="D98" s="1" t="s">
        <v>59</v>
      </c>
      <c r="E98" s="1" t="s">
        <v>1273</v>
      </c>
      <c r="F98" s="1">
        <v>2060</v>
      </c>
      <c r="G98" s="1">
        <v>0.47</v>
      </c>
      <c r="H98" s="1">
        <f t="shared" si="5"/>
        <v>968.2</v>
      </c>
      <c r="I98" s="1" t="s">
        <v>65</v>
      </c>
    </row>
    <row r="99" s="1" customFormat="1" customHeight="1" spans="1:9">
      <c r="A99" s="7">
        <v>45979</v>
      </c>
      <c r="B99" s="1" t="s">
        <v>113</v>
      </c>
      <c r="C99" s="1" t="s">
        <v>2556</v>
      </c>
      <c r="D99" s="1" t="s">
        <v>148</v>
      </c>
      <c r="E99" s="1" t="s">
        <v>1273</v>
      </c>
      <c r="F99" s="1">
        <v>5010</v>
      </c>
      <c r="G99" s="1">
        <v>0.5</v>
      </c>
      <c r="H99" s="1">
        <f t="shared" si="5"/>
        <v>2505</v>
      </c>
      <c r="I99" s="1" t="s">
        <v>65</v>
      </c>
    </row>
    <row r="100" s="1" customFormat="1" customHeight="1" spans="1:9">
      <c r="A100" s="7">
        <v>45979</v>
      </c>
      <c r="B100" s="1" t="s">
        <v>113</v>
      </c>
      <c r="C100" s="1" t="s">
        <v>2556</v>
      </c>
      <c r="D100" s="1" t="s">
        <v>2155</v>
      </c>
      <c r="E100" s="1" t="s">
        <v>1273</v>
      </c>
      <c r="F100" s="1">
        <v>4410</v>
      </c>
      <c r="G100" s="1">
        <v>0.47</v>
      </c>
      <c r="H100" s="1">
        <f t="shared" si="5"/>
        <v>2072.7</v>
      </c>
      <c r="I100" s="1" t="s">
        <v>65</v>
      </c>
    </row>
    <row r="101" s="1" customFormat="1" customHeight="1" spans="1:9">
      <c r="A101" s="7">
        <v>45979</v>
      </c>
      <c r="B101" s="1" t="s">
        <v>113</v>
      </c>
      <c r="C101" s="1" t="s">
        <v>2556</v>
      </c>
      <c r="D101" s="1" t="s">
        <v>130</v>
      </c>
      <c r="E101" s="1" t="s">
        <v>222</v>
      </c>
      <c r="F101" s="1">
        <v>2034</v>
      </c>
      <c r="G101" s="1">
        <v>0.4</v>
      </c>
      <c r="H101" s="1">
        <f t="shared" si="5"/>
        <v>813.6</v>
      </c>
      <c r="I101" s="1" t="s">
        <v>982</v>
      </c>
    </row>
    <row r="102" s="1" customFormat="1" customHeight="1" spans="1:9">
      <c r="A102" s="7">
        <v>45979</v>
      </c>
      <c r="B102" s="1" t="s">
        <v>113</v>
      </c>
      <c r="C102" s="1" t="s">
        <v>2556</v>
      </c>
      <c r="D102" s="1" t="s">
        <v>130</v>
      </c>
      <c r="E102" s="1" t="s">
        <v>1621</v>
      </c>
      <c r="F102" s="1">
        <v>504</v>
      </c>
      <c r="G102" s="1">
        <v>0.47</v>
      </c>
      <c r="H102" s="1">
        <f t="shared" si="5"/>
        <v>236.88</v>
      </c>
      <c r="I102" s="1" t="s">
        <v>1465</v>
      </c>
    </row>
    <row r="103" s="1" customFormat="1" customHeight="1" spans="1:9">
      <c r="A103" s="7">
        <v>45979</v>
      </c>
      <c r="B103" s="1" t="s">
        <v>113</v>
      </c>
      <c r="C103" s="1" t="s">
        <v>2557</v>
      </c>
      <c r="D103" s="1" t="s">
        <v>115</v>
      </c>
      <c r="E103" s="1" t="s">
        <v>222</v>
      </c>
      <c r="F103" s="1">
        <v>17050</v>
      </c>
      <c r="G103" s="1">
        <v>0.45</v>
      </c>
      <c r="H103" s="1">
        <f t="shared" si="5"/>
        <v>7672.5</v>
      </c>
      <c r="I103" s="1" t="s">
        <v>189</v>
      </c>
    </row>
    <row r="104" s="1" customFormat="1" customHeight="1" spans="1:9">
      <c r="A104" s="7">
        <v>45979</v>
      </c>
      <c r="B104" s="1" t="s">
        <v>113</v>
      </c>
      <c r="C104" s="1" t="s">
        <v>2558</v>
      </c>
      <c r="D104" s="1" t="s">
        <v>1962</v>
      </c>
      <c r="E104" s="1" t="s">
        <v>222</v>
      </c>
      <c r="F104" s="1">
        <v>3010</v>
      </c>
      <c r="G104" s="1">
        <v>0.6</v>
      </c>
      <c r="H104" s="1">
        <f t="shared" si="5"/>
        <v>1806</v>
      </c>
      <c r="I104" s="1" t="s">
        <v>982</v>
      </c>
    </row>
    <row r="105" s="1" customFormat="1" customHeight="1" spans="1:9">
      <c r="A105" s="7">
        <v>45979</v>
      </c>
      <c r="B105" s="1" t="s">
        <v>113</v>
      </c>
      <c r="C105" s="1" t="s">
        <v>2558</v>
      </c>
      <c r="D105" s="1" t="s">
        <v>107</v>
      </c>
      <c r="E105" s="1" t="s">
        <v>222</v>
      </c>
      <c r="F105" s="1">
        <v>20</v>
      </c>
      <c r="G105" s="1">
        <v>0</v>
      </c>
      <c r="H105" s="1">
        <f t="shared" si="5"/>
        <v>0</v>
      </c>
      <c r="I105" s="1" t="s">
        <v>32</v>
      </c>
    </row>
    <row r="106" s="1" customFormat="1" customHeight="1" spans="1:9">
      <c r="A106" s="7">
        <v>45979</v>
      </c>
      <c r="B106" s="1" t="s">
        <v>113</v>
      </c>
      <c r="C106" s="1" t="s">
        <v>2558</v>
      </c>
      <c r="D106" s="1" t="s">
        <v>107</v>
      </c>
      <c r="E106" s="1" t="s">
        <v>1273</v>
      </c>
      <c r="F106" s="1">
        <v>40</v>
      </c>
      <c r="G106" s="1">
        <v>0</v>
      </c>
      <c r="H106" s="1">
        <f t="shared" si="5"/>
        <v>0</v>
      </c>
      <c r="I106" s="1" t="s">
        <v>35</v>
      </c>
    </row>
    <row r="107" s="1" customFormat="1" customHeight="1" spans="1:9">
      <c r="A107" s="7">
        <v>45980</v>
      </c>
      <c r="B107" s="1" t="s">
        <v>113</v>
      </c>
      <c r="C107" s="1" t="s">
        <v>2559</v>
      </c>
      <c r="D107" s="1" t="s">
        <v>130</v>
      </c>
      <c r="E107" s="1" t="s">
        <v>222</v>
      </c>
      <c r="F107" s="1">
        <v>750</v>
      </c>
      <c r="G107" s="1">
        <v>0.38</v>
      </c>
      <c r="H107" s="1">
        <f t="shared" ref="H107:H124" si="6">F107*G107</f>
        <v>285</v>
      </c>
      <c r="I107" s="1" t="s">
        <v>149</v>
      </c>
    </row>
    <row r="108" s="1" customFormat="1" customHeight="1" spans="1:9">
      <c r="A108" s="7">
        <v>45980</v>
      </c>
      <c r="B108" s="1" t="s">
        <v>113</v>
      </c>
      <c r="C108" s="1" t="s">
        <v>2559</v>
      </c>
      <c r="D108" s="1" t="s">
        <v>59</v>
      </c>
      <c r="E108" s="1" t="s">
        <v>1273</v>
      </c>
      <c r="F108" s="1">
        <v>21070</v>
      </c>
      <c r="G108" s="1">
        <v>0.47</v>
      </c>
      <c r="H108" s="1">
        <f t="shared" si="6"/>
        <v>9902.9</v>
      </c>
      <c r="I108" s="1" t="s">
        <v>65</v>
      </c>
    </row>
    <row r="109" s="1" customFormat="1" customHeight="1" spans="1:9">
      <c r="A109" s="7">
        <v>45980</v>
      </c>
      <c r="B109" s="1" t="s">
        <v>113</v>
      </c>
      <c r="C109" s="1" t="s">
        <v>2559</v>
      </c>
      <c r="D109" s="1" t="s">
        <v>128</v>
      </c>
      <c r="E109" s="1" t="s">
        <v>222</v>
      </c>
      <c r="F109" s="1">
        <v>20020</v>
      </c>
      <c r="G109" s="1">
        <v>0.48</v>
      </c>
      <c r="H109" s="1">
        <f t="shared" si="6"/>
        <v>9609.6</v>
      </c>
      <c r="I109" s="1" t="s">
        <v>1453</v>
      </c>
    </row>
    <row r="110" s="1" customFormat="1" customHeight="1" spans="1:9">
      <c r="A110" s="7">
        <v>45980</v>
      </c>
      <c r="B110" s="1" t="s">
        <v>113</v>
      </c>
      <c r="C110" s="1" t="s">
        <v>2559</v>
      </c>
      <c r="D110" s="1" t="s">
        <v>59</v>
      </c>
      <c r="E110" s="1" t="s">
        <v>222</v>
      </c>
      <c r="F110" s="1">
        <v>2005</v>
      </c>
      <c r="G110" s="1">
        <v>0.45</v>
      </c>
      <c r="H110" s="1">
        <f t="shared" si="6"/>
        <v>902.25</v>
      </c>
      <c r="I110" s="1" t="s">
        <v>746</v>
      </c>
    </row>
    <row r="111" s="1" customFormat="1" customHeight="1" spans="1:9">
      <c r="A111" s="7">
        <v>45980</v>
      </c>
      <c r="B111" s="1" t="s">
        <v>113</v>
      </c>
      <c r="C111" s="1" t="s">
        <v>2559</v>
      </c>
      <c r="D111" s="1" t="s">
        <v>1958</v>
      </c>
      <c r="E111" s="1" t="s">
        <v>1621</v>
      </c>
      <c r="F111" s="1">
        <v>6010</v>
      </c>
      <c r="G111" s="1">
        <v>0.5</v>
      </c>
      <c r="H111" s="1">
        <f t="shared" si="6"/>
        <v>3005</v>
      </c>
      <c r="I111" s="1" t="s">
        <v>437</v>
      </c>
    </row>
    <row r="112" s="1" customFormat="1" customHeight="1" spans="1:9">
      <c r="A112" s="7">
        <v>45980</v>
      </c>
      <c r="B112" s="1" t="s">
        <v>113</v>
      </c>
      <c r="C112" s="1" t="s">
        <v>2559</v>
      </c>
      <c r="D112" s="1" t="s">
        <v>59</v>
      </c>
      <c r="E112" s="1" t="s">
        <v>222</v>
      </c>
      <c r="F112" s="1">
        <v>24049</v>
      </c>
      <c r="G112" s="1">
        <v>0.45</v>
      </c>
      <c r="H112" s="1">
        <f t="shared" si="6"/>
        <v>10822.05</v>
      </c>
      <c r="I112" s="1" t="s">
        <v>982</v>
      </c>
    </row>
    <row r="113" s="1" customFormat="1" customHeight="1" spans="1:9">
      <c r="A113" s="7">
        <v>45980</v>
      </c>
      <c r="B113" s="1" t="s">
        <v>113</v>
      </c>
      <c r="C113" s="1" t="s">
        <v>2560</v>
      </c>
      <c r="D113" s="1" t="s">
        <v>130</v>
      </c>
      <c r="E113" s="1" t="s">
        <v>361</v>
      </c>
      <c r="F113" s="1">
        <v>15</v>
      </c>
      <c r="G113" s="1">
        <v>0</v>
      </c>
      <c r="H113" s="1">
        <f t="shared" si="6"/>
        <v>0</v>
      </c>
      <c r="I113" s="1" t="s">
        <v>32</v>
      </c>
    </row>
    <row r="114" s="1" customFormat="1" customHeight="1" spans="1:9">
      <c r="A114" s="7">
        <v>45981</v>
      </c>
      <c r="B114" s="1" t="s">
        <v>113</v>
      </c>
      <c r="C114" s="1" t="s">
        <v>2561</v>
      </c>
      <c r="D114" s="1" t="s">
        <v>59</v>
      </c>
      <c r="E114" s="1" t="s">
        <v>1621</v>
      </c>
      <c r="F114" s="1">
        <v>20550</v>
      </c>
      <c r="G114" s="1">
        <v>0.5</v>
      </c>
      <c r="H114" s="1">
        <f t="shared" si="6"/>
        <v>10275</v>
      </c>
      <c r="I114" s="1" t="s">
        <v>35</v>
      </c>
    </row>
    <row r="115" s="1" customFormat="1" customHeight="1" spans="1:9">
      <c r="A115" s="7">
        <v>45981</v>
      </c>
      <c r="B115" s="1" t="s">
        <v>113</v>
      </c>
      <c r="C115" s="1" t="s">
        <v>2562</v>
      </c>
      <c r="D115" s="1" t="s">
        <v>70</v>
      </c>
      <c r="E115" s="1" t="s">
        <v>14</v>
      </c>
      <c r="F115" s="1">
        <v>20</v>
      </c>
      <c r="G115" s="1">
        <v>0</v>
      </c>
      <c r="H115" s="1">
        <f t="shared" si="6"/>
        <v>0</v>
      </c>
      <c r="I115" s="1" t="s">
        <v>32</v>
      </c>
    </row>
    <row r="116" s="1" customFormat="1" customHeight="1" spans="1:9">
      <c r="A116" s="7">
        <v>45981</v>
      </c>
      <c r="B116" s="1" t="s">
        <v>113</v>
      </c>
      <c r="C116" s="1" t="s">
        <v>2562</v>
      </c>
      <c r="D116" s="1" t="s">
        <v>627</v>
      </c>
      <c r="E116" s="1" t="s">
        <v>222</v>
      </c>
      <c r="F116" s="1">
        <v>10</v>
      </c>
      <c r="G116" s="1">
        <v>0</v>
      </c>
      <c r="H116" s="1">
        <f t="shared" si="6"/>
        <v>0</v>
      </c>
      <c r="I116" s="1" t="s">
        <v>32</v>
      </c>
    </row>
    <row r="117" s="1" customFormat="1" customHeight="1" spans="1:9">
      <c r="A117" s="7">
        <v>45982</v>
      </c>
      <c r="B117" s="1" t="s">
        <v>113</v>
      </c>
      <c r="C117" s="1" t="s">
        <v>2562</v>
      </c>
      <c r="D117" s="1" t="s">
        <v>76</v>
      </c>
      <c r="E117" s="1" t="s">
        <v>361</v>
      </c>
      <c r="F117" s="1">
        <v>15</v>
      </c>
      <c r="G117" s="1">
        <v>0</v>
      </c>
      <c r="H117" s="1">
        <f t="shared" si="6"/>
        <v>0</v>
      </c>
      <c r="I117" s="1" t="s">
        <v>32</v>
      </c>
    </row>
    <row r="118" s="1" customFormat="1" customHeight="1" spans="1:9">
      <c r="A118" s="7">
        <v>45982</v>
      </c>
      <c r="B118" s="1" t="s">
        <v>113</v>
      </c>
      <c r="C118" s="1" t="s">
        <v>2562</v>
      </c>
      <c r="D118" s="1" t="s">
        <v>1962</v>
      </c>
      <c r="E118" s="1" t="s">
        <v>222</v>
      </c>
      <c r="F118" s="1">
        <v>63</v>
      </c>
      <c r="G118" s="1">
        <v>0.6</v>
      </c>
      <c r="H118" s="1">
        <f t="shared" si="6"/>
        <v>37.8</v>
      </c>
      <c r="I118" s="1" t="s">
        <v>982</v>
      </c>
    </row>
    <row r="119" s="1" customFormat="1" customHeight="1" spans="1:9">
      <c r="A119" s="7">
        <v>45983</v>
      </c>
      <c r="B119" s="1" t="s">
        <v>113</v>
      </c>
      <c r="C119" s="1" t="s">
        <v>2563</v>
      </c>
      <c r="D119" s="1" t="s">
        <v>76</v>
      </c>
      <c r="E119" s="1" t="s">
        <v>1621</v>
      </c>
      <c r="F119" s="1">
        <v>3410</v>
      </c>
      <c r="G119" s="1">
        <v>0.5</v>
      </c>
      <c r="H119" s="1">
        <f t="shared" si="6"/>
        <v>1705</v>
      </c>
      <c r="I119" s="1" t="s">
        <v>999</v>
      </c>
    </row>
    <row r="120" s="1" customFormat="1" customHeight="1" spans="1:9">
      <c r="A120" s="7">
        <v>45983</v>
      </c>
      <c r="B120" s="1" t="s">
        <v>113</v>
      </c>
      <c r="C120" s="1" t="s">
        <v>2563</v>
      </c>
      <c r="D120" s="1" t="s">
        <v>76</v>
      </c>
      <c r="E120" s="1" t="s">
        <v>1621</v>
      </c>
      <c r="F120" s="1">
        <v>2075</v>
      </c>
      <c r="G120" s="1">
        <v>0.52</v>
      </c>
      <c r="H120" s="1">
        <f t="shared" si="6"/>
        <v>1079</v>
      </c>
      <c r="I120" s="1" t="s">
        <v>126</v>
      </c>
    </row>
    <row r="121" s="1" customFormat="1" customHeight="1" spans="1:9">
      <c r="A121" s="7">
        <v>45983</v>
      </c>
      <c r="B121" s="1" t="s">
        <v>113</v>
      </c>
      <c r="C121" s="1" t="s">
        <v>2563</v>
      </c>
      <c r="D121" s="1" t="s">
        <v>128</v>
      </c>
      <c r="E121" s="1" t="s">
        <v>222</v>
      </c>
      <c r="F121" s="1">
        <v>420</v>
      </c>
      <c r="G121" s="1">
        <v>0.45</v>
      </c>
      <c r="H121" s="1">
        <f t="shared" si="6"/>
        <v>189</v>
      </c>
      <c r="I121" s="1" t="s">
        <v>89</v>
      </c>
    </row>
    <row r="122" s="1" customFormat="1" customHeight="1" spans="1:9">
      <c r="A122" s="7">
        <v>45983</v>
      </c>
      <c r="B122" s="1" t="s">
        <v>113</v>
      </c>
      <c r="C122" s="1" t="s">
        <v>2563</v>
      </c>
      <c r="D122" s="1" t="s">
        <v>627</v>
      </c>
      <c r="E122" s="1" t="s">
        <v>361</v>
      </c>
      <c r="F122" s="1">
        <v>15</v>
      </c>
      <c r="G122" s="1">
        <v>0</v>
      </c>
      <c r="H122" s="1">
        <f t="shared" si="6"/>
        <v>0</v>
      </c>
      <c r="I122" s="1" t="s">
        <v>32</v>
      </c>
    </row>
    <row r="123" s="1" customFormat="1" customHeight="1" spans="1:9">
      <c r="A123" s="7">
        <v>45983</v>
      </c>
      <c r="B123" s="1" t="s">
        <v>113</v>
      </c>
      <c r="C123" s="1" t="s">
        <v>2563</v>
      </c>
      <c r="D123" s="1" t="s">
        <v>122</v>
      </c>
      <c r="E123" s="1" t="s">
        <v>361</v>
      </c>
      <c r="F123" s="1">
        <v>35</v>
      </c>
      <c r="G123" s="1">
        <v>0.8</v>
      </c>
      <c r="H123" s="1">
        <f t="shared" si="6"/>
        <v>28</v>
      </c>
      <c r="I123" s="1" t="s">
        <v>28</v>
      </c>
    </row>
    <row r="124" s="1" customFormat="1" customHeight="1" spans="1:9">
      <c r="A124" s="7">
        <v>45983</v>
      </c>
      <c r="B124" s="1" t="s">
        <v>113</v>
      </c>
      <c r="C124" s="1" t="s">
        <v>2563</v>
      </c>
      <c r="D124" s="1" t="s">
        <v>1958</v>
      </c>
      <c r="E124" s="1" t="s">
        <v>222</v>
      </c>
      <c r="F124" s="1">
        <v>40</v>
      </c>
      <c r="G124" s="1">
        <v>0.45</v>
      </c>
      <c r="H124" s="1">
        <f t="shared" si="6"/>
        <v>18</v>
      </c>
      <c r="I124" s="1" t="s">
        <v>32</v>
      </c>
    </row>
    <row r="125" s="1" customFormat="1" customHeight="1" spans="1:9">
      <c r="A125" s="7">
        <v>45984</v>
      </c>
      <c r="B125" s="1" t="s">
        <v>113</v>
      </c>
      <c r="C125" s="1" t="s">
        <v>2564</v>
      </c>
      <c r="D125" s="1" t="s">
        <v>70</v>
      </c>
      <c r="E125" s="1" t="s">
        <v>1273</v>
      </c>
      <c r="F125" s="1">
        <v>15000</v>
      </c>
      <c r="G125" s="1">
        <v>0.59</v>
      </c>
      <c r="H125" s="1">
        <f t="shared" ref="H125:H133" si="7">F125*G125</f>
        <v>8850</v>
      </c>
      <c r="I125" s="1" t="s">
        <v>45</v>
      </c>
    </row>
    <row r="126" s="1" customFormat="1" customHeight="1" spans="1:9">
      <c r="A126" s="7">
        <v>45984</v>
      </c>
      <c r="B126" s="1" t="s">
        <v>113</v>
      </c>
      <c r="C126" s="1" t="s">
        <v>2564</v>
      </c>
      <c r="D126" s="1" t="s">
        <v>130</v>
      </c>
      <c r="E126" s="1" t="s">
        <v>222</v>
      </c>
      <c r="F126" s="1">
        <v>4105</v>
      </c>
      <c r="G126" s="1">
        <v>0.38</v>
      </c>
      <c r="H126" s="1">
        <f t="shared" si="7"/>
        <v>1559.9</v>
      </c>
      <c r="I126" s="1" t="s">
        <v>149</v>
      </c>
    </row>
    <row r="127" s="1" customFormat="1" customHeight="1" spans="1:9">
      <c r="A127" s="7">
        <v>45984</v>
      </c>
      <c r="B127" s="1" t="s">
        <v>113</v>
      </c>
      <c r="C127" s="1" t="s">
        <v>2564</v>
      </c>
      <c r="D127" s="1" t="s">
        <v>130</v>
      </c>
      <c r="E127" s="1" t="s">
        <v>1621</v>
      </c>
      <c r="F127" s="1">
        <v>6510</v>
      </c>
      <c r="G127" s="1">
        <v>0.47</v>
      </c>
      <c r="H127" s="1">
        <f t="shared" si="7"/>
        <v>3059.7</v>
      </c>
      <c r="I127" s="1" t="s">
        <v>117</v>
      </c>
    </row>
    <row r="128" s="1" customFormat="1" customHeight="1" spans="1:9">
      <c r="A128" s="7">
        <v>45984</v>
      </c>
      <c r="B128" s="1" t="s">
        <v>113</v>
      </c>
      <c r="C128" s="1" t="s">
        <v>2564</v>
      </c>
      <c r="D128" s="1" t="s">
        <v>76</v>
      </c>
      <c r="E128" s="1" t="s">
        <v>2399</v>
      </c>
      <c r="F128" s="1">
        <v>2110</v>
      </c>
      <c r="G128" s="1">
        <v>0.5</v>
      </c>
      <c r="H128" s="1">
        <f t="shared" si="7"/>
        <v>1055</v>
      </c>
      <c r="I128" s="1" t="s">
        <v>117</v>
      </c>
    </row>
    <row r="129" s="1" customFormat="1" customHeight="1" spans="1:10">
      <c r="A129" s="7">
        <v>45984</v>
      </c>
      <c r="B129" s="1" t="s">
        <v>113</v>
      </c>
      <c r="C129" s="1" t="s">
        <v>2564</v>
      </c>
      <c r="D129" s="1" t="s">
        <v>122</v>
      </c>
      <c r="E129" s="1" t="s">
        <v>207</v>
      </c>
      <c r="F129" s="1">
        <v>9820</v>
      </c>
      <c r="G129" s="1">
        <v>0.53</v>
      </c>
      <c r="H129" s="1">
        <f t="shared" si="7"/>
        <v>5204.6</v>
      </c>
      <c r="I129" s="1" t="s">
        <v>340</v>
      </c>
    </row>
    <row r="130" s="1" customFormat="1" customHeight="1" spans="1:10">
      <c r="A130" s="7">
        <v>45984</v>
      </c>
      <c r="B130" s="1" t="s">
        <v>113</v>
      </c>
      <c r="C130" s="1" t="s">
        <v>2564</v>
      </c>
      <c r="D130" s="1" t="s">
        <v>59</v>
      </c>
      <c r="E130" s="1" t="s">
        <v>222</v>
      </c>
      <c r="F130" s="1">
        <v>4010</v>
      </c>
      <c r="G130" s="1">
        <v>0.45</v>
      </c>
      <c r="H130" s="1">
        <f t="shared" si="7"/>
        <v>1804.5</v>
      </c>
      <c r="I130" s="1" t="s">
        <v>1206</v>
      </c>
    </row>
    <row r="131" s="1" customFormat="1" customHeight="1" spans="1:10">
      <c r="A131" s="7">
        <v>45984</v>
      </c>
      <c r="B131" s="1" t="s">
        <v>113</v>
      </c>
      <c r="C131" s="1" t="s">
        <v>2564</v>
      </c>
      <c r="D131" s="1" t="s">
        <v>59</v>
      </c>
      <c r="E131" s="1" t="s">
        <v>1273</v>
      </c>
      <c r="F131" s="1">
        <v>430</v>
      </c>
      <c r="G131" s="1">
        <v>0.47</v>
      </c>
      <c r="H131" s="1">
        <f t="shared" si="7"/>
        <v>202.1</v>
      </c>
      <c r="I131" s="1" t="s">
        <v>65</v>
      </c>
    </row>
    <row r="132" s="1" customFormat="1" customHeight="1" spans="1:10">
      <c r="A132" s="7">
        <v>45984</v>
      </c>
      <c r="B132" s="1" t="s">
        <v>113</v>
      </c>
      <c r="C132" s="1" t="s">
        <v>2564</v>
      </c>
      <c r="D132" s="1" t="s">
        <v>1958</v>
      </c>
      <c r="E132" s="1" t="s">
        <v>1273</v>
      </c>
      <c r="F132" s="1">
        <v>385</v>
      </c>
      <c r="G132" s="1">
        <v>0.47</v>
      </c>
      <c r="H132" s="1">
        <f t="shared" si="7"/>
        <v>180.95</v>
      </c>
      <c r="I132" s="1" t="s">
        <v>65</v>
      </c>
    </row>
    <row r="133" s="1" customFormat="1" customHeight="1" spans="1:10">
      <c r="A133" s="7">
        <v>45984</v>
      </c>
      <c r="B133" s="1" t="s">
        <v>113</v>
      </c>
      <c r="C133" s="1" t="s">
        <v>2564</v>
      </c>
      <c r="D133" s="1" t="s">
        <v>59</v>
      </c>
      <c r="E133" s="1" t="s">
        <v>1273</v>
      </c>
      <c r="F133" s="1">
        <v>250</v>
      </c>
      <c r="G133" s="1">
        <v>0.47</v>
      </c>
      <c r="H133" s="1">
        <f t="shared" si="7"/>
        <v>117.5</v>
      </c>
      <c r="I133" s="1" t="s">
        <v>77</v>
      </c>
    </row>
    <row r="134" s="1" customFormat="1" customHeight="1" spans="1:10">
      <c r="A134" s="7">
        <v>45957</v>
      </c>
      <c r="B134" s="1" t="s">
        <v>11</v>
      </c>
      <c r="C134" s="1" t="s">
        <v>2565</v>
      </c>
      <c r="D134" s="1" t="s">
        <v>946</v>
      </c>
      <c r="E134" s="1" t="s">
        <v>14</v>
      </c>
      <c r="F134" s="1">
        <v>10000</v>
      </c>
      <c r="G134" s="1">
        <v>2.9</v>
      </c>
      <c r="H134" s="1">
        <f t="shared" ref="H134:H151" si="8">F134*G134</f>
        <v>29000</v>
      </c>
      <c r="I134" s="1" t="s">
        <v>396</v>
      </c>
    </row>
    <row r="135" s="1" customFormat="1" customHeight="1" spans="1:10">
      <c r="A135" s="7">
        <v>45958</v>
      </c>
      <c r="B135" s="1" t="s">
        <v>11</v>
      </c>
      <c r="C135" s="1" t="s">
        <v>2566</v>
      </c>
      <c r="D135" s="1" t="s">
        <v>282</v>
      </c>
      <c r="E135" s="1" t="s">
        <v>14</v>
      </c>
      <c r="F135" s="1">
        <v>2510</v>
      </c>
      <c r="G135" s="1">
        <v>0.9</v>
      </c>
      <c r="H135" s="1">
        <f t="shared" si="8"/>
        <v>2259</v>
      </c>
      <c r="I135" s="1" t="s">
        <v>283</v>
      </c>
    </row>
    <row r="136" s="1" customFormat="1" customHeight="1" spans="1:10">
      <c r="A136" s="7">
        <v>45958</v>
      </c>
      <c r="B136" s="1" t="s">
        <v>11</v>
      </c>
      <c r="C136" s="1" t="s">
        <v>2566</v>
      </c>
      <c r="D136" s="1" t="s">
        <v>290</v>
      </c>
      <c r="E136" s="1" t="s">
        <v>14</v>
      </c>
      <c r="F136" s="1">
        <v>3000</v>
      </c>
      <c r="G136" s="1">
        <v>0.9</v>
      </c>
      <c r="H136" s="1">
        <f t="shared" si="8"/>
        <v>2700</v>
      </c>
      <c r="I136" s="1" t="s">
        <v>45</v>
      </c>
    </row>
    <row r="137" s="1" customFormat="1" customHeight="1" spans="1:10">
      <c r="A137" s="7">
        <v>45958</v>
      </c>
      <c r="B137" s="1" t="s">
        <v>11</v>
      </c>
      <c r="C137" s="1" t="s">
        <v>2566</v>
      </c>
      <c r="D137" s="1" t="s">
        <v>523</v>
      </c>
      <c r="E137" s="1" t="s">
        <v>14</v>
      </c>
      <c r="F137" s="1">
        <v>20000</v>
      </c>
      <c r="G137" s="1">
        <v>0.83</v>
      </c>
      <c r="H137" s="1">
        <f t="shared" si="8"/>
        <v>16600</v>
      </c>
      <c r="I137" s="1" t="s">
        <v>2567</v>
      </c>
      <c r="J137" s="1" t="s">
        <v>46</v>
      </c>
    </row>
    <row r="138" s="1" customFormat="1" customHeight="1" spans="1:10">
      <c r="A138" s="7">
        <v>45958</v>
      </c>
      <c r="B138" s="1" t="s">
        <v>11</v>
      </c>
      <c r="C138" s="1" t="s">
        <v>2566</v>
      </c>
      <c r="D138" s="1" t="s">
        <v>252</v>
      </c>
      <c r="E138" s="1" t="s">
        <v>14</v>
      </c>
      <c r="F138" s="1">
        <v>37400</v>
      </c>
      <c r="G138" s="1">
        <v>0.55</v>
      </c>
      <c r="H138" s="1">
        <f t="shared" si="8"/>
        <v>20570</v>
      </c>
      <c r="I138" s="1" t="s">
        <v>2448</v>
      </c>
      <c r="J138" s="1" t="s">
        <v>46</v>
      </c>
    </row>
    <row r="139" s="1" customFormat="1" customHeight="1" spans="1:10">
      <c r="A139" s="7">
        <v>45958</v>
      </c>
      <c r="B139" s="1" t="s">
        <v>11</v>
      </c>
      <c r="C139" s="1" t="s">
        <v>2566</v>
      </c>
      <c r="D139" s="1" t="s">
        <v>493</v>
      </c>
      <c r="E139" s="1" t="s">
        <v>14</v>
      </c>
      <c r="F139" s="1">
        <v>28000</v>
      </c>
      <c r="G139" s="1">
        <v>0.8</v>
      </c>
      <c r="H139" s="1">
        <f t="shared" si="8"/>
        <v>22400</v>
      </c>
      <c r="I139" s="1" t="s">
        <v>61</v>
      </c>
      <c r="J139" s="1" t="s">
        <v>46</v>
      </c>
    </row>
    <row r="140" s="1" customFormat="1" customHeight="1" spans="1:10">
      <c r="A140" s="7">
        <v>45958</v>
      </c>
      <c r="B140" s="1" t="s">
        <v>11</v>
      </c>
      <c r="C140" s="1" t="s">
        <v>2566</v>
      </c>
      <c r="D140" s="1" t="s">
        <v>277</v>
      </c>
      <c r="E140" s="1" t="s">
        <v>14</v>
      </c>
      <c r="F140" s="1">
        <v>30000</v>
      </c>
      <c r="G140" s="1">
        <v>0.95</v>
      </c>
      <c r="H140" s="1">
        <f t="shared" si="8"/>
        <v>28500</v>
      </c>
      <c r="I140" s="1" t="s">
        <v>61</v>
      </c>
      <c r="J140" s="1" t="s">
        <v>46</v>
      </c>
    </row>
    <row r="141" s="1" customFormat="1" customHeight="1" spans="1:10">
      <c r="A141" s="7">
        <v>45958</v>
      </c>
      <c r="B141" s="1" t="s">
        <v>11</v>
      </c>
      <c r="C141" s="1" t="s">
        <v>2568</v>
      </c>
      <c r="D141" s="1" t="s">
        <v>762</v>
      </c>
      <c r="E141" s="1" t="s">
        <v>14</v>
      </c>
      <c r="F141" s="1">
        <v>1020</v>
      </c>
      <c r="G141" s="1">
        <v>1.1</v>
      </c>
      <c r="H141" s="1">
        <f t="shared" si="8"/>
        <v>1122</v>
      </c>
      <c r="I141" s="1" t="s">
        <v>570</v>
      </c>
    </row>
    <row r="142" s="1" customFormat="1" customHeight="1" spans="1:10">
      <c r="A142" s="7">
        <v>45960</v>
      </c>
      <c r="B142" s="1" t="s">
        <v>11</v>
      </c>
      <c r="C142" s="1" t="s">
        <v>2569</v>
      </c>
      <c r="D142" s="1" t="s">
        <v>34</v>
      </c>
      <c r="E142" s="1" t="s">
        <v>14</v>
      </c>
      <c r="F142" s="1">
        <v>50</v>
      </c>
      <c r="G142" s="1">
        <v>1.1</v>
      </c>
      <c r="H142" s="1">
        <f t="shared" si="8"/>
        <v>55</v>
      </c>
      <c r="I142" s="1" t="s">
        <v>28</v>
      </c>
    </row>
    <row r="143" s="1" customFormat="1" customHeight="1" spans="1:10">
      <c r="A143" s="7">
        <v>45960</v>
      </c>
      <c r="B143" s="1" t="s">
        <v>11</v>
      </c>
      <c r="C143" s="1" t="s">
        <v>2569</v>
      </c>
      <c r="D143" s="1" t="s">
        <v>2570</v>
      </c>
      <c r="E143" s="1" t="s">
        <v>14</v>
      </c>
      <c r="F143" s="1">
        <v>50</v>
      </c>
      <c r="G143" s="1">
        <v>2.5</v>
      </c>
      <c r="H143" s="1">
        <f t="shared" si="8"/>
        <v>125</v>
      </c>
      <c r="I143" s="1" t="s">
        <v>28</v>
      </c>
    </row>
    <row r="144" s="1" customFormat="1" customHeight="1" spans="1:10">
      <c r="A144" s="7">
        <v>45960</v>
      </c>
      <c r="B144" s="1" t="s">
        <v>11</v>
      </c>
      <c r="C144" s="1" t="s">
        <v>2569</v>
      </c>
      <c r="D144" s="1" t="s">
        <v>252</v>
      </c>
      <c r="E144" s="1" t="s">
        <v>14</v>
      </c>
      <c r="F144" s="1">
        <v>3005</v>
      </c>
      <c r="G144" s="1">
        <v>0.55</v>
      </c>
      <c r="H144" s="1">
        <f t="shared" si="8"/>
        <v>1652.75</v>
      </c>
      <c r="I144" s="1" t="s">
        <v>2571</v>
      </c>
      <c r="J144" s="1" t="s">
        <v>46</v>
      </c>
    </row>
    <row r="145" s="1" customFormat="1" customHeight="1" spans="1:10">
      <c r="A145" s="7">
        <v>45960</v>
      </c>
      <c r="B145" s="1" t="s">
        <v>11</v>
      </c>
      <c r="C145" s="1" t="s">
        <v>2572</v>
      </c>
      <c r="D145" s="1" t="s">
        <v>382</v>
      </c>
      <c r="E145" s="1" t="s">
        <v>14</v>
      </c>
      <c r="F145" s="1">
        <v>30</v>
      </c>
      <c r="G145" s="1">
        <v>0.65</v>
      </c>
      <c r="H145" s="1">
        <f t="shared" si="8"/>
        <v>19.5</v>
      </c>
      <c r="I145" s="1" t="s">
        <v>363</v>
      </c>
      <c r="J145" s="1" t="s">
        <v>46</v>
      </c>
    </row>
    <row r="146" s="1" customFormat="1" customHeight="1" spans="1:10">
      <c r="A146" s="7">
        <v>45961</v>
      </c>
      <c r="B146" s="1" t="s">
        <v>11</v>
      </c>
      <c r="C146" s="1" t="s">
        <v>2573</v>
      </c>
      <c r="D146" s="1" t="s">
        <v>181</v>
      </c>
      <c r="E146" s="1" t="s">
        <v>14</v>
      </c>
      <c r="F146" s="1">
        <v>2300</v>
      </c>
      <c r="G146" s="1">
        <v>2.3</v>
      </c>
      <c r="H146" s="1">
        <f t="shared" si="8"/>
        <v>5290</v>
      </c>
      <c r="I146" s="1" t="s">
        <v>2400</v>
      </c>
      <c r="J146" s="1" t="s">
        <v>46</v>
      </c>
    </row>
    <row r="147" s="1" customFormat="1" customHeight="1" spans="1:10">
      <c r="A147" s="7">
        <v>45961</v>
      </c>
      <c r="B147" s="1" t="s">
        <v>11</v>
      </c>
      <c r="C147" s="1" t="s">
        <v>2573</v>
      </c>
      <c r="D147" s="1" t="s">
        <v>2312</v>
      </c>
      <c r="E147" s="1" t="s">
        <v>14</v>
      </c>
      <c r="F147" s="1">
        <v>100</v>
      </c>
      <c r="G147" s="1">
        <v>1.15</v>
      </c>
      <c r="H147" s="1">
        <f t="shared" si="8"/>
        <v>115</v>
      </c>
      <c r="I147" s="1" t="s">
        <v>2574</v>
      </c>
      <c r="J147" s="1" t="s">
        <v>46</v>
      </c>
    </row>
    <row r="148" s="1" customFormat="1" customHeight="1" spans="1:10">
      <c r="A148" s="7">
        <v>45961</v>
      </c>
      <c r="B148" s="1" t="s">
        <v>11</v>
      </c>
      <c r="C148" s="1" t="s">
        <v>2573</v>
      </c>
      <c r="D148" s="1" t="s">
        <v>380</v>
      </c>
      <c r="E148" s="1" t="s">
        <v>14</v>
      </c>
      <c r="F148" s="1">
        <v>100</v>
      </c>
      <c r="G148" s="1">
        <v>0.9</v>
      </c>
      <c r="H148" s="1">
        <f t="shared" si="8"/>
        <v>90</v>
      </c>
      <c r="I148" s="1" t="s">
        <v>2574</v>
      </c>
      <c r="J148" s="1" t="s">
        <v>46</v>
      </c>
    </row>
    <row r="149" s="1" customFormat="1" customHeight="1" spans="1:10">
      <c r="A149" s="7">
        <v>45961</v>
      </c>
      <c r="B149" s="1" t="s">
        <v>11</v>
      </c>
      <c r="C149" s="1" t="s">
        <v>2573</v>
      </c>
      <c r="D149" s="1" t="s">
        <v>252</v>
      </c>
      <c r="E149" s="1" t="s">
        <v>14</v>
      </c>
      <c r="F149" s="1">
        <v>12600</v>
      </c>
      <c r="G149" s="1">
        <v>0.55</v>
      </c>
      <c r="H149" s="1">
        <f t="shared" si="8"/>
        <v>6930</v>
      </c>
      <c r="I149" s="1" t="s">
        <v>2448</v>
      </c>
      <c r="J149" s="1" t="s">
        <v>46</v>
      </c>
    </row>
    <row r="150" s="1" customFormat="1" customHeight="1" spans="1:10">
      <c r="A150" s="7">
        <v>45961</v>
      </c>
      <c r="B150" s="1" t="s">
        <v>11</v>
      </c>
      <c r="C150" s="1" t="s">
        <v>2575</v>
      </c>
      <c r="D150" s="1" t="s">
        <v>2576</v>
      </c>
      <c r="E150" s="1" t="s">
        <v>14</v>
      </c>
      <c r="F150" s="1">
        <v>53</v>
      </c>
      <c r="G150" s="1">
        <v>1.2</v>
      </c>
      <c r="H150" s="1">
        <f t="shared" si="8"/>
        <v>63.6</v>
      </c>
      <c r="I150" s="1" t="s">
        <v>28</v>
      </c>
    </row>
    <row r="151" s="1" customFormat="1" customHeight="1" spans="1:10">
      <c r="A151" s="7">
        <v>45961</v>
      </c>
      <c r="B151" s="1" t="s">
        <v>11</v>
      </c>
      <c r="C151" s="1" t="s">
        <v>2577</v>
      </c>
      <c r="D151" s="1" t="s">
        <v>398</v>
      </c>
      <c r="E151" s="1" t="s">
        <v>14</v>
      </c>
      <c r="F151" s="1">
        <v>5000</v>
      </c>
      <c r="G151" s="1">
        <v>1.1</v>
      </c>
      <c r="H151" s="1">
        <f t="shared" si="8"/>
        <v>5500</v>
      </c>
      <c r="I151" s="1" t="s">
        <v>503</v>
      </c>
      <c r="J151" s="1" t="s">
        <v>46</v>
      </c>
    </row>
    <row r="152" s="1" customFormat="1" customHeight="1" spans="1:10">
      <c r="A152" s="7">
        <v>45964</v>
      </c>
      <c r="B152" s="1" t="s">
        <v>11</v>
      </c>
      <c r="C152" s="1" t="s">
        <v>2578</v>
      </c>
      <c r="D152" s="1" t="s">
        <v>946</v>
      </c>
      <c r="E152" s="1" t="s">
        <v>14</v>
      </c>
      <c r="F152" s="1">
        <v>40000</v>
      </c>
      <c r="G152" s="1">
        <v>2.9</v>
      </c>
      <c r="H152" s="1">
        <f t="shared" ref="H152:H158" si="9">F152*G152</f>
        <v>116000</v>
      </c>
      <c r="I152" s="1" t="s">
        <v>396</v>
      </c>
    </row>
    <row r="153" s="1" customFormat="1" customHeight="1" spans="1:10">
      <c r="A153" s="7">
        <v>45965</v>
      </c>
      <c r="B153" s="1" t="s">
        <v>11</v>
      </c>
      <c r="C153" s="1" t="s">
        <v>2579</v>
      </c>
      <c r="D153" s="1" t="s">
        <v>493</v>
      </c>
      <c r="E153" s="1" t="s">
        <v>14</v>
      </c>
      <c r="F153" s="1">
        <v>700</v>
      </c>
      <c r="G153" s="1">
        <v>0.8</v>
      </c>
      <c r="H153" s="1">
        <f t="shared" si="9"/>
        <v>560</v>
      </c>
      <c r="I153" s="1" t="s">
        <v>330</v>
      </c>
    </row>
    <row r="154" s="1" customFormat="1" customHeight="1" spans="1:10">
      <c r="A154" s="7">
        <v>45965</v>
      </c>
      <c r="B154" s="1" t="s">
        <v>11</v>
      </c>
      <c r="C154" s="1" t="s">
        <v>2580</v>
      </c>
      <c r="D154" s="1" t="s">
        <v>179</v>
      </c>
      <c r="E154" s="1" t="s">
        <v>14</v>
      </c>
      <c r="F154" s="1">
        <v>16920</v>
      </c>
      <c r="G154" s="1">
        <v>1.2</v>
      </c>
      <c r="H154" s="1">
        <f t="shared" si="9"/>
        <v>20304</v>
      </c>
      <c r="I154" s="1" t="s">
        <v>61</v>
      </c>
      <c r="J154" s="1" t="s">
        <v>46</v>
      </c>
    </row>
    <row r="155" s="1" customFormat="1" customHeight="1" spans="1:10">
      <c r="A155" s="7">
        <v>45965</v>
      </c>
      <c r="B155" s="1" t="s">
        <v>11</v>
      </c>
      <c r="C155" s="1" t="s">
        <v>2580</v>
      </c>
      <c r="D155" s="1" t="s">
        <v>694</v>
      </c>
      <c r="E155" s="1" t="s">
        <v>14</v>
      </c>
      <c r="F155" s="1">
        <v>13410</v>
      </c>
      <c r="G155" s="1">
        <v>1.5</v>
      </c>
      <c r="H155" s="1">
        <f t="shared" si="9"/>
        <v>20115</v>
      </c>
      <c r="I155" s="1" t="s">
        <v>396</v>
      </c>
      <c r="J155" s="1" t="s">
        <v>46</v>
      </c>
    </row>
    <row r="156" s="1" customFormat="1" customHeight="1" spans="1:10">
      <c r="A156" s="7">
        <v>45965</v>
      </c>
      <c r="B156" s="1" t="s">
        <v>11</v>
      </c>
      <c r="C156" s="1" t="s">
        <v>2580</v>
      </c>
      <c r="D156" s="1" t="s">
        <v>694</v>
      </c>
      <c r="E156" s="1" t="s">
        <v>14</v>
      </c>
      <c r="F156" s="1">
        <v>6500</v>
      </c>
      <c r="G156" s="1">
        <v>1.6</v>
      </c>
      <c r="H156" s="1">
        <f t="shared" si="9"/>
        <v>10400</v>
      </c>
      <c r="I156" s="1" t="s">
        <v>396</v>
      </c>
      <c r="J156" s="1" t="s">
        <v>46</v>
      </c>
    </row>
    <row r="157" s="1" customFormat="1" customHeight="1" spans="1:10">
      <c r="A157" s="7">
        <v>45965</v>
      </c>
      <c r="B157" s="1" t="s">
        <v>11</v>
      </c>
      <c r="C157" s="1" t="s">
        <v>2580</v>
      </c>
      <c r="D157" s="1" t="s">
        <v>201</v>
      </c>
      <c r="E157" s="1" t="s">
        <v>14</v>
      </c>
      <c r="F157" s="1">
        <v>70000</v>
      </c>
      <c r="G157" s="1">
        <v>0.9</v>
      </c>
      <c r="H157" s="1">
        <f t="shared" si="9"/>
        <v>63000</v>
      </c>
      <c r="I157" s="1" t="s">
        <v>61</v>
      </c>
      <c r="J157" s="1" t="s">
        <v>46</v>
      </c>
    </row>
    <row r="158" s="1" customFormat="1" customHeight="1" spans="1:10">
      <c r="A158" s="7">
        <v>45965</v>
      </c>
      <c r="B158" s="1" t="s">
        <v>11</v>
      </c>
      <c r="C158" s="1" t="s">
        <v>2580</v>
      </c>
      <c r="D158" s="1" t="s">
        <v>134</v>
      </c>
      <c r="E158" s="1" t="s">
        <v>14</v>
      </c>
      <c r="F158" s="1">
        <v>50000</v>
      </c>
      <c r="G158" s="1">
        <v>0.8</v>
      </c>
      <c r="H158" s="1">
        <f t="shared" si="9"/>
        <v>40000</v>
      </c>
      <c r="I158" s="1" t="s">
        <v>61</v>
      </c>
      <c r="J158" s="1" t="s">
        <v>46</v>
      </c>
    </row>
    <row r="159" s="1" customFormat="1" customHeight="1" spans="1:10">
      <c r="A159" s="7">
        <v>45965</v>
      </c>
      <c r="B159" s="1" t="s">
        <v>11</v>
      </c>
      <c r="C159" s="1" t="s">
        <v>2580</v>
      </c>
      <c r="D159" s="1" t="s">
        <v>493</v>
      </c>
      <c r="E159" s="1" t="s">
        <v>14</v>
      </c>
      <c r="F159" s="1">
        <v>50000</v>
      </c>
      <c r="G159" s="1">
        <v>0.8</v>
      </c>
      <c r="H159" s="1">
        <f t="shared" ref="H159:H185" si="10">F159*G159</f>
        <v>40000</v>
      </c>
      <c r="I159" s="1" t="s">
        <v>61</v>
      </c>
      <c r="J159" s="1" t="s">
        <v>46</v>
      </c>
    </row>
    <row r="160" s="1" customFormat="1" customHeight="1" spans="1:10">
      <c r="A160" s="7">
        <v>45965</v>
      </c>
      <c r="B160" s="1" t="s">
        <v>11</v>
      </c>
      <c r="C160" s="1" t="s">
        <v>2580</v>
      </c>
      <c r="D160" s="1" t="s">
        <v>2581</v>
      </c>
      <c r="E160" s="1" t="s">
        <v>14</v>
      </c>
      <c r="F160" s="1">
        <v>50000</v>
      </c>
      <c r="G160" s="1">
        <v>0.55</v>
      </c>
      <c r="H160" s="1">
        <f t="shared" si="10"/>
        <v>27500</v>
      </c>
      <c r="I160" s="1" t="s">
        <v>61</v>
      </c>
      <c r="J160" s="1" t="s">
        <v>46</v>
      </c>
    </row>
    <row r="161" s="1" customFormat="1" customHeight="1" spans="1:10">
      <c r="A161" s="7">
        <v>45965</v>
      </c>
      <c r="B161" s="1" t="s">
        <v>11</v>
      </c>
      <c r="C161" s="1" t="s">
        <v>2580</v>
      </c>
      <c r="D161" s="1" t="s">
        <v>47</v>
      </c>
      <c r="E161" s="1" t="s">
        <v>14</v>
      </c>
      <c r="F161" s="1">
        <v>30000</v>
      </c>
      <c r="G161" s="1">
        <v>0.95</v>
      </c>
      <c r="H161" s="1">
        <f t="shared" si="10"/>
        <v>28500</v>
      </c>
      <c r="I161" s="1" t="s">
        <v>61</v>
      </c>
      <c r="J161" s="1" t="s">
        <v>46</v>
      </c>
    </row>
    <row r="162" s="1" customFormat="1" customHeight="1" spans="1:10">
      <c r="A162" s="7">
        <v>45965</v>
      </c>
      <c r="B162" s="1" t="s">
        <v>11</v>
      </c>
      <c r="C162" s="1" t="s">
        <v>2580</v>
      </c>
      <c r="D162" s="1" t="s">
        <v>188</v>
      </c>
      <c r="E162" s="1" t="s">
        <v>14</v>
      </c>
      <c r="F162" s="1">
        <v>30000</v>
      </c>
      <c r="G162" s="1">
        <v>1.05</v>
      </c>
      <c r="H162" s="1">
        <f t="shared" si="10"/>
        <v>31500</v>
      </c>
      <c r="I162" s="1" t="s">
        <v>61</v>
      </c>
      <c r="J162" s="1" t="s">
        <v>46</v>
      </c>
    </row>
    <row r="163" s="1" customFormat="1" customHeight="1" spans="1:10">
      <c r="A163" s="7">
        <v>45965</v>
      </c>
      <c r="B163" s="1" t="s">
        <v>11</v>
      </c>
      <c r="C163" s="1" t="s">
        <v>2580</v>
      </c>
      <c r="D163" s="1" t="s">
        <v>680</v>
      </c>
      <c r="E163" s="1" t="s">
        <v>14</v>
      </c>
      <c r="F163" s="1">
        <v>30000</v>
      </c>
      <c r="G163" s="1">
        <v>1.1</v>
      </c>
      <c r="H163" s="1">
        <f t="shared" si="10"/>
        <v>33000</v>
      </c>
      <c r="I163" s="1" t="s">
        <v>61</v>
      </c>
      <c r="J163" s="1" t="s">
        <v>46</v>
      </c>
    </row>
    <row r="164" s="1" customFormat="1" customHeight="1" spans="1:10">
      <c r="A164" s="7">
        <v>45965</v>
      </c>
      <c r="B164" s="1" t="s">
        <v>11</v>
      </c>
      <c r="C164" s="1" t="s">
        <v>2580</v>
      </c>
      <c r="D164" s="1" t="s">
        <v>382</v>
      </c>
      <c r="E164" s="1" t="s">
        <v>14</v>
      </c>
      <c r="F164" s="1">
        <v>350</v>
      </c>
      <c r="G164" s="1">
        <v>0.65</v>
      </c>
      <c r="H164" s="1">
        <f t="shared" si="10"/>
        <v>227.5</v>
      </c>
      <c r="I164" s="1" t="s">
        <v>363</v>
      </c>
      <c r="J164" s="1" t="s">
        <v>46</v>
      </c>
    </row>
    <row r="165" s="1" customFormat="1" customHeight="1" spans="1:10">
      <c r="A165" s="7">
        <v>45965</v>
      </c>
      <c r="B165" s="1" t="s">
        <v>11</v>
      </c>
      <c r="C165" s="1" t="s">
        <v>2580</v>
      </c>
      <c r="D165" s="1" t="s">
        <v>696</v>
      </c>
      <c r="E165" s="1" t="s">
        <v>14</v>
      </c>
      <c r="F165" s="1">
        <v>2500</v>
      </c>
      <c r="G165" s="1">
        <v>1.1</v>
      </c>
      <c r="H165" s="1">
        <f t="shared" si="10"/>
        <v>2750</v>
      </c>
      <c r="I165" s="1" t="s">
        <v>2185</v>
      </c>
      <c r="J165" s="1" t="s">
        <v>46</v>
      </c>
    </row>
    <row r="166" s="1" customFormat="1" customHeight="1" spans="1:10">
      <c r="A166" s="7">
        <v>45965</v>
      </c>
      <c r="B166" s="1" t="s">
        <v>11</v>
      </c>
      <c r="C166" s="1" t="s">
        <v>2582</v>
      </c>
      <c r="D166" s="1" t="s">
        <v>310</v>
      </c>
      <c r="E166" s="1" t="s">
        <v>14</v>
      </c>
      <c r="F166" s="1">
        <v>4800</v>
      </c>
      <c r="G166" s="1">
        <v>1.2</v>
      </c>
      <c r="H166" s="1">
        <f t="shared" si="10"/>
        <v>5760</v>
      </c>
      <c r="I166" s="1" t="s">
        <v>2009</v>
      </c>
      <c r="J166" s="1" t="s">
        <v>46</v>
      </c>
    </row>
    <row r="167" s="1" customFormat="1" customHeight="1" spans="1:10">
      <c r="A167" s="7">
        <v>45965</v>
      </c>
      <c r="B167" s="1" t="s">
        <v>11</v>
      </c>
      <c r="C167" s="1" t="s">
        <v>2583</v>
      </c>
      <c r="D167" s="1" t="s">
        <v>2584</v>
      </c>
      <c r="E167" s="1" t="s">
        <v>14</v>
      </c>
      <c r="F167" s="1">
        <v>20</v>
      </c>
      <c r="G167" s="1">
        <v>0.8</v>
      </c>
      <c r="H167" s="1">
        <f t="shared" si="10"/>
        <v>16</v>
      </c>
      <c r="I167" s="1" t="s">
        <v>37</v>
      </c>
    </row>
    <row r="168" s="1" customFormat="1" customHeight="1" spans="1:10">
      <c r="A168" s="7">
        <v>45966</v>
      </c>
      <c r="B168" s="1" t="s">
        <v>11</v>
      </c>
      <c r="C168" s="1" t="s">
        <v>2585</v>
      </c>
      <c r="D168" s="1" t="s">
        <v>598</v>
      </c>
      <c r="E168" s="1" t="s">
        <v>14</v>
      </c>
      <c r="F168" s="1">
        <v>6900</v>
      </c>
      <c r="G168" s="1">
        <v>1.4</v>
      </c>
      <c r="H168" s="1">
        <f t="shared" si="10"/>
        <v>9660</v>
      </c>
      <c r="I168" s="1" t="s">
        <v>2586</v>
      </c>
      <c r="J168" s="1" t="s">
        <v>46</v>
      </c>
    </row>
    <row r="169" s="1" customFormat="1" customHeight="1" spans="1:10">
      <c r="A169" s="7">
        <v>45966</v>
      </c>
      <c r="B169" s="1" t="s">
        <v>11</v>
      </c>
      <c r="C169" s="1" t="s">
        <v>2587</v>
      </c>
      <c r="D169" s="1" t="s">
        <v>2588</v>
      </c>
      <c r="E169" s="1" t="s">
        <v>14</v>
      </c>
      <c r="F169" s="1">
        <v>33</v>
      </c>
      <c r="G169" s="1">
        <v>0.8</v>
      </c>
      <c r="H169" s="1">
        <f t="shared" si="10"/>
        <v>26.4</v>
      </c>
      <c r="I169" s="1" t="s">
        <v>28</v>
      </c>
    </row>
    <row r="170" s="1" customFormat="1" customHeight="1" spans="1:10">
      <c r="A170" s="7">
        <v>45966</v>
      </c>
      <c r="B170" s="1" t="s">
        <v>11</v>
      </c>
      <c r="C170" s="1" t="s">
        <v>2587</v>
      </c>
      <c r="D170" s="1" t="s">
        <v>47</v>
      </c>
      <c r="E170" s="1" t="s">
        <v>14</v>
      </c>
      <c r="F170" s="1">
        <v>12</v>
      </c>
      <c r="G170" s="1">
        <v>0.95</v>
      </c>
      <c r="H170" s="1">
        <f t="shared" si="10"/>
        <v>11.4</v>
      </c>
      <c r="I170" s="1" t="s">
        <v>32</v>
      </c>
    </row>
    <row r="171" s="1" customFormat="1" customHeight="1" spans="1:10">
      <c r="A171" s="7">
        <v>45966</v>
      </c>
      <c r="B171" s="1" t="s">
        <v>11</v>
      </c>
      <c r="C171" s="1" t="s">
        <v>2589</v>
      </c>
      <c r="D171" s="1" t="s">
        <v>277</v>
      </c>
      <c r="E171" s="1" t="s">
        <v>14</v>
      </c>
      <c r="F171" s="1">
        <v>20</v>
      </c>
      <c r="G171" s="1">
        <v>0.94</v>
      </c>
      <c r="H171" s="1">
        <f t="shared" si="10"/>
        <v>18.8</v>
      </c>
      <c r="I171" s="1" t="s">
        <v>37</v>
      </c>
    </row>
    <row r="172" s="1" customFormat="1" customHeight="1" spans="1:10">
      <c r="A172" s="7">
        <v>45967</v>
      </c>
      <c r="B172" s="1" t="s">
        <v>11</v>
      </c>
      <c r="C172" s="1" t="s">
        <v>2590</v>
      </c>
      <c r="D172" s="1" t="s">
        <v>709</v>
      </c>
      <c r="E172" s="1" t="s">
        <v>14</v>
      </c>
      <c r="F172" s="1">
        <v>63</v>
      </c>
      <c r="G172" s="1">
        <v>0.9</v>
      </c>
      <c r="H172" s="1">
        <f t="shared" si="10"/>
        <v>56.7</v>
      </c>
      <c r="I172" s="1" t="s">
        <v>28</v>
      </c>
    </row>
    <row r="173" s="1" customFormat="1" customHeight="1" spans="1:10">
      <c r="A173" s="7">
        <v>45967</v>
      </c>
      <c r="B173" s="1" t="s">
        <v>11</v>
      </c>
      <c r="C173" s="1" t="s">
        <v>2590</v>
      </c>
      <c r="D173" s="1" t="s">
        <v>1650</v>
      </c>
      <c r="E173" s="1" t="s">
        <v>14</v>
      </c>
      <c r="F173" s="1">
        <v>80</v>
      </c>
      <c r="G173" s="1">
        <v>1.5</v>
      </c>
      <c r="H173" s="1">
        <f t="shared" si="10"/>
        <v>120</v>
      </c>
      <c r="I173" s="1" t="s">
        <v>28</v>
      </c>
    </row>
    <row r="174" s="1" customFormat="1" customHeight="1" spans="1:10">
      <c r="A174" s="7">
        <v>45967</v>
      </c>
      <c r="B174" s="1" t="s">
        <v>11</v>
      </c>
      <c r="C174" s="1" t="s">
        <v>2590</v>
      </c>
      <c r="D174" s="1" t="s">
        <v>2591</v>
      </c>
      <c r="E174" s="1" t="s">
        <v>14</v>
      </c>
      <c r="F174" s="1">
        <v>83</v>
      </c>
      <c r="G174" s="1">
        <v>1.2</v>
      </c>
      <c r="H174" s="1">
        <f t="shared" si="10"/>
        <v>99.6</v>
      </c>
      <c r="I174" s="1" t="s">
        <v>28</v>
      </c>
    </row>
    <row r="175" s="1" customFormat="1" customHeight="1" spans="1:10">
      <c r="A175" s="7">
        <v>45967</v>
      </c>
      <c r="B175" s="1" t="s">
        <v>11</v>
      </c>
      <c r="C175" s="1" t="s">
        <v>2590</v>
      </c>
      <c r="D175" s="1" t="s">
        <v>1051</v>
      </c>
      <c r="E175" s="1" t="s">
        <v>14</v>
      </c>
      <c r="F175" s="1">
        <v>103</v>
      </c>
      <c r="G175" s="1">
        <v>1.6</v>
      </c>
      <c r="H175" s="1">
        <f t="shared" si="10"/>
        <v>164.8</v>
      </c>
      <c r="I175" s="1" t="s">
        <v>28</v>
      </c>
    </row>
    <row r="176" s="1" customFormat="1" customHeight="1" spans="1:10">
      <c r="A176" s="7">
        <v>45968</v>
      </c>
      <c r="B176" s="1" t="s">
        <v>11</v>
      </c>
      <c r="C176" s="1" t="s">
        <v>2592</v>
      </c>
      <c r="D176" s="1" t="s">
        <v>1118</v>
      </c>
      <c r="E176" s="1" t="s">
        <v>14</v>
      </c>
      <c r="F176" s="1">
        <v>5070</v>
      </c>
      <c r="G176" s="1">
        <v>1.9</v>
      </c>
      <c r="H176" s="1">
        <f t="shared" si="10"/>
        <v>9633</v>
      </c>
      <c r="I176" s="1" t="s">
        <v>89</v>
      </c>
      <c r="J176" s="1" t="s">
        <v>46</v>
      </c>
    </row>
    <row r="177" s="1" customFormat="1" customHeight="1" spans="1:10">
      <c r="A177" s="7">
        <v>45968</v>
      </c>
      <c r="B177" s="1" t="s">
        <v>11</v>
      </c>
      <c r="C177" s="1" t="s">
        <v>2592</v>
      </c>
      <c r="D177" s="1" t="s">
        <v>18</v>
      </c>
      <c r="E177" s="1" t="s">
        <v>14</v>
      </c>
      <c r="F177" s="1">
        <v>60000</v>
      </c>
      <c r="G177" s="1">
        <v>0.7</v>
      </c>
      <c r="H177" s="1">
        <f t="shared" si="10"/>
        <v>42000</v>
      </c>
      <c r="I177" s="1" t="s">
        <v>61</v>
      </c>
      <c r="J177" s="1" t="s">
        <v>46</v>
      </c>
    </row>
    <row r="178" s="1" customFormat="1" customHeight="1" spans="1:10">
      <c r="A178" s="7">
        <v>45968</v>
      </c>
      <c r="B178" s="1" t="s">
        <v>11</v>
      </c>
      <c r="C178" s="1" t="s">
        <v>2592</v>
      </c>
      <c r="D178" s="1" t="s">
        <v>380</v>
      </c>
      <c r="E178" s="1" t="s">
        <v>14</v>
      </c>
      <c r="F178" s="1">
        <v>300</v>
      </c>
      <c r="G178" s="1">
        <v>0.9</v>
      </c>
      <c r="H178" s="1">
        <f t="shared" si="10"/>
        <v>270</v>
      </c>
      <c r="I178" s="1" t="s">
        <v>133</v>
      </c>
    </row>
    <row r="179" s="1" customFormat="1" customHeight="1" spans="1:10">
      <c r="A179" s="7">
        <v>45968</v>
      </c>
      <c r="B179" s="1" t="s">
        <v>11</v>
      </c>
      <c r="C179" s="1" t="s">
        <v>2592</v>
      </c>
      <c r="D179" s="1" t="s">
        <v>948</v>
      </c>
      <c r="E179" s="1" t="s">
        <v>14</v>
      </c>
      <c r="F179" s="1">
        <v>1040</v>
      </c>
      <c r="G179" s="1">
        <v>1.05</v>
      </c>
      <c r="H179" s="1">
        <f t="shared" si="10"/>
        <v>1092</v>
      </c>
      <c r="I179" s="1" t="s">
        <v>330</v>
      </c>
    </row>
    <row r="180" s="1" customFormat="1" customHeight="1" spans="1:10">
      <c r="A180" s="7">
        <v>45968</v>
      </c>
      <c r="B180" s="1" t="s">
        <v>11</v>
      </c>
      <c r="C180" s="1" t="s">
        <v>2592</v>
      </c>
      <c r="D180" s="1" t="s">
        <v>305</v>
      </c>
      <c r="E180" s="1" t="s">
        <v>14</v>
      </c>
      <c r="F180" s="1">
        <v>300</v>
      </c>
      <c r="G180" s="1">
        <v>3.2</v>
      </c>
      <c r="H180" s="1">
        <f t="shared" si="10"/>
        <v>960</v>
      </c>
      <c r="I180" s="1" t="s">
        <v>330</v>
      </c>
    </row>
    <row r="181" s="1" customFormat="1" customHeight="1" spans="1:10">
      <c r="A181" s="7">
        <v>45968</v>
      </c>
      <c r="B181" s="1" t="s">
        <v>11</v>
      </c>
      <c r="C181" s="1" t="s">
        <v>2592</v>
      </c>
      <c r="D181" s="1" t="s">
        <v>2593</v>
      </c>
      <c r="E181" s="1" t="s">
        <v>14</v>
      </c>
      <c r="F181" s="1">
        <v>300</v>
      </c>
      <c r="G181" s="1">
        <v>0.8</v>
      </c>
      <c r="H181" s="1">
        <f t="shared" si="10"/>
        <v>240</v>
      </c>
      <c r="I181" s="1" t="s">
        <v>330</v>
      </c>
    </row>
    <row r="182" s="1" customFormat="1" customHeight="1" spans="1:10">
      <c r="A182" s="7">
        <v>45968</v>
      </c>
      <c r="B182" s="1" t="s">
        <v>11</v>
      </c>
      <c r="C182" s="1" t="s">
        <v>2594</v>
      </c>
      <c r="D182" s="1" t="s">
        <v>380</v>
      </c>
      <c r="E182" s="1" t="s">
        <v>14</v>
      </c>
      <c r="F182" s="1">
        <v>33</v>
      </c>
      <c r="G182" s="1">
        <v>0.9</v>
      </c>
      <c r="H182" s="1">
        <f t="shared" si="10"/>
        <v>29.7</v>
      </c>
      <c r="I182" s="1" t="s">
        <v>982</v>
      </c>
    </row>
    <row r="183" s="1" customFormat="1" customHeight="1" spans="1:10">
      <c r="A183" s="7">
        <v>45968</v>
      </c>
      <c r="B183" s="1" t="s">
        <v>11</v>
      </c>
      <c r="C183" s="1" t="s">
        <v>2594</v>
      </c>
      <c r="D183" s="1" t="s">
        <v>325</v>
      </c>
      <c r="E183" s="1" t="s">
        <v>14</v>
      </c>
      <c r="F183" s="1">
        <v>205</v>
      </c>
      <c r="G183" s="1">
        <v>1.2</v>
      </c>
      <c r="H183" s="1">
        <f t="shared" si="10"/>
        <v>246</v>
      </c>
      <c r="I183" s="1" t="s">
        <v>2595</v>
      </c>
    </row>
    <row r="184" s="1" customFormat="1" customHeight="1" spans="1:10">
      <c r="A184" s="7">
        <v>45968</v>
      </c>
      <c r="B184" s="1" t="s">
        <v>11</v>
      </c>
      <c r="C184" s="1" t="s">
        <v>2596</v>
      </c>
      <c r="D184" s="1" t="s">
        <v>1233</v>
      </c>
      <c r="E184" s="1" t="s">
        <v>14</v>
      </c>
      <c r="F184" s="1">
        <v>81</v>
      </c>
      <c r="G184" s="1">
        <v>1.4</v>
      </c>
      <c r="H184" s="1">
        <f t="shared" si="10"/>
        <v>113.4</v>
      </c>
      <c r="I184" s="1" t="s">
        <v>982</v>
      </c>
    </row>
    <row r="185" s="1" customFormat="1" customHeight="1" spans="1:10">
      <c r="A185" s="7">
        <v>45969</v>
      </c>
      <c r="B185" s="1" t="s">
        <v>11</v>
      </c>
      <c r="C185" s="1" t="s">
        <v>2597</v>
      </c>
      <c r="D185" s="1" t="s">
        <v>398</v>
      </c>
      <c r="E185" s="1" t="s">
        <v>14</v>
      </c>
      <c r="F185" s="1">
        <v>2030</v>
      </c>
      <c r="G185" s="1">
        <v>1.15</v>
      </c>
      <c r="H185" s="1">
        <f t="shared" si="10"/>
        <v>2334.5</v>
      </c>
      <c r="I185" s="1" t="s">
        <v>587</v>
      </c>
      <c r="J185" s="1" t="s">
        <v>46</v>
      </c>
    </row>
    <row r="186" s="1" customFormat="1" customHeight="1" spans="1:10">
      <c r="A186" s="7">
        <v>45969</v>
      </c>
      <c r="B186" s="1" t="s">
        <v>11</v>
      </c>
      <c r="C186" s="1" t="s">
        <v>2598</v>
      </c>
      <c r="D186" s="1" t="s">
        <v>256</v>
      </c>
      <c r="E186" s="1" t="s">
        <v>14</v>
      </c>
      <c r="F186" s="1">
        <v>5200</v>
      </c>
      <c r="G186" s="1">
        <v>0.8</v>
      </c>
      <c r="H186" s="1">
        <f t="shared" ref="H186:H234" si="11">F186*G186</f>
        <v>4160</v>
      </c>
      <c r="I186" s="1" t="s">
        <v>271</v>
      </c>
      <c r="J186" s="1" t="s">
        <v>46</v>
      </c>
    </row>
    <row r="187" s="1" customFormat="1" customHeight="1" spans="1:10">
      <c r="A187" s="7">
        <v>45969</v>
      </c>
      <c r="B187" s="1" t="s">
        <v>11</v>
      </c>
      <c r="C187" s="1" t="s">
        <v>2598</v>
      </c>
      <c r="D187" s="1" t="s">
        <v>543</v>
      </c>
      <c r="E187" s="1" t="s">
        <v>14</v>
      </c>
      <c r="F187" s="1">
        <v>500</v>
      </c>
      <c r="G187" s="1">
        <v>1.4</v>
      </c>
      <c r="H187" s="1">
        <f t="shared" si="11"/>
        <v>700</v>
      </c>
      <c r="I187" s="1" t="s">
        <v>271</v>
      </c>
      <c r="J187" s="1" t="s">
        <v>46</v>
      </c>
    </row>
    <row r="188" s="1" customFormat="1" customHeight="1" spans="1:10">
      <c r="A188" s="7">
        <v>45969</v>
      </c>
      <c r="B188" s="1" t="s">
        <v>11</v>
      </c>
      <c r="C188" s="1" t="s">
        <v>2599</v>
      </c>
      <c r="D188" s="1" t="s">
        <v>188</v>
      </c>
      <c r="E188" s="1" t="s">
        <v>14</v>
      </c>
      <c r="F188" s="1">
        <v>1050</v>
      </c>
      <c r="G188" s="1">
        <v>1.05</v>
      </c>
      <c r="H188" s="1">
        <f t="shared" si="11"/>
        <v>1102.5</v>
      </c>
      <c r="I188" s="1" t="s">
        <v>189</v>
      </c>
      <c r="J188" s="1" t="s">
        <v>46</v>
      </c>
    </row>
    <row r="189" s="1" customFormat="1" customHeight="1" spans="1:10">
      <c r="A189" s="7">
        <v>45969</v>
      </c>
      <c r="B189" s="1" t="s">
        <v>11</v>
      </c>
      <c r="C189" s="1" t="s">
        <v>2600</v>
      </c>
      <c r="D189" s="1" t="s">
        <v>1233</v>
      </c>
      <c r="E189" s="1" t="s">
        <v>14</v>
      </c>
      <c r="F189" s="1">
        <v>50</v>
      </c>
      <c r="G189" s="1">
        <v>1.4</v>
      </c>
      <c r="H189" s="1">
        <f t="shared" si="11"/>
        <v>70</v>
      </c>
      <c r="I189" s="1" t="s">
        <v>982</v>
      </c>
    </row>
    <row r="190" s="1" customFormat="1" customHeight="1" spans="1:10">
      <c r="A190" s="7">
        <v>45971</v>
      </c>
      <c r="B190" s="1" t="s">
        <v>11</v>
      </c>
      <c r="C190" s="1" t="s">
        <v>2601</v>
      </c>
      <c r="D190" s="1" t="s">
        <v>543</v>
      </c>
      <c r="E190" s="1" t="s">
        <v>14</v>
      </c>
      <c r="F190" s="1">
        <v>10000</v>
      </c>
      <c r="G190" s="1">
        <v>1.4</v>
      </c>
      <c r="H190" s="1">
        <f t="shared" si="11"/>
        <v>14000</v>
      </c>
      <c r="I190" s="1" t="s">
        <v>271</v>
      </c>
      <c r="J190" s="1" t="s">
        <v>46</v>
      </c>
    </row>
    <row r="191" s="1" customFormat="1" customHeight="1" spans="1:10">
      <c r="A191" s="7">
        <v>45971</v>
      </c>
      <c r="B191" s="1" t="s">
        <v>11</v>
      </c>
      <c r="C191" s="1" t="s">
        <v>2602</v>
      </c>
      <c r="D191" s="1" t="s">
        <v>543</v>
      </c>
      <c r="E191" s="1" t="s">
        <v>14</v>
      </c>
      <c r="F191" s="1">
        <v>200</v>
      </c>
      <c r="G191" s="1">
        <v>1.4</v>
      </c>
      <c r="H191" s="1">
        <f t="shared" si="11"/>
        <v>280</v>
      </c>
      <c r="I191" s="1" t="s">
        <v>271</v>
      </c>
    </row>
    <row r="192" s="1" customFormat="1" customHeight="1" spans="1:10">
      <c r="A192" s="7">
        <v>45971</v>
      </c>
      <c r="B192" s="1" t="s">
        <v>11</v>
      </c>
      <c r="C192" s="1" t="s">
        <v>2602</v>
      </c>
      <c r="D192" s="1" t="s">
        <v>1156</v>
      </c>
      <c r="E192" s="1" t="s">
        <v>14</v>
      </c>
      <c r="F192" s="1">
        <v>33</v>
      </c>
      <c r="G192" s="1">
        <v>1.3</v>
      </c>
      <c r="H192" s="1">
        <f t="shared" si="11"/>
        <v>42.9</v>
      </c>
      <c r="I192" s="1" t="s">
        <v>28</v>
      </c>
    </row>
    <row r="193" s="1" customFormat="1" customHeight="1" spans="1:11">
      <c r="A193" s="7">
        <v>45971</v>
      </c>
      <c r="B193" s="1" t="s">
        <v>11</v>
      </c>
      <c r="C193" s="1" t="s">
        <v>2602</v>
      </c>
      <c r="D193" s="1" t="s">
        <v>736</v>
      </c>
      <c r="E193" s="1" t="s">
        <v>14</v>
      </c>
      <c r="F193" s="1">
        <v>12</v>
      </c>
      <c r="G193" s="1">
        <v>0.95</v>
      </c>
      <c r="H193" s="1">
        <f t="shared" si="11"/>
        <v>11.4</v>
      </c>
      <c r="I193" s="1" t="s">
        <v>2603</v>
      </c>
    </row>
    <row r="194" s="1" customFormat="1" customHeight="1" spans="1:11">
      <c r="A194" s="7">
        <v>45971</v>
      </c>
      <c r="B194" s="1" t="s">
        <v>11</v>
      </c>
      <c r="C194" s="1" t="s">
        <v>2604</v>
      </c>
      <c r="D194" s="1" t="s">
        <v>285</v>
      </c>
      <c r="E194" s="1" t="s">
        <v>14</v>
      </c>
      <c r="F194" s="1">
        <v>750</v>
      </c>
      <c r="G194" s="1">
        <v>2</v>
      </c>
      <c r="H194" s="1">
        <f t="shared" si="11"/>
        <v>1500</v>
      </c>
      <c r="I194" s="1" t="s">
        <v>278</v>
      </c>
    </row>
    <row r="195" s="1" customFormat="1" customHeight="1" spans="1:11">
      <c r="A195" s="7">
        <v>45972</v>
      </c>
      <c r="B195" s="1" t="s">
        <v>11</v>
      </c>
      <c r="C195" s="1" t="s">
        <v>2605</v>
      </c>
      <c r="D195" s="1" t="s">
        <v>324</v>
      </c>
      <c r="E195" s="1" t="s">
        <v>14</v>
      </c>
      <c r="F195" s="1">
        <v>103</v>
      </c>
      <c r="G195" s="1">
        <v>2.1</v>
      </c>
      <c r="H195" s="1">
        <f t="shared" si="11"/>
        <v>216.3</v>
      </c>
      <c r="I195" s="1" t="s">
        <v>28</v>
      </c>
    </row>
    <row r="196" s="1" customFormat="1" customHeight="1" spans="1:11">
      <c r="A196" s="7">
        <v>45972</v>
      </c>
      <c r="B196" s="1" t="s">
        <v>11</v>
      </c>
      <c r="C196" s="1" t="s">
        <v>2606</v>
      </c>
      <c r="D196" s="1" t="s">
        <v>946</v>
      </c>
      <c r="E196" s="1" t="s">
        <v>14</v>
      </c>
      <c r="F196" s="1">
        <v>8000</v>
      </c>
      <c r="G196" s="1">
        <v>2.9</v>
      </c>
      <c r="H196" s="1">
        <f t="shared" si="11"/>
        <v>23200</v>
      </c>
      <c r="I196" s="1" t="s">
        <v>396</v>
      </c>
      <c r="J196" s="1" t="s">
        <v>46</v>
      </c>
    </row>
    <row r="197" s="1" customFormat="1" customHeight="1" spans="1:11">
      <c r="A197" s="7">
        <v>45972</v>
      </c>
      <c r="B197" s="1" t="s">
        <v>11</v>
      </c>
      <c r="C197" s="1" t="s">
        <v>2606</v>
      </c>
      <c r="D197" s="1" t="s">
        <v>188</v>
      </c>
      <c r="E197" s="1" t="s">
        <v>14</v>
      </c>
      <c r="F197" s="1">
        <v>30000</v>
      </c>
      <c r="G197" s="1">
        <v>1.05</v>
      </c>
      <c r="H197" s="1">
        <f t="shared" si="11"/>
        <v>31500</v>
      </c>
      <c r="I197" s="1" t="s">
        <v>189</v>
      </c>
      <c r="J197" s="1" t="s">
        <v>46</v>
      </c>
      <c r="K197" s="1" t="s">
        <v>2607</v>
      </c>
    </row>
    <row r="198" s="1" customFormat="1" customHeight="1" spans="1:11">
      <c r="A198" s="7">
        <v>45972</v>
      </c>
      <c r="B198" s="1" t="s">
        <v>11</v>
      </c>
      <c r="C198" s="1" t="s">
        <v>2608</v>
      </c>
      <c r="D198" s="1" t="s">
        <v>368</v>
      </c>
      <c r="E198" s="1" t="s">
        <v>14</v>
      </c>
      <c r="F198" s="1">
        <v>30000</v>
      </c>
      <c r="G198" s="1">
        <v>0</v>
      </c>
      <c r="H198" s="1">
        <f t="shared" si="11"/>
        <v>0</v>
      </c>
      <c r="I198" s="1" t="s">
        <v>61</v>
      </c>
      <c r="J198" s="1" t="s">
        <v>46</v>
      </c>
      <c r="K198" s="1" t="s">
        <v>2609</v>
      </c>
    </row>
    <row r="199" s="1" customFormat="1" customHeight="1" spans="1:11">
      <c r="A199" s="7">
        <v>45973</v>
      </c>
      <c r="B199" s="1" t="s">
        <v>11</v>
      </c>
      <c r="C199" s="1" t="s">
        <v>2610</v>
      </c>
      <c r="D199" s="1" t="s">
        <v>410</v>
      </c>
      <c r="E199" s="1" t="s">
        <v>14</v>
      </c>
      <c r="F199" s="1">
        <v>1000</v>
      </c>
      <c r="G199" s="1">
        <v>1.15</v>
      </c>
      <c r="H199" s="1">
        <f t="shared" si="11"/>
        <v>1150</v>
      </c>
      <c r="I199" s="1" t="s">
        <v>406</v>
      </c>
    </row>
    <row r="200" s="1" customFormat="1" customHeight="1" spans="1:11">
      <c r="A200" s="7">
        <v>45973</v>
      </c>
      <c r="B200" s="1" t="s">
        <v>11</v>
      </c>
      <c r="C200" s="1" t="s">
        <v>2610</v>
      </c>
      <c r="D200" s="1" t="s">
        <v>2013</v>
      </c>
      <c r="E200" s="1" t="s">
        <v>14</v>
      </c>
      <c r="F200" s="1">
        <v>30</v>
      </c>
      <c r="G200" s="1">
        <v>1.1</v>
      </c>
      <c r="H200" s="1">
        <f t="shared" si="11"/>
        <v>33</v>
      </c>
      <c r="I200" s="1" t="s">
        <v>322</v>
      </c>
    </row>
    <row r="201" s="1" customFormat="1" customHeight="1" spans="1:11">
      <c r="A201" s="7">
        <v>45974</v>
      </c>
      <c r="B201" s="1" t="s">
        <v>11</v>
      </c>
      <c r="C201" s="1" t="s">
        <v>2611</v>
      </c>
      <c r="D201" s="1" t="s">
        <v>523</v>
      </c>
      <c r="E201" s="1" t="s">
        <v>14</v>
      </c>
      <c r="F201" s="1">
        <v>203</v>
      </c>
      <c r="G201" s="1">
        <v>0.9</v>
      </c>
      <c r="H201" s="1">
        <f t="shared" si="11"/>
        <v>182.7</v>
      </c>
      <c r="I201" s="1" t="s">
        <v>28</v>
      </c>
    </row>
    <row r="202" s="1" customFormat="1" customHeight="1" spans="1:11">
      <c r="A202" s="7">
        <v>45974</v>
      </c>
      <c r="B202" s="1" t="s">
        <v>11</v>
      </c>
      <c r="C202" s="1" t="s">
        <v>2611</v>
      </c>
      <c r="D202" s="1" t="s">
        <v>2612</v>
      </c>
      <c r="E202" s="1" t="s">
        <v>14</v>
      </c>
      <c r="F202" s="1">
        <v>1010</v>
      </c>
      <c r="G202" s="1">
        <v>1.1</v>
      </c>
      <c r="H202" s="1">
        <f t="shared" si="11"/>
        <v>1111</v>
      </c>
      <c r="I202" s="1" t="s">
        <v>2613</v>
      </c>
    </row>
    <row r="203" s="1" customFormat="1" customHeight="1" spans="1:11">
      <c r="A203" s="7">
        <v>45974</v>
      </c>
      <c r="B203" s="1" t="s">
        <v>11</v>
      </c>
      <c r="C203" s="1" t="s">
        <v>2614</v>
      </c>
      <c r="D203" s="1" t="s">
        <v>395</v>
      </c>
      <c r="E203" s="1" t="s">
        <v>14</v>
      </c>
      <c r="F203" s="1">
        <v>103</v>
      </c>
      <c r="G203" s="1">
        <v>1</v>
      </c>
      <c r="H203" s="1">
        <f t="shared" si="11"/>
        <v>103</v>
      </c>
      <c r="I203" s="1" t="s">
        <v>28</v>
      </c>
    </row>
    <row r="204" s="1" customFormat="1" customHeight="1" spans="1:11">
      <c r="A204" s="7">
        <v>45974</v>
      </c>
      <c r="B204" s="1" t="s">
        <v>11</v>
      </c>
      <c r="C204" s="1" t="s">
        <v>2614</v>
      </c>
      <c r="D204" s="1" t="s">
        <v>326</v>
      </c>
      <c r="E204" s="1" t="s">
        <v>14</v>
      </c>
      <c r="F204" s="1">
        <v>53</v>
      </c>
      <c r="G204" s="1">
        <v>1.5</v>
      </c>
      <c r="H204" s="1">
        <f t="shared" si="11"/>
        <v>79.5</v>
      </c>
      <c r="I204" s="1" t="s">
        <v>28</v>
      </c>
    </row>
    <row r="205" s="1" customFormat="1" customHeight="1" spans="1:11">
      <c r="A205" s="7">
        <v>45974</v>
      </c>
      <c r="B205" s="1" t="s">
        <v>11</v>
      </c>
      <c r="C205" s="1" t="s">
        <v>2614</v>
      </c>
      <c r="D205" s="1" t="s">
        <v>680</v>
      </c>
      <c r="E205" s="1" t="s">
        <v>14</v>
      </c>
      <c r="F205" s="1">
        <v>53</v>
      </c>
      <c r="G205" s="1">
        <v>1.1</v>
      </c>
      <c r="H205" s="1">
        <f t="shared" si="11"/>
        <v>58.3</v>
      </c>
      <c r="I205" s="1" t="s">
        <v>28</v>
      </c>
    </row>
    <row r="206" s="1" customFormat="1" customHeight="1" spans="1:11">
      <c r="A206" s="7">
        <v>45975</v>
      </c>
      <c r="B206" s="1" t="s">
        <v>11</v>
      </c>
      <c r="C206" s="1" t="s">
        <v>2615</v>
      </c>
      <c r="D206" s="1" t="s">
        <v>179</v>
      </c>
      <c r="E206" s="1" t="s">
        <v>14</v>
      </c>
      <c r="F206" s="1">
        <v>63</v>
      </c>
      <c r="G206" s="1">
        <v>1.2</v>
      </c>
      <c r="H206" s="1">
        <f t="shared" si="11"/>
        <v>75.6</v>
      </c>
      <c r="I206" s="1" t="s">
        <v>982</v>
      </c>
    </row>
    <row r="207" s="1" customFormat="1" customHeight="1" spans="1:11">
      <c r="A207" s="7">
        <v>45975</v>
      </c>
      <c r="B207" s="1" t="s">
        <v>11</v>
      </c>
      <c r="C207" s="1" t="s">
        <v>2616</v>
      </c>
      <c r="D207" s="1" t="s">
        <v>707</v>
      </c>
      <c r="E207" s="1" t="s">
        <v>14</v>
      </c>
      <c r="F207" s="1">
        <v>2040</v>
      </c>
      <c r="G207" s="1">
        <v>1.05</v>
      </c>
      <c r="H207" s="1">
        <f t="shared" si="11"/>
        <v>2142</v>
      </c>
      <c r="I207" s="1" t="s">
        <v>137</v>
      </c>
      <c r="J207" s="1" t="s">
        <v>46</v>
      </c>
    </row>
    <row r="208" s="1" customFormat="1" customHeight="1" spans="1:11">
      <c r="A208" s="7">
        <v>45975</v>
      </c>
      <c r="B208" s="1" t="s">
        <v>11</v>
      </c>
      <c r="C208" s="1" t="s">
        <v>2616</v>
      </c>
      <c r="D208" s="1" t="s">
        <v>410</v>
      </c>
      <c r="E208" s="1" t="s">
        <v>14</v>
      </c>
      <c r="F208" s="1">
        <v>10000</v>
      </c>
      <c r="G208" s="1">
        <v>1.15</v>
      </c>
      <c r="H208" s="1">
        <f t="shared" si="11"/>
        <v>11500</v>
      </c>
      <c r="I208" s="1" t="s">
        <v>61</v>
      </c>
      <c r="J208" s="1" t="s">
        <v>46</v>
      </c>
    </row>
    <row r="209" s="1" customFormat="1" customHeight="1" spans="1:10">
      <c r="A209" s="7">
        <v>45975</v>
      </c>
      <c r="B209" s="1" t="s">
        <v>11</v>
      </c>
      <c r="C209" s="1" t="s">
        <v>2616</v>
      </c>
      <c r="D209" s="1" t="s">
        <v>405</v>
      </c>
      <c r="E209" s="1" t="s">
        <v>14</v>
      </c>
      <c r="F209" s="1">
        <v>20000</v>
      </c>
      <c r="G209" s="1">
        <v>1.3</v>
      </c>
      <c r="H209" s="1">
        <f t="shared" si="11"/>
        <v>26000</v>
      </c>
      <c r="I209" s="1" t="s">
        <v>271</v>
      </c>
      <c r="J209" s="1" t="s">
        <v>46</v>
      </c>
    </row>
    <row r="210" s="1" customFormat="1" customHeight="1" spans="1:10">
      <c r="A210" s="7">
        <v>45975</v>
      </c>
      <c r="B210" s="1" t="s">
        <v>11</v>
      </c>
      <c r="C210" s="1" t="s">
        <v>2616</v>
      </c>
      <c r="D210" s="1" t="s">
        <v>277</v>
      </c>
      <c r="E210" s="1" t="s">
        <v>14</v>
      </c>
      <c r="F210" s="1">
        <v>30000</v>
      </c>
      <c r="G210" s="1">
        <v>0.95</v>
      </c>
      <c r="H210" s="1">
        <f t="shared" si="11"/>
        <v>28500</v>
      </c>
      <c r="I210" s="1" t="s">
        <v>61</v>
      </c>
      <c r="J210" s="1" t="s">
        <v>46</v>
      </c>
    </row>
    <row r="211" s="1" customFormat="1" customHeight="1" spans="1:10">
      <c r="A211" s="7">
        <v>45975</v>
      </c>
      <c r="B211" s="1" t="s">
        <v>11</v>
      </c>
      <c r="C211" s="1" t="s">
        <v>2616</v>
      </c>
      <c r="D211" s="1" t="s">
        <v>368</v>
      </c>
      <c r="E211" s="1" t="s">
        <v>14</v>
      </c>
      <c r="F211" s="1">
        <v>30000</v>
      </c>
      <c r="G211" s="1">
        <v>0.75</v>
      </c>
      <c r="H211" s="1">
        <f t="shared" si="11"/>
        <v>22500</v>
      </c>
      <c r="I211" s="1" t="s">
        <v>61</v>
      </c>
      <c r="J211" s="1" t="s">
        <v>46</v>
      </c>
    </row>
    <row r="212" s="1" customFormat="1" customHeight="1" spans="1:10">
      <c r="A212" s="7">
        <v>45979</v>
      </c>
      <c r="B212" s="1" t="s">
        <v>11</v>
      </c>
      <c r="C212" s="1" t="s">
        <v>2617</v>
      </c>
      <c r="D212" s="1" t="s">
        <v>382</v>
      </c>
      <c r="E212" s="1" t="s">
        <v>14</v>
      </c>
      <c r="F212" s="1">
        <v>9000</v>
      </c>
      <c r="G212" s="1">
        <v>0.65</v>
      </c>
      <c r="H212" s="1">
        <f t="shared" si="11"/>
        <v>5850</v>
      </c>
      <c r="I212" s="1" t="s">
        <v>2618</v>
      </c>
      <c r="J212" s="1" t="s">
        <v>46</v>
      </c>
    </row>
    <row r="213" s="1" customFormat="1" customHeight="1" spans="1:10">
      <c r="A213" s="7">
        <v>45979</v>
      </c>
      <c r="B213" s="1" t="s">
        <v>11</v>
      </c>
      <c r="C213" s="1" t="s">
        <v>2617</v>
      </c>
      <c r="D213" s="1" t="s">
        <v>134</v>
      </c>
      <c r="E213" s="1" t="s">
        <v>14</v>
      </c>
      <c r="F213" s="1">
        <v>20000</v>
      </c>
      <c r="G213" s="1">
        <v>0.8</v>
      </c>
      <c r="H213" s="1">
        <f t="shared" si="11"/>
        <v>16000</v>
      </c>
      <c r="I213" s="1" t="s">
        <v>61</v>
      </c>
      <c r="J213" s="1" t="s">
        <v>46</v>
      </c>
    </row>
    <row r="214" s="1" customFormat="1" customHeight="1" spans="1:10">
      <c r="A214" s="7">
        <v>45979</v>
      </c>
      <c r="B214" s="1" t="s">
        <v>11</v>
      </c>
      <c r="C214" s="1" t="s">
        <v>2617</v>
      </c>
      <c r="D214" s="1" t="s">
        <v>389</v>
      </c>
      <c r="E214" s="1" t="s">
        <v>14</v>
      </c>
      <c r="F214" s="1">
        <v>30000</v>
      </c>
      <c r="G214" s="1">
        <v>1.5</v>
      </c>
      <c r="H214" s="1">
        <f t="shared" si="11"/>
        <v>45000</v>
      </c>
      <c r="I214" s="1" t="s">
        <v>1429</v>
      </c>
      <c r="J214" s="1" t="s">
        <v>46</v>
      </c>
    </row>
    <row r="215" s="1" customFormat="1" customHeight="1" spans="1:10">
      <c r="A215" s="7">
        <v>45979</v>
      </c>
      <c r="B215" s="1" t="s">
        <v>11</v>
      </c>
      <c r="C215" s="1" t="s">
        <v>2617</v>
      </c>
      <c r="D215" s="1" t="s">
        <v>493</v>
      </c>
      <c r="E215" s="1" t="s">
        <v>14</v>
      </c>
      <c r="F215" s="1">
        <v>20000</v>
      </c>
      <c r="G215" s="1">
        <v>0.85</v>
      </c>
      <c r="H215" s="1">
        <f t="shared" si="11"/>
        <v>17000</v>
      </c>
      <c r="I215" s="1" t="s">
        <v>271</v>
      </c>
      <c r="J215" s="1" t="s">
        <v>46</v>
      </c>
    </row>
    <row r="216" s="1" customFormat="1" customHeight="1" spans="1:10">
      <c r="A216" s="7">
        <v>45979</v>
      </c>
      <c r="B216" s="1" t="s">
        <v>11</v>
      </c>
      <c r="C216" s="1" t="s">
        <v>2617</v>
      </c>
      <c r="D216" s="1" t="s">
        <v>390</v>
      </c>
      <c r="E216" s="1" t="s">
        <v>14</v>
      </c>
      <c r="F216" s="1">
        <v>10000</v>
      </c>
      <c r="G216" s="1">
        <v>1.2</v>
      </c>
      <c r="H216" s="1">
        <f t="shared" si="11"/>
        <v>12000</v>
      </c>
      <c r="I216" s="1" t="s">
        <v>300</v>
      </c>
      <c r="J216" s="1" t="s">
        <v>46</v>
      </c>
    </row>
    <row r="217" s="1" customFormat="1" customHeight="1" spans="1:10">
      <c r="A217" s="7">
        <v>45979</v>
      </c>
      <c r="B217" s="1" t="s">
        <v>11</v>
      </c>
      <c r="C217" s="1" t="s">
        <v>2617</v>
      </c>
      <c r="D217" s="1" t="s">
        <v>290</v>
      </c>
      <c r="E217" s="1" t="s">
        <v>14</v>
      </c>
      <c r="F217" s="1">
        <v>2000</v>
      </c>
      <c r="G217" s="1">
        <v>0.9</v>
      </c>
      <c r="H217" s="1">
        <f t="shared" si="11"/>
        <v>1800</v>
      </c>
      <c r="I217" s="1" t="s">
        <v>45</v>
      </c>
      <c r="J217" s="1" t="s">
        <v>46</v>
      </c>
    </row>
    <row r="218" s="1" customFormat="1" customHeight="1" spans="1:10">
      <c r="A218" s="7">
        <v>45979</v>
      </c>
      <c r="B218" s="1" t="s">
        <v>11</v>
      </c>
      <c r="C218" s="1" t="s">
        <v>2619</v>
      </c>
      <c r="D218" s="1" t="s">
        <v>1224</v>
      </c>
      <c r="E218" s="1" t="s">
        <v>14</v>
      </c>
      <c r="F218" s="1">
        <v>10</v>
      </c>
      <c r="G218" s="1">
        <v>1.2</v>
      </c>
      <c r="H218" s="1">
        <f t="shared" si="11"/>
        <v>12</v>
      </c>
      <c r="I218" s="1" t="s">
        <v>32</v>
      </c>
    </row>
    <row r="219" s="1" customFormat="1" customHeight="1" spans="1:10">
      <c r="A219" s="7">
        <v>45979</v>
      </c>
      <c r="B219" s="1" t="s">
        <v>11</v>
      </c>
      <c r="C219" s="1" t="s">
        <v>2619</v>
      </c>
      <c r="D219" s="1" t="s">
        <v>1650</v>
      </c>
      <c r="E219" s="1" t="s">
        <v>14</v>
      </c>
      <c r="F219" s="1">
        <v>10</v>
      </c>
      <c r="G219" s="1">
        <v>1.5</v>
      </c>
      <c r="H219" s="1">
        <f t="shared" si="11"/>
        <v>15</v>
      </c>
      <c r="I219" s="1" t="s">
        <v>32</v>
      </c>
    </row>
    <row r="220" s="1" customFormat="1" customHeight="1" spans="1:10">
      <c r="A220" s="7">
        <v>45979</v>
      </c>
      <c r="B220" s="1" t="s">
        <v>11</v>
      </c>
      <c r="C220" s="1" t="s">
        <v>2619</v>
      </c>
      <c r="D220" s="1" t="s">
        <v>2620</v>
      </c>
      <c r="E220" s="1" t="s">
        <v>14</v>
      </c>
      <c r="F220" s="1">
        <v>10</v>
      </c>
      <c r="G220" s="1">
        <v>1.4</v>
      </c>
      <c r="H220" s="1">
        <f t="shared" si="11"/>
        <v>14</v>
      </c>
      <c r="I220" s="1" t="s">
        <v>32</v>
      </c>
    </row>
    <row r="221" s="1" customFormat="1" customHeight="1" spans="1:10">
      <c r="A221" s="7">
        <v>45979</v>
      </c>
      <c r="B221" s="1" t="s">
        <v>11</v>
      </c>
      <c r="C221" s="1" t="s">
        <v>2621</v>
      </c>
      <c r="D221" s="1" t="s">
        <v>723</v>
      </c>
      <c r="E221" s="1" t="s">
        <v>14</v>
      </c>
      <c r="F221" s="1">
        <v>984</v>
      </c>
      <c r="G221" s="1">
        <v>1.9</v>
      </c>
      <c r="H221" s="1">
        <f t="shared" si="11"/>
        <v>1869.6</v>
      </c>
      <c r="I221" s="1" t="s">
        <v>587</v>
      </c>
    </row>
    <row r="222" s="1" customFormat="1" customHeight="1" spans="1:10">
      <c r="A222" s="7">
        <v>45981</v>
      </c>
      <c r="B222" s="1" t="s">
        <v>11</v>
      </c>
      <c r="C222" s="1" t="s">
        <v>2622</v>
      </c>
      <c r="D222" s="1" t="s">
        <v>84</v>
      </c>
      <c r="E222" s="1" t="s">
        <v>14</v>
      </c>
      <c r="F222" s="1">
        <v>50</v>
      </c>
      <c r="G222" s="1">
        <v>1</v>
      </c>
      <c r="H222" s="1">
        <f t="shared" si="11"/>
        <v>50</v>
      </c>
      <c r="I222" s="1" t="s">
        <v>466</v>
      </c>
    </row>
    <row r="223" s="1" customFormat="1" customHeight="1" spans="1:10">
      <c r="A223" s="7">
        <v>45981</v>
      </c>
      <c r="B223" s="1" t="s">
        <v>11</v>
      </c>
      <c r="C223" s="1" t="s">
        <v>2622</v>
      </c>
      <c r="D223" s="1" t="s">
        <v>1304</v>
      </c>
      <c r="E223" s="1" t="s">
        <v>14</v>
      </c>
      <c r="F223" s="1">
        <v>5200</v>
      </c>
      <c r="G223" s="1">
        <v>0.9</v>
      </c>
      <c r="H223" s="1">
        <f t="shared" si="11"/>
        <v>4680</v>
      </c>
      <c r="I223" s="1" t="s">
        <v>2115</v>
      </c>
    </row>
    <row r="224" s="1" customFormat="1" customHeight="1" spans="1:10">
      <c r="A224" s="7">
        <v>45982</v>
      </c>
      <c r="B224" s="1" t="s">
        <v>11</v>
      </c>
      <c r="C224" s="1" t="s">
        <v>2623</v>
      </c>
      <c r="D224" s="1" t="s">
        <v>389</v>
      </c>
      <c r="E224" s="1" t="s">
        <v>14</v>
      </c>
      <c r="F224" s="1">
        <v>9810</v>
      </c>
      <c r="G224" s="1">
        <v>1.5</v>
      </c>
      <c r="H224" s="1">
        <f t="shared" si="11"/>
        <v>14715</v>
      </c>
      <c r="I224" s="1" t="s">
        <v>1429</v>
      </c>
      <c r="J224" s="1" t="s">
        <v>46</v>
      </c>
    </row>
    <row r="225" s="1" customFormat="1" customHeight="1" spans="1:10">
      <c r="A225" s="7">
        <v>45982</v>
      </c>
      <c r="B225" s="1" t="s">
        <v>11</v>
      </c>
      <c r="C225" s="1" t="s">
        <v>2623</v>
      </c>
      <c r="D225" s="1" t="s">
        <v>2624</v>
      </c>
      <c r="E225" s="1" t="s">
        <v>14</v>
      </c>
      <c r="F225" s="1">
        <v>14000</v>
      </c>
      <c r="G225" s="1">
        <v>1.05</v>
      </c>
      <c r="H225" s="1">
        <f t="shared" si="11"/>
        <v>14700</v>
      </c>
      <c r="I225" s="1" t="s">
        <v>45</v>
      </c>
      <c r="J225" s="1" t="s">
        <v>46</v>
      </c>
    </row>
    <row r="226" s="1" customFormat="1" customHeight="1" spans="1:10">
      <c r="A226" s="7">
        <v>45982</v>
      </c>
      <c r="B226" s="1" t="s">
        <v>11</v>
      </c>
      <c r="C226" s="1" t="s">
        <v>2623</v>
      </c>
      <c r="D226" s="1" t="s">
        <v>586</v>
      </c>
      <c r="E226" s="1" t="s">
        <v>14</v>
      </c>
      <c r="F226" s="1">
        <v>4100</v>
      </c>
      <c r="G226" s="1">
        <v>2.1</v>
      </c>
      <c r="H226" s="1">
        <f t="shared" si="11"/>
        <v>8610</v>
      </c>
      <c r="I226" s="1" t="s">
        <v>2208</v>
      </c>
      <c r="J226" s="1" t="s">
        <v>46</v>
      </c>
    </row>
    <row r="227" s="1" customFormat="1" customHeight="1" spans="1:10">
      <c r="A227" s="7">
        <v>45982</v>
      </c>
      <c r="B227" s="1" t="s">
        <v>11</v>
      </c>
      <c r="C227" s="1" t="s">
        <v>2623</v>
      </c>
      <c r="D227" s="1" t="s">
        <v>519</v>
      </c>
      <c r="E227" s="1" t="s">
        <v>14</v>
      </c>
      <c r="F227" s="1">
        <v>6000</v>
      </c>
      <c r="G227" s="1">
        <v>1.2</v>
      </c>
      <c r="H227" s="1">
        <f t="shared" si="11"/>
        <v>7200</v>
      </c>
      <c r="I227" s="1" t="s">
        <v>2175</v>
      </c>
      <c r="J227" s="1" t="s">
        <v>46</v>
      </c>
    </row>
    <row r="228" s="1" customFormat="1" customHeight="1" spans="1:10">
      <c r="A228" s="7">
        <v>45982</v>
      </c>
      <c r="B228" s="1" t="s">
        <v>11</v>
      </c>
      <c r="C228" s="1" t="s">
        <v>2623</v>
      </c>
      <c r="D228" s="1" t="s">
        <v>18</v>
      </c>
      <c r="E228" s="1" t="s">
        <v>14</v>
      </c>
      <c r="F228" s="1">
        <v>6170</v>
      </c>
      <c r="G228" s="1">
        <v>0.95</v>
      </c>
      <c r="H228" s="1">
        <f t="shared" si="11"/>
        <v>5861.5</v>
      </c>
      <c r="I228" s="1" t="s">
        <v>2571</v>
      </c>
      <c r="J228" s="1" t="s">
        <v>46</v>
      </c>
    </row>
    <row r="229" s="1" customFormat="1" customHeight="1" spans="1:10">
      <c r="A229" s="7">
        <v>45982</v>
      </c>
      <c r="B229" s="1" t="s">
        <v>11</v>
      </c>
      <c r="C229" s="1" t="s">
        <v>2625</v>
      </c>
      <c r="D229" s="1" t="s">
        <v>290</v>
      </c>
      <c r="E229" s="1" t="s">
        <v>14</v>
      </c>
      <c r="F229" s="1">
        <v>900</v>
      </c>
      <c r="G229" s="1">
        <v>0.9</v>
      </c>
      <c r="H229" s="1">
        <f t="shared" si="11"/>
        <v>810</v>
      </c>
      <c r="I229" s="1" t="s">
        <v>503</v>
      </c>
    </row>
    <row r="230" s="1" customFormat="1" customHeight="1" spans="1:10">
      <c r="A230" s="7">
        <v>45982</v>
      </c>
      <c r="B230" s="1" t="s">
        <v>11</v>
      </c>
      <c r="C230" s="1" t="s">
        <v>2626</v>
      </c>
      <c r="D230" s="1" t="s">
        <v>389</v>
      </c>
      <c r="E230" s="1" t="s">
        <v>14</v>
      </c>
      <c r="F230" s="1">
        <v>300</v>
      </c>
      <c r="G230" s="1">
        <v>1.5</v>
      </c>
      <c r="H230" s="1">
        <f t="shared" si="11"/>
        <v>450</v>
      </c>
      <c r="I230" s="1" t="s">
        <v>1429</v>
      </c>
    </row>
    <row r="231" s="1" customFormat="1" customHeight="1" spans="1:10">
      <c r="A231" s="7">
        <v>45982</v>
      </c>
      <c r="B231" s="1" t="s">
        <v>11</v>
      </c>
      <c r="C231" s="1" t="s">
        <v>2627</v>
      </c>
      <c r="D231" s="1" t="s">
        <v>321</v>
      </c>
      <c r="E231" s="1" t="s">
        <v>14</v>
      </c>
      <c r="F231" s="1">
        <v>10</v>
      </c>
      <c r="G231" s="1">
        <v>1.5</v>
      </c>
      <c r="H231" s="1">
        <f t="shared" si="11"/>
        <v>15</v>
      </c>
      <c r="I231" s="1" t="s">
        <v>2628</v>
      </c>
    </row>
    <row r="232" s="1" customFormat="1" customHeight="1" spans="1:10">
      <c r="A232" s="7">
        <v>45982</v>
      </c>
      <c r="B232" s="1" t="s">
        <v>11</v>
      </c>
      <c r="C232" s="1" t="s">
        <v>2627</v>
      </c>
      <c r="D232" s="1" t="s">
        <v>762</v>
      </c>
      <c r="E232" s="1" t="s">
        <v>14</v>
      </c>
      <c r="F232" s="1">
        <v>10</v>
      </c>
      <c r="G232" s="1">
        <v>1.1</v>
      </c>
      <c r="H232" s="1">
        <f t="shared" si="11"/>
        <v>11</v>
      </c>
      <c r="I232" s="1" t="s">
        <v>2628</v>
      </c>
    </row>
    <row r="233" s="1" customFormat="1" customHeight="1" spans="1:10">
      <c r="A233" s="7">
        <v>45983</v>
      </c>
      <c r="B233" s="1" t="s">
        <v>11</v>
      </c>
      <c r="C233" s="1" t="s">
        <v>2629</v>
      </c>
      <c r="D233" s="1" t="s">
        <v>1224</v>
      </c>
      <c r="E233" s="1" t="s">
        <v>14</v>
      </c>
      <c r="F233" s="1">
        <v>23</v>
      </c>
      <c r="G233" s="1">
        <v>1.2</v>
      </c>
      <c r="H233" s="1">
        <f t="shared" si="11"/>
        <v>27.6</v>
      </c>
      <c r="I233" s="1" t="s">
        <v>28</v>
      </c>
    </row>
    <row r="234" s="1" customFormat="1" customHeight="1" spans="1:10">
      <c r="A234" s="7">
        <v>45983</v>
      </c>
      <c r="B234" s="1" t="s">
        <v>11</v>
      </c>
      <c r="C234" s="1" t="s">
        <v>2629</v>
      </c>
      <c r="D234" s="1" t="s">
        <v>285</v>
      </c>
      <c r="E234" s="1" t="s">
        <v>14</v>
      </c>
      <c r="F234" s="1">
        <v>64</v>
      </c>
      <c r="G234" s="1">
        <v>1.9</v>
      </c>
      <c r="H234" s="1">
        <f t="shared" si="11"/>
        <v>121.6</v>
      </c>
      <c r="I234" s="1" t="s">
        <v>28</v>
      </c>
    </row>
    <row r="235" s="1" customFormat="1" customHeight="1" spans="1:10">
      <c r="A235" s="7">
        <v>45957</v>
      </c>
      <c r="B235" s="1" t="s">
        <v>2457</v>
      </c>
      <c r="C235" s="1">
        <v>20251009</v>
      </c>
      <c r="D235" s="1" t="s">
        <v>102</v>
      </c>
      <c r="E235" s="1" t="s">
        <v>222</v>
      </c>
      <c r="F235" s="1">
        <v>2040</v>
      </c>
      <c r="G235" s="1">
        <v>0.8</v>
      </c>
      <c r="H235" s="1">
        <f t="shared" ref="H235:H264" si="12">F235*G235</f>
        <v>1632</v>
      </c>
      <c r="I235" s="1" t="s">
        <v>103</v>
      </c>
    </row>
    <row r="236" s="1" customFormat="1" customHeight="1" spans="1:10">
      <c r="A236" s="7">
        <v>45957</v>
      </c>
      <c r="B236" s="1" t="s">
        <v>2457</v>
      </c>
      <c r="C236" s="1">
        <v>20251009</v>
      </c>
      <c r="D236" s="1" t="s">
        <v>752</v>
      </c>
      <c r="E236" s="1" t="s">
        <v>207</v>
      </c>
      <c r="F236" s="1">
        <v>30000</v>
      </c>
      <c r="G236" s="1">
        <v>0.57</v>
      </c>
      <c r="H236" s="1">
        <f t="shared" si="12"/>
        <v>17100</v>
      </c>
      <c r="I236" s="1" t="s">
        <v>396</v>
      </c>
    </row>
    <row r="237" s="1" customFormat="1" customHeight="1" spans="1:10">
      <c r="A237" s="7">
        <v>45958</v>
      </c>
      <c r="B237" s="1" t="s">
        <v>2457</v>
      </c>
      <c r="C237" s="1">
        <v>20251008</v>
      </c>
      <c r="D237" s="1" t="s">
        <v>752</v>
      </c>
      <c r="E237" s="1" t="s">
        <v>207</v>
      </c>
      <c r="F237" s="1">
        <v>40000</v>
      </c>
      <c r="G237" s="1">
        <v>0.57</v>
      </c>
      <c r="H237" s="1">
        <f t="shared" si="12"/>
        <v>22800</v>
      </c>
      <c r="I237" s="1" t="s">
        <v>396</v>
      </c>
    </row>
    <row r="238" s="1" customFormat="1" customHeight="1" spans="1:10">
      <c r="A238" s="7">
        <v>45959</v>
      </c>
      <c r="B238" s="1" t="s">
        <v>2457</v>
      </c>
      <c r="C238" s="1">
        <v>20251009</v>
      </c>
      <c r="D238" s="1" t="s">
        <v>752</v>
      </c>
      <c r="E238" s="1" t="s">
        <v>207</v>
      </c>
      <c r="F238" s="1">
        <v>20000</v>
      </c>
      <c r="G238" s="1">
        <v>0.57</v>
      </c>
      <c r="H238" s="1">
        <f t="shared" si="12"/>
        <v>11400</v>
      </c>
      <c r="I238" s="1" t="s">
        <v>396</v>
      </c>
    </row>
    <row r="239" s="1" customFormat="1" customHeight="1" spans="1:10">
      <c r="A239" s="7">
        <v>45962</v>
      </c>
      <c r="B239" s="1" t="s">
        <v>2457</v>
      </c>
      <c r="C239" s="1">
        <v>20251101</v>
      </c>
      <c r="D239" s="1" t="s">
        <v>107</v>
      </c>
      <c r="E239" s="1" t="s">
        <v>222</v>
      </c>
      <c r="F239" s="1">
        <v>4064</v>
      </c>
      <c r="G239" s="1">
        <v>1.73</v>
      </c>
      <c r="H239" s="1">
        <f t="shared" si="12"/>
        <v>7030.72</v>
      </c>
      <c r="I239" s="1" t="s">
        <v>1301</v>
      </c>
    </row>
    <row r="240" s="1" customFormat="1" customHeight="1" spans="1:10">
      <c r="A240" s="7">
        <v>45966</v>
      </c>
      <c r="B240" s="1" t="s">
        <v>2457</v>
      </c>
      <c r="C240" s="1">
        <v>20251102</v>
      </c>
      <c r="D240" s="1" t="s">
        <v>362</v>
      </c>
      <c r="E240" s="1" t="s">
        <v>1405</v>
      </c>
      <c r="F240" s="1">
        <v>7065</v>
      </c>
      <c r="G240" s="1">
        <v>0.8</v>
      </c>
      <c r="H240" s="1">
        <f t="shared" si="12"/>
        <v>5652</v>
      </c>
      <c r="I240" s="1" t="s">
        <v>363</v>
      </c>
    </row>
    <row r="241" s="1" customFormat="1" customHeight="1" spans="1:10">
      <c r="A241" s="7">
        <v>45969</v>
      </c>
      <c r="B241" s="1" t="s">
        <v>2457</v>
      </c>
      <c r="C241" s="1">
        <v>20251103</v>
      </c>
      <c r="D241" s="1" t="s">
        <v>102</v>
      </c>
      <c r="E241" s="1" t="s">
        <v>222</v>
      </c>
      <c r="F241" s="1">
        <v>8007</v>
      </c>
      <c r="G241" s="1">
        <v>0.8</v>
      </c>
      <c r="H241" s="1">
        <f t="shared" si="12"/>
        <v>6405.6</v>
      </c>
      <c r="I241" s="1" t="s">
        <v>2185</v>
      </c>
    </row>
    <row r="242" s="1" customFormat="1" customHeight="1" spans="1:10">
      <c r="A242" s="7">
        <v>45972</v>
      </c>
      <c r="B242" s="1" t="s">
        <v>2457</v>
      </c>
      <c r="C242" s="1">
        <v>20251104</v>
      </c>
      <c r="D242" s="1" t="s">
        <v>752</v>
      </c>
      <c r="E242" s="1" t="s">
        <v>207</v>
      </c>
      <c r="F242" s="1">
        <v>35000</v>
      </c>
      <c r="G242" s="1">
        <v>0.57</v>
      </c>
      <c r="H242" s="1">
        <f t="shared" si="12"/>
        <v>19950</v>
      </c>
      <c r="I242" s="1" t="s">
        <v>396</v>
      </c>
    </row>
    <row r="243" s="1" customFormat="1" customHeight="1" spans="1:10">
      <c r="A243" s="7">
        <v>45972</v>
      </c>
      <c r="B243" s="1" t="s">
        <v>2457</v>
      </c>
      <c r="C243" s="1">
        <v>20251104</v>
      </c>
      <c r="D243" s="1" t="s">
        <v>115</v>
      </c>
      <c r="E243" s="1" t="s">
        <v>222</v>
      </c>
      <c r="F243" s="1">
        <v>8220</v>
      </c>
      <c r="G243" s="1">
        <v>0.5</v>
      </c>
      <c r="H243" s="1">
        <f t="shared" si="12"/>
        <v>4110</v>
      </c>
      <c r="I243" s="1" t="s">
        <v>71</v>
      </c>
    </row>
    <row r="244" s="1" customFormat="1" customHeight="1" spans="1:10">
      <c r="A244" s="7">
        <v>45972</v>
      </c>
      <c r="B244" s="1" t="s">
        <v>2457</v>
      </c>
      <c r="C244" s="1">
        <v>20251104</v>
      </c>
      <c r="D244" s="1" t="s">
        <v>115</v>
      </c>
      <c r="E244" s="1" t="s">
        <v>222</v>
      </c>
      <c r="F244" s="1">
        <v>305</v>
      </c>
      <c r="G244" s="1">
        <v>0.5</v>
      </c>
      <c r="H244" s="1">
        <f t="shared" si="12"/>
        <v>152.5</v>
      </c>
      <c r="I244" s="1" t="s">
        <v>570</v>
      </c>
    </row>
    <row r="245" s="1" customFormat="1" customHeight="1" spans="1:10">
      <c r="A245" s="7">
        <v>45975</v>
      </c>
      <c r="B245" s="1" t="s">
        <v>2457</v>
      </c>
      <c r="C245" s="1">
        <v>20251105</v>
      </c>
      <c r="D245" s="1" t="s">
        <v>2630</v>
      </c>
      <c r="E245" s="1" t="s">
        <v>1405</v>
      </c>
      <c r="F245" s="1">
        <v>2005</v>
      </c>
      <c r="G245" s="1">
        <v>1.1</v>
      </c>
      <c r="H245" s="1">
        <f t="shared" si="12"/>
        <v>2205.5</v>
      </c>
      <c r="I245" s="1" t="s">
        <v>1991</v>
      </c>
    </row>
    <row r="246" s="1" customFormat="1" customHeight="1" spans="1:10">
      <c r="A246" s="7">
        <v>45975</v>
      </c>
      <c r="B246" s="1" t="s">
        <v>2457</v>
      </c>
      <c r="C246" s="1">
        <v>20251105</v>
      </c>
      <c r="D246" s="1" t="s">
        <v>1298</v>
      </c>
      <c r="E246" s="1" t="s">
        <v>1405</v>
      </c>
      <c r="F246" s="1">
        <v>1075</v>
      </c>
      <c r="G246" s="1">
        <v>1.2</v>
      </c>
      <c r="H246" s="1">
        <f t="shared" si="12"/>
        <v>1290</v>
      </c>
      <c r="I246" s="1" t="s">
        <v>684</v>
      </c>
    </row>
    <row r="247" s="1" customFormat="1" customHeight="1" spans="1:10">
      <c r="A247" s="7">
        <v>45979</v>
      </c>
      <c r="B247" s="1" t="s">
        <v>2457</v>
      </c>
      <c r="C247" s="1">
        <v>20251106</v>
      </c>
      <c r="D247" s="1" t="s">
        <v>84</v>
      </c>
      <c r="E247" s="1" t="s">
        <v>1405</v>
      </c>
      <c r="F247" s="1">
        <v>8760</v>
      </c>
      <c r="G247" s="1">
        <v>1.05</v>
      </c>
      <c r="H247" s="1">
        <f t="shared" si="12"/>
        <v>9198</v>
      </c>
      <c r="I247" s="1" t="s">
        <v>466</v>
      </c>
    </row>
    <row r="248" s="1" customFormat="1" customHeight="1" spans="1:10">
      <c r="A248" s="7">
        <v>45958</v>
      </c>
      <c r="B248" s="1" t="s">
        <v>57</v>
      </c>
      <c r="D248" s="1" t="s">
        <v>130</v>
      </c>
      <c r="E248" s="1" t="s">
        <v>222</v>
      </c>
      <c r="F248" s="1">
        <v>2035</v>
      </c>
      <c r="G248" s="1">
        <v>0.48</v>
      </c>
      <c r="H248" s="1">
        <f t="shared" si="12"/>
        <v>976.8</v>
      </c>
      <c r="I248" s="1" t="s">
        <v>432</v>
      </c>
    </row>
    <row r="249" customHeight="1" spans="1:10">
      <c r="A249" s="7">
        <v>45955</v>
      </c>
      <c r="B249" s="1" t="s">
        <v>194</v>
      </c>
      <c r="D249" s="1" t="s">
        <v>1398</v>
      </c>
      <c r="E249" s="1" t="s">
        <v>14</v>
      </c>
      <c r="F249" s="1">
        <v>5010</v>
      </c>
      <c r="G249" s="1">
        <v>0.69</v>
      </c>
      <c r="H249" s="1">
        <f t="shared" si="12"/>
        <v>3456.9</v>
      </c>
      <c r="I249" s="1" t="s">
        <v>1399</v>
      </c>
    </row>
    <row r="250" s="1" customFormat="1" customHeight="1" spans="1:10">
      <c r="A250" s="7">
        <v>45960</v>
      </c>
      <c r="B250" s="1" t="s">
        <v>194</v>
      </c>
      <c r="D250" s="1" t="s">
        <v>195</v>
      </c>
      <c r="E250" s="1" t="s">
        <v>361</v>
      </c>
      <c r="F250" s="1">
        <v>1010</v>
      </c>
      <c r="G250" s="1">
        <v>0.86</v>
      </c>
      <c r="H250" s="1">
        <f t="shared" si="12"/>
        <v>868.6</v>
      </c>
      <c r="I250" s="1" t="s">
        <v>2003</v>
      </c>
    </row>
    <row r="251" s="1" customFormat="1" customHeight="1" spans="1:10">
      <c r="A251" s="7">
        <v>45965</v>
      </c>
      <c r="B251" s="1" t="s">
        <v>194</v>
      </c>
      <c r="D251" s="1" t="s">
        <v>1434</v>
      </c>
      <c r="E251" s="1" t="s">
        <v>14</v>
      </c>
      <c r="F251" s="1">
        <v>10010</v>
      </c>
      <c r="G251" s="1">
        <v>0.79</v>
      </c>
      <c r="H251" s="1">
        <f t="shared" si="12"/>
        <v>7907.9</v>
      </c>
      <c r="I251" s="1" t="s">
        <v>396</v>
      </c>
      <c r="J251" s="1" t="s">
        <v>46</v>
      </c>
    </row>
    <row r="252" s="1" customFormat="1" customHeight="1" spans="1:10">
      <c r="A252" s="7">
        <v>45968</v>
      </c>
      <c r="B252" s="1" t="s">
        <v>194</v>
      </c>
      <c r="D252" s="1" t="s">
        <v>2332</v>
      </c>
      <c r="E252" s="1" t="s">
        <v>14</v>
      </c>
      <c r="F252" s="1">
        <v>3050</v>
      </c>
      <c r="G252" s="1">
        <v>0.63</v>
      </c>
      <c r="H252" s="1">
        <f t="shared" si="12"/>
        <v>1921.5</v>
      </c>
      <c r="I252" s="1" t="s">
        <v>330</v>
      </c>
      <c r="J252" s="1" t="s">
        <v>1135</v>
      </c>
    </row>
    <row r="253" s="1" customFormat="1" customHeight="1" spans="1:10">
      <c r="A253" s="7">
        <v>45968</v>
      </c>
      <c r="B253" s="1" t="s">
        <v>194</v>
      </c>
      <c r="D253" s="1" t="s">
        <v>735</v>
      </c>
      <c r="E253" s="1" t="s">
        <v>14</v>
      </c>
      <c r="F253" s="1">
        <v>310</v>
      </c>
      <c r="G253" s="1">
        <v>0.7</v>
      </c>
      <c r="H253" s="1">
        <f t="shared" si="12"/>
        <v>217</v>
      </c>
      <c r="I253" s="1" t="s">
        <v>330</v>
      </c>
      <c r="J253" s="1" t="s">
        <v>1135</v>
      </c>
    </row>
    <row r="254" s="1" customFormat="1" customHeight="1" spans="1:10">
      <c r="A254" s="7">
        <v>45968</v>
      </c>
      <c r="B254" s="1" t="s">
        <v>194</v>
      </c>
      <c r="D254" s="1" t="s">
        <v>1395</v>
      </c>
      <c r="E254" s="1" t="s">
        <v>14</v>
      </c>
      <c r="F254" s="1">
        <v>210</v>
      </c>
      <c r="G254" s="1">
        <v>0.89</v>
      </c>
      <c r="H254" s="1">
        <f t="shared" si="12"/>
        <v>186.9</v>
      </c>
      <c r="I254" s="1" t="s">
        <v>330</v>
      </c>
      <c r="J254" s="1" t="s">
        <v>1135</v>
      </c>
    </row>
    <row r="255" s="1" customFormat="1" customHeight="1" spans="1:10">
      <c r="A255" s="7">
        <v>45974</v>
      </c>
      <c r="B255" s="1" t="s">
        <v>194</v>
      </c>
      <c r="D255" s="1" t="s">
        <v>736</v>
      </c>
      <c r="E255" s="1" t="s">
        <v>14</v>
      </c>
      <c r="F255" s="1">
        <v>11000</v>
      </c>
      <c r="G255" s="1">
        <v>0.82</v>
      </c>
      <c r="H255" s="1">
        <f t="shared" si="12"/>
        <v>9020</v>
      </c>
      <c r="I255" s="1" t="s">
        <v>65</v>
      </c>
      <c r="J255" s="1" t="s">
        <v>1135</v>
      </c>
    </row>
    <row r="256" s="1" customFormat="1" customHeight="1" spans="1:10">
      <c r="A256" s="7">
        <v>45974</v>
      </c>
      <c r="B256" s="1" t="s">
        <v>194</v>
      </c>
      <c r="D256" s="1" t="s">
        <v>198</v>
      </c>
      <c r="E256" s="1" t="s">
        <v>14</v>
      </c>
      <c r="F256" s="1">
        <v>5000</v>
      </c>
      <c r="G256" s="1">
        <v>1.05</v>
      </c>
      <c r="H256" s="1">
        <f t="shared" si="12"/>
        <v>5250</v>
      </c>
      <c r="I256" s="1" t="s">
        <v>193</v>
      </c>
      <c r="J256" s="1" t="s">
        <v>1135</v>
      </c>
    </row>
    <row r="257" s="1" customFormat="1" customHeight="1" spans="1:10">
      <c r="A257" s="7">
        <v>45958</v>
      </c>
      <c r="B257" s="1" t="s">
        <v>906</v>
      </c>
      <c r="C257" s="1" t="s">
        <v>2631</v>
      </c>
      <c r="D257" s="1" t="s">
        <v>1619</v>
      </c>
      <c r="E257" s="1" t="s">
        <v>158</v>
      </c>
      <c r="F257" s="1">
        <v>100000</v>
      </c>
      <c r="G257" s="1">
        <v>0.17</v>
      </c>
      <c r="H257" s="1">
        <f t="shared" si="12"/>
        <v>17000</v>
      </c>
      <c r="I257" s="1" t="s">
        <v>61</v>
      </c>
    </row>
    <row r="258" s="1" customFormat="1" customHeight="1" spans="1:10">
      <c r="A258" s="7">
        <v>45962</v>
      </c>
      <c r="B258" s="1" t="s">
        <v>906</v>
      </c>
      <c r="C258" s="1" t="s">
        <v>2632</v>
      </c>
      <c r="D258" s="1" t="s">
        <v>1619</v>
      </c>
      <c r="E258" s="1" t="s">
        <v>158</v>
      </c>
      <c r="F258" s="1">
        <v>100000</v>
      </c>
      <c r="G258" s="1">
        <v>0.17</v>
      </c>
      <c r="H258" s="1">
        <f t="shared" si="12"/>
        <v>17000</v>
      </c>
      <c r="I258" s="1" t="s">
        <v>61</v>
      </c>
    </row>
    <row r="259" s="1" customFormat="1" customHeight="1" spans="1:10">
      <c r="A259" s="7">
        <v>45966</v>
      </c>
      <c r="B259" s="1" t="s">
        <v>906</v>
      </c>
      <c r="C259" s="1" t="s">
        <v>2633</v>
      </c>
      <c r="D259" s="1" t="s">
        <v>2634</v>
      </c>
      <c r="E259" s="1" t="s">
        <v>158</v>
      </c>
      <c r="F259" s="1">
        <v>50000</v>
      </c>
      <c r="G259" s="1">
        <v>0.17</v>
      </c>
      <c r="H259" s="1">
        <f t="shared" si="12"/>
        <v>8500</v>
      </c>
      <c r="I259" s="1" t="s">
        <v>2448</v>
      </c>
    </row>
    <row r="260" s="1" customFormat="1" customHeight="1" spans="1:10">
      <c r="A260" s="7">
        <v>45958</v>
      </c>
      <c r="B260" s="1" t="s">
        <v>2635</v>
      </c>
      <c r="C260" s="1" t="s">
        <v>2636</v>
      </c>
      <c r="D260" s="1" t="s">
        <v>2031</v>
      </c>
      <c r="E260" s="1" t="s">
        <v>14</v>
      </c>
      <c r="F260" s="1">
        <v>60</v>
      </c>
      <c r="G260" s="1">
        <v>1.36</v>
      </c>
      <c r="H260" s="1">
        <f t="shared" si="12"/>
        <v>81.6</v>
      </c>
      <c r="I260" s="1" t="s">
        <v>296</v>
      </c>
      <c r="J260" s="1" t="s">
        <v>1135</v>
      </c>
    </row>
    <row r="261" s="1" customFormat="1" customHeight="1" spans="1:10">
      <c r="A261" s="7">
        <v>45959</v>
      </c>
      <c r="B261" s="1" t="s">
        <v>260</v>
      </c>
      <c r="C261" s="1" t="s">
        <v>2637</v>
      </c>
      <c r="D261" s="1" t="s">
        <v>2031</v>
      </c>
      <c r="E261" s="1" t="s">
        <v>14</v>
      </c>
      <c r="F261" s="1">
        <v>942</v>
      </c>
      <c r="G261" s="1">
        <v>1.3</v>
      </c>
      <c r="H261" s="1">
        <f t="shared" si="12"/>
        <v>1224.6</v>
      </c>
      <c r="I261" s="1" t="s">
        <v>296</v>
      </c>
      <c r="J261" s="1" t="s">
        <v>1135</v>
      </c>
    </row>
    <row r="262" s="1" customFormat="1" customHeight="1" spans="1:10">
      <c r="A262" s="7">
        <v>45960</v>
      </c>
      <c r="B262" s="1" t="s">
        <v>260</v>
      </c>
      <c r="C262" s="1" t="s">
        <v>2638</v>
      </c>
      <c r="D262" s="1" t="s">
        <v>2639</v>
      </c>
      <c r="E262" s="1" t="s">
        <v>14</v>
      </c>
      <c r="F262" s="1">
        <v>230</v>
      </c>
      <c r="G262" s="1">
        <v>1.13</v>
      </c>
      <c r="H262" s="1">
        <f t="shared" si="12"/>
        <v>259.9</v>
      </c>
      <c r="I262" s="1" t="s">
        <v>89</v>
      </c>
      <c r="J262" s="1" t="s">
        <v>1135</v>
      </c>
    </row>
    <row r="263" s="1" customFormat="1" customHeight="1" spans="1:10">
      <c r="A263" s="7">
        <v>45966</v>
      </c>
      <c r="B263" s="1" t="s">
        <v>260</v>
      </c>
      <c r="C263" s="1" t="s">
        <v>2640</v>
      </c>
      <c r="D263" s="1" t="s">
        <v>30</v>
      </c>
      <c r="E263" s="1" t="s">
        <v>14</v>
      </c>
      <c r="F263" s="1">
        <v>175</v>
      </c>
      <c r="G263" s="1">
        <v>2.05</v>
      </c>
      <c r="H263" s="1">
        <f t="shared" si="12"/>
        <v>358.75</v>
      </c>
      <c r="I263" s="1" t="s">
        <v>2641</v>
      </c>
      <c r="J263" s="1" t="s">
        <v>1135</v>
      </c>
    </row>
    <row r="264" s="1" customFormat="1" customHeight="1" spans="1:10">
      <c r="A264" s="7">
        <v>45978</v>
      </c>
      <c r="B264" s="1" t="s">
        <v>260</v>
      </c>
      <c r="C264" s="1" t="s">
        <v>2642</v>
      </c>
      <c r="D264" s="1" t="s">
        <v>282</v>
      </c>
      <c r="E264" s="1" t="s">
        <v>14</v>
      </c>
      <c r="F264" s="1">
        <v>1115</v>
      </c>
      <c r="G264" s="1">
        <v>0.8</v>
      </c>
      <c r="H264" s="1">
        <f t="shared" si="12"/>
        <v>892</v>
      </c>
      <c r="I264" s="1" t="s">
        <v>283</v>
      </c>
      <c r="J264" s="1" t="s">
        <v>1135</v>
      </c>
    </row>
    <row r="265" s="1" customFormat="1" customHeight="1" spans="1:10">
      <c r="A265" s="7">
        <v>45956</v>
      </c>
      <c r="B265" s="1" t="s">
        <v>225</v>
      </c>
      <c r="C265" s="90" t="s">
        <v>2643</v>
      </c>
      <c r="D265" s="1" t="s">
        <v>122</v>
      </c>
      <c r="E265" s="1" t="s">
        <v>1621</v>
      </c>
      <c r="F265" s="1">
        <v>10283</v>
      </c>
      <c r="G265" s="1">
        <v>0.48</v>
      </c>
      <c r="H265" s="1">
        <f t="shared" ref="H265:H286" si="13">F265*G265</f>
        <v>4935.84</v>
      </c>
      <c r="I265" s="1" t="s">
        <v>126</v>
      </c>
    </row>
    <row r="266" s="1" customFormat="1" customHeight="1" spans="1:10">
      <c r="A266" s="7">
        <v>45962</v>
      </c>
      <c r="B266" s="1" t="s">
        <v>225</v>
      </c>
      <c r="C266" s="90" t="s">
        <v>2644</v>
      </c>
      <c r="D266" s="1" t="s">
        <v>122</v>
      </c>
      <c r="E266" s="1" t="s">
        <v>2645</v>
      </c>
      <c r="F266" s="1">
        <v>10710</v>
      </c>
      <c r="G266" s="1">
        <v>0.47</v>
      </c>
      <c r="H266" s="1">
        <f t="shared" si="13"/>
        <v>5033.7</v>
      </c>
      <c r="I266" s="1" t="s">
        <v>2531</v>
      </c>
    </row>
    <row r="267" s="1" customFormat="1" customHeight="1" spans="1:10">
      <c r="A267" s="7">
        <v>45962</v>
      </c>
      <c r="B267" s="1" t="s">
        <v>225</v>
      </c>
      <c r="C267" s="90" t="s">
        <v>2644</v>
      </c>
      <c r="D267" s="1" t="s">
        <v>122</v>
      </c>
      <c r="E267" s="1" t="s">
        <v>222</v>
      </c>
      <c r="F267" s="1">
        <v>8161</v>
      </c>
      <c r="G267" s="1">
        <v>0.45</v>
      </c>
      <c r="H267" s="1">
        <f t="shared" si="13"/>
        <v>3672.45</v>
      </c>
      <c r="I267" s="1" t="s">
        <v>117</v>
      </c>
    </row>
    <row r="268" s="1" customFormat="1" customHeight="1" spans="1:10">
      <c r="A268" s="7">
        <v>45964</v>
      </c>
      <c r="B268" s="1" t="s">
        <v>225</v>
      </c>
      <c r="C268" s="90" t="s">
        <v>2646</v>
      </c>
      <c r="D268" s="1" t="s">
        <v>59</v>
      </c>
      <c r="E268" s="1" t="s">
        <v>2645</v>
      </c>
      <c r="F268" s="1">
        <v>2295</v>
      </c>
      <c r="G268" s="1">
        <v>0.42</v>
      </c>
      <c r="H268" s="1">
        <f t="shared" si="13"/>
        <v>963.9</v>
      </c>
      <c r="I268" s="1" t="s">
        <v>65</v>
      </c>
    </row>
    <row r="269" s="1" customFormat="1" customHeight="1" spans="1:10">
      <c r="A269" s="7">
        <v>45972</v>
      </c>
      <c r="B269" s="1" t="s">
        <v>225</v>
      </c>
      <c r="C269" s="90" t="s">
        <v>2647</v>
      </c>
      <c r="D269" s="1" t="s">
        <v>122</v>
      </c>
      <c r="E269" s="1" t="s">
        <v>1621</v>
      </c>
      <c r="F269" s="1">
        <v>20000</v>
      </c>
      <c r="G269" s="1">
        <v>0.51</v>
      </c>
      <c r="H269" s="1">
        <f t="shared" si="13"/>
        <v>10200</v>
      </c>
      <c r="I269" s="1" t="s">
        <v>117</v>
      </c>
    </row>
    <row r="270" s="1" customFormat="1" customHeight="1" spans="1:10">
      <c r="A270" s="7">
        <v>45974</v>
      </c>
      <c r="B270" s="1" t="s">
        <v>225</v>
      </c>
      <c r="C270" s="90" t="s">
        <v>2648</v>
      </c>
      <c r="D270" s="1" t="s">
        <v>122</v>
      </c>
      <c r="E270" s="1" t="s">
        <v>1621</v>
      </c>
      <c r="F270" s="1">
        <v>23000</v>
      </c>
      <c r="G270" s="1">
        <v>0.51</v>
      </c>
      <c r="H270" s="1">
        <f t="shared" si="13"/>
        <v>11730</v>
      </c>
      <c r="I270" s="1" t="s">
        <v>117</v>
      </c>
    </row>
    <row r="271" s="1" customFormat="1" customHeight="1" spans="1:10">
      <c r="A271" s="7">
        <v>45974</v>
      </c>
      <c r="B271" s="1" t="s">
        <v>225</v>
      </c>
      <c r="C271" s="90" t="s">
        <v>2648</v>
      </c>
      <c r="D271" s="1" t="s">
        <v>122</v>
      </c>
      <c r="E271" s="1" t="s">
        <v>1621</v>
      </c>
      <c r="F271" s="1">
        <v>6010</v>
      </c>
      <c r="G271" s="1">
        <v>0.48</v>
      </c>
      <c r="H271" s="1">
        <f t="shared" si="13"/>
        <v>2884.8</v>
      </c>
      <c r="I271" s="1" t="s">
        <v>117</v>
      </c>
    </row>
    <row r="272" s="1" customFormat="1" customHeight="1" spans="1:10">
      <c r="A272" s="7">
        <v>45974</v>
      </c>
      <c r="B272" s="1" t="s">
        <v>225</v>
      </c>
      <c r="C272" s="90" t="s">
        <v>2648</v>
      </c>
      <c r="D272" s="1" t="s">
        <v>122</v>
      </c>
      <c r="E272" s="1" t="s">
        <v>1621</v>
      </c>
      <c r="F272" s="1">
        <v>1110</v>
      </c>
      <c r="G272" s="1">
        <v>0.48</v>
      </c>
      <c r="H272" s="1">
        <f t="shared" si="13"/>
        <v>532.8</v>
      </c>
      <c r="I272" s="1" t="s">
        <v>1453</v>
      </c>
    </row>
    <row r="273" s="1" customFormat="1" customHeight="1" spans="1:9">
      <c r="A273" s="7">
        <v>45974</v>
      </c>
      <c r="B273" s="1" t="s">
        <v>225</v>
      </c>
      <c r="C273" s="90" t="s">
        <v>2648</v>
      </c>
      <c r="D273" s="1" t="s">
        <v>122</v>
      </c>
      <c r="E273" s="1" t="s">
        <v>1621</v>
      </c>
      <c r="F273" s="1">
        <v>6120</v>
      </c>
      <c r="G273" s="1">
        <v>0.48</v>
      </c>
      <c r="H273" s="1">
        <f t="shared" si="13"/>
        <v>2937.6</v>
      </c>
      <c r="I273" s="1" t="s">
        <v>761</v>
      </c>
    </row>
    <row r="274" s="1" customFormat="1" customHeight="1" spans="1:9">
      <c r="A274" s="7">
        <v>45977</v>
      </c>
      <c r="B274" s="1" t="s">
        <v>225</v>
      </c>
      <c r="C274" s="90" t="s">
        <v>2649</v>
      </c>
      <c r="D274" s="1" t="s">
        <v>122</v>
      </c>
      <c r="E274" s="1" t="s">
        <v>1621</v>
      </c>
      <c r="F274" s="1">
        <v>43096</v>
      </c>
      <c r="G274" s="1">
        <v>0.51</v>
      </c>
      <c r="H274" s="1">
        <f t="shared" si="13"/>
        <v>21978.96</v>
      </c>
      <c r="I274" s="1" t="s">
        <v>117</v>
      </c>
    </row>
    <row r="275" s="1" customFormat="1" customHeight="1" spans="1:9">
      <c r="A275" s="7">
        <v>45984</v>
      </c>
      <c r="B275" s="1" t="s">
        <v>225</v>
      </c>
      <c r="C275" s="90" t="s">
        <v>2650</v>
      </c>
      <c r="D275" s="1" t="s">
        <v>122</v>
      </c>
      <c r="E275" s="1" t="s">
        <v>1621</v>
      </c>
      <c r="F275" s="1">
        <v>2078</v>
      </c>
      <c r="G275" s="1">
        <v>0.51</v>
      </c>
      <c r="H275" s="1">
        <f t="shared" si="13"/>
        <v>1059.78</v>
      </c>
      <c r="I275" s="1" t="s">
        <v>117</v>
      </c>
    </row>
    <row r="276" s="1" customFormat="1" customHeight="1" spans="1:9">
      <c r="A276" s="7">
        <v>45984</v>
      </c>
      <c r="B276" s="1" t="s">
        <v>225</v>
      </c>
      <c r="C276" s="90" t="s">
        <v>2650</v>
      </c>
      <c r="D276" s="1" t="s">
        <v>122</v>
      </c>
      <c r="E276" s="1" t="s">
        <v>1621</v>
      </c>
      <c r="F276" s="1">
        <v>2005</v>
      </c>
      <c r="G276" s="1">
        <v>0.6</v>
      </c>
      <c r="H276" s="1">
        <f t="shared" si="13"/>
        <v>1203</v>
      </c>
      <c r="I276" s="1" t="s">
        <v>2651</v>
      </c>
    </row>
    <row r="277" s="1" customFormat="1" customHeight="1" spans="1:9">
      <c r="A277" s="7">
        <v>45960</v>
      </c>
      <c r="B277" s="1" t="s">
        <v>1862</v>
      </c>
      <c r="C277" s="1" t="s">
        <v>2652</v>
      </c>
      <c r="D277" s="1" t="s">
        <v>217</v>
      </c>
      <c r="E277" s="1" t="s">
        <v>2653</v>
      </c>
      <c r="F277" s="1">
        <v>10</v>
      </c>
      <c r="G277" s="1">
        <v>2.45</v>
      </c>
      <c r="H277" s="1">
        <f t="shared" si="13"/>
        <v>24.5</v>
      </c>
      <c r="I277" s="1" t="s">
        <v>396</v>
      </c>
    </row>
    <row r="278" s="1" customFormat="1" customHeight="1" spans="1:9">
      <c r="A278" s="7">
        <v>45965</v>
      </c>
      <c r="B278" s="1" t="s">
        <v>1862</v>
      </c>
      <c r="C278" s="1" t="s">
        <v>2654</v>
      </c>
      <c r="D278" s="1" t="s">
        <v>217</v>
      </c>
      <c r="E278" s="1" t="s">
        <v>2653</v>
      </c>
      <c r="F278" s="1">
        <v>100</v>
      </c>
      <c r="G278" s="1">
        <v>2.45</v>
      </c>
      <c r="H278" s="1">
        <f t="shared" si="13"/>
        <v>245</v>
      </c>
      <c r="I278" s="1" t="s">
        <v>396</v>
      </c>
    </row>
    <row r="279" s="1" customFormat="1" customHeight="1" spans="1:9">
      <c r="A279" s="7">
        <v>45971</v>
      </c>
      <c r="B279" s="1" t="s">
        <v>1862</v>
      </c>
      <c r="C279" s="1" t="s">
        <v>2655</v>
      </c>
      <c r="D279" s="1" t="s">
        <v>217</v>
      </c>
      <c r="E279" s="1" t="s">
        <v>2060</v>
      </c>
      <c r="F279" s="1">
        <v>200</v>
      </c>
      <c r="G279" s="1">
        <v>3.25</v>
      </c>
      <c r="H279" s="1">
        <f t="shared" si="13"/>
        <v>650</v>
      </c>
      <c r="I279" s="1" t="s">
        <v>396</v>
      </c>
    </row>
    <row r="280" s="1" customFormat="1" customHeight="1" spans="1:9">
      <c r="A280" s="7">
        <v>45971</v>
      </c>
      <c r="B280" s="1" t="s">
        <v>1862</v>
      </c>
      <c r="C280" s="1" t="s">
        <v>2655</v>
      </c>
      <c r="D280" s="1" t="s">
        <v>217</v>
      </c>
      <c r="E280" s="1" t="s">
        <v>2069</v>
      </c>
      <c r="F280" s="1">
        <v>200</v>
      </c>
      <c r="G280" s="1">
        <v>2.52</v>
      </c>
      <c r="H280" s="1">
        <f t="shared" si="13"/>
        <v>504</v>
      </c>
      <c r="I280" s="1" t="s">
        <v>396</v>
      </c>
    </row>
    <row r="281" s="1" customFormat="1" customHeight="1" spans="1:9">
      <c r="A281" s="7">
        <v>45979</v>
      </c>
      <c r="B281" s="1" t="s">
        <v>1862</v>
      </c>
      <c r="C281" s="1" t="s">
        <v>2656</v>
      </c>
      <c r="D281" s="1" t="s">
        <v>217</v>
      </c>
      <c r="E281" s="1" t="s">
        <v>2059</v>
      </c>
      <c r="F281" s="1">
        <v>200</v>
      </c>
      <c r="G281" s="1">
        <v>2.31</v>
      </c>
      <c r="H281" s="1">
        <f t="shared" si="13"/>
        <v>462</v>
      </c>
      <c r="I281" s="1" t="s">
        <v>271</v>
      </c>
    </row>
    <row r="282" s="1" customFormat="1" customHeight="1" spans="1:9">
      <c r="A282" s="7">
        <v>45979</v>
      </c>
      <c r="B282" s="1" t="s">
        <v>1862</v>
      </c>
      <c r="C282" s="1" t="s">
        <v>2656</v>
      </c>
      <c r="D282" s="1" t="s">
        <v>217</v>
      </c>
      <c r="E282" s="1" t="s">
        <v>2069</v>
      </c>
      <c r="F282" s="1">
        <v>200</v>
      </c>
      <c r="G282" s="1">
        <v>2.52</v>
      </c>
      <c r="H282" s="1">
        <f t="shared" si="13"/>
        <v>504</v>
      </c>
      <c r="I282" s="1" t="s">
        <v>396</v>
      </c>
    </row>
    <row r="283" s="1" customFormat="1" customHeight="1" spans="1:9">
      <c r="A283" s="7">
        <v>45980</v>
      </c>
      <c r="B283" s="1" t="s">
        <v>1862</v>
      </c>
      <c r="C283" s="1" t="s">
        <v>2657</v>
      </c>
      <c r="D283" s="1" t="s">
        <v>217</v>
      </c>
      <c r="E283" s="1" t="s">
        <v>2361</v>
      </c>
      <c r="F283" s="1">
        <v>200</v>
      </c>
      <c r="G283" s="1">
        <v>2.42</v>
      </c>
      <c r="H283" s="1">
        <f t="shared" si="13"/>
        <v>484</v>
      </c>
      <c r="I283" s="1" t="s">
        <v>1718</v>
      </c>
    </row>
    <row r="284" s="1" customFormat="1" customHeight="1" spans="1:9">
      <c r="A284" s="7">
        <v>45985</v>
      </c>
      <c r="B284" s="1" t="s">
        <v>1862</v>
      </c>
      <c r="C284" s="1" t="s">
        <v>2658</v>
      </c>
      <c r="D284" s="1" t="s">
        <v>217</v>
      </c>
      <c r="E284" s="1" t="s">
        <v>2366</v>
      </c>
      <c r="F284" s="1">
        <v>200</v>
      </c>
      <c r="G284" s="1">
        <v>2.75</v>
      </c>
      <c r="H284" s="1">
        <f t="shared" si="13"/>
        <v>550</v>
      </c>
      <c r="I284" s="1" t="s">
        <v>271</v>
      </c>
    </row>
    <row r="285" s="1" customFormat="1" customHeight="1" spans="1:9">
      <c r="A285" s="7">
        <v>45985</v>
      </c>
      <c r="B285" s="1" t="s">
        <v>1862</v>
      </c>
      <c r="C285" s="1" t="s">
        <v>2658</v>
      </c>
      <c r="D285" s="1" t="s">
        <v>217</v>
      </c>
      <c r="E285" s="1" t="s">
        <v>1869</v>
      </c>
      <c r="F285" s="1">
        <v>200</v>
      </c>
      <c r="G285" s="1">
        <v>2.75</v>
      </c>
      <c r="H285" s="1">
        <f t="shared" si="13"/>
        <v>550</v>
      </c>
      <c r="I285" s="1" t="s">
        <v>271</v>
      </c>
    </row>
    <row r="286" s="1" customFormat="1" customHeight="1" spans="1:9">
      <c r="A286" s="7">
        <v>45960</v>
      </c>
      <c r="B286" s="1" t="s">
        <v>138</v>
      </c>
      <c r="C286" s="1">
        <v>2025172</v>
      </c>
      <c r="D286" s="1" t="s">
        <v>201</v>
      </c>
      <c r="E286" s="8" t="s">
        <v>2659</v>
      </c>
      <c r="F286" s="8">
        <v>20000</v>
      </c>
      <c r="G286" s="1">
        <v>0.01</v>
      </c>
      <c r="H286" s="1">
        <f t="shared" si="13"/>
        <v>200</v>
      </c>
      <c r="I286" s="1" t="s">
        <v>433</v>
      </c>
    </row>
    <row r="287" s="1" customFormat="1" customHeight="1" spans="1:9">
      <c r="A287" s="7">
        <v>45961</v>
      </c>
      <c r="B287" s="1" t="s">
        <v>138</v>
      </c>
      <c r="C287" s="1">
        <v>2025173</v>
      </c>
      <c r="D287" s="8" t="s">
        <v>2660</v>
      </c>
      <c r="E287" s="8"/>
      <c r="F287" s="8">
        <v>1000</v>
      </c>
      <c r="G287" s="1"/>
      <c r="H287" s="1">
        <v>150</v>
      </c>
      <c r="I287" s="1" t="s">
        <v>126</v>
      </c>
    </row>
    <row r="288" s="1" customFormat="1" customHeight="1" spans="1:9">
      <c r="A288" s="7">
        <v>45975</v>
      </c>
      <c r="B288" s="1" t="s">
        <v>138</v>
      </c>
      <c r="C288" s="1">
        <v>2025174</v>
      </c>
      <c r="D288" s="8" t="s">
        <v>285</v>
      </c>
      <c r="E288" s="8" t="s">
        <v>1279</v>
      </c>
      <c r="F288" s="8">
        <v>4500</v>
      </c>
      <c r="G288" s="1"/>
      <c r="H288" s="1">
        <v>150</v>
      </c>
      <c r="I288" s="1" t="s">
        <v>278</v>
      </c>
    </row>
    <row r="289" s="1" customFormat="1" customHeight="1" spans="1:10">
      <c r="A289" s="7">
        <v>45971</v>
      </c>
      <c r="B289" s="1" t="s">
        <v>138</v>
      </c>
      <c r="C289" s="1">
        <v>2025173</v>
      </c>
      <c r="D289" s="8" t="s">
        <v>2660</v>
      </c>
      <c r="E289" s="8"/>
      <c r="F289" s="8">
        <v>8000</v>
      </c>
      <c r="H289" s="1">
        <v>150</v>
      </c>
      <c r="I289" s="1" t="s">
        <v>149</v>
      </c>
    </row>
    <row r="290" s="1" customFormat="1" customHeight="1" spans="1:10">
      <c r="A290" s="7">
        <v>45974</v>
      </c>
      <c r="B290" s="1" t="s">
        <v>138</v>
      </c>
      <c r="C290" s="1">
        <v>2025175</v>
      </c>
      <c r="D290" s="8" t="s">
        <v>2661</v>
      </c>
      <c r="E290" s="8"/>
      <c r="F290" s="8">
        <v>3500</v>
      </c>
      <c r="H290" s="1">
        <v>150</v>
      </c>
      <c r="I290" s="1" t="s">
        <v>1564</v>
      </c>
    </row>
    <row r="291" s="1" customFormat="1" customHeight="1" spans="1:10">
      <c r="A291" s="7">
        <v>45963</v>
      </c>
      <c r="B291" s="1" t="s">
        <v>2662</v>
      </c>
      <c r="C291" s="90" t="s">
        <v>2663</v>
      </c>
      <c r="D291" s="1" t="s">
        <v>2664</v>
      </c>
      <c r="E291" s="1" t="s">
        <v>14</v>
      </c>
      <c r="F291" s="1">
        <v>20000</v>
      </c>
      <c r="G291" s="1">
        <v>0.41</v>
      </c>
      <c r="H291" s="1">
        <f t="shared" ref="H291:H326" si="14">F291*G291</f>
        <v>8200</v>
      </c>
      <c r="I291" s="1" t="s">
        <v>61</v>
      </c>
      <c r="J291" s="1" t="s">
        <v>1135</v>
      </c>
    </row>
    <row r="292" s="1" customFormat="1" customHeight="1" spans="1:10">
      <c r="A292" s="7">
        <v>45963</v>
      </c>
      <c r="B292" s="1" t="s">
        <v>2662</v>
      </c>
      <c r="C292" s="90" t="s">
        <v>2663</v>
      </c>
      <c r="D292" s="1" t="s">
        <v>2665</v>
      </c>
      <c r="E292" s="1" t="s">
        <v>14</v>
      </c>
      <c r="F292" s="1">
        <v>20000</v>
      </c>
      <c r="G292" s="1">
        <v>0.56</v>
      </c>
      <c r="H292" s="1">
        <f t="shared" si="14"/>
        <v>11200</v>
      </c>
      <c r="I292" s="1" t="s">
        <v>61</v>
      </c>
      <c r="J292" s="1" t="s">
        <v>1135</v>
      </c>
    </row>
    <row r="293" s="1" customFormat="1" customHeight="1" spans="1:10">
      <c r="A293" s="7">
        <v>45963</v>
      </c>
      <c r="B293" s="1" t="s">
        <v>2662</v>
      </c>
      <c r="C293" s="90" t="s">
        <v>2663</v>
      </c>
      <c r="D293" s="1" t="s">
        <v>2666</v>
      </c>
      <c r="E293" s="1" t="s">
        <v>14</v>
      </c>
      <c r="F293" s="1">
        <v>20000</v>
      </c>
      <c r="G293" s="1">
        <v>0.71</v>
      </c>
      <c r="H293" s="1">
        <f t="shared" si="14"/>
        <v>14200</v>
      </c>
      <c r="I293" s="1" t="s">
        <v>61</v>
      </c>
      <c r="J293" s="1" t="s">
        <v>1135</v>
      </c>
    </row>
    <row r="294" s="1" customFormat="1" customHeight="1" spans="1:10">
      <c r="A294" s="7">
        <v>45965</v>
      </c>
      <c r="B294" s="1" t="s">
        <v>2662</v>
      </c>
      <c r="C294" s="1">
        <v>8639458</v>
      </c>
      <c r="D294" s="1" t="s">
        <v>241</v>
      </c>
      <c r="E294" s="1" t="s">
        <v>14</v>
      </c>
      <c r="F294" s="1">
        <v>50000</v>
      </c>
      <c r="G294" s="1">
        <v>0.65</v>
      </c>
      <c r="H294" s="1">
        <f t="shared" si="14"/>
        <v>32500</v>
      </c>
      <c r="I294" s="1" t="s">
        <v>243</v>
      </c>
      <c r="J294" s="1" t="s">
        <v>1135</v>
      </c>
    </row>
    <row r="295" s="1" customFormat="1" customHeight="1" spans="1:10">
      <c r="A295" s="7">
        <v>45962</v>
      </c>
      <c r="B295" s="1" t="s">
        <v>1049</v>
      </c>
      <c r="D295" s="1" t="s">
        <v>130</v>
      </c>
      <c r="E295" s="1" t="s">
        <v>222</v>
      </c>
      <c r="F295" s="1">
        <v>4010</v>
      </c>
      <c r="G295" s="1">
        <v>0.37</v>
      </c>
      <c r="H295" s="1">
        <f t="shared" si="14"/>
        <v>1483.7</v>
      </c>
      <c r="I295" s="1" t="s">
        <v>100</v>
      </c>
      <c r="J295" s="1" t="s">
        <v>1135</v>
      </c>
    </row>
    <row r="296" s="2" customFormat="1" customHeight="1" spans="1:10">
      <c r="A296" s="9">
        <v>45967</v>
      </c>
      <c r="B296" s="2" t="s">
        <v>1049</v>
      </c>
      <c r="D296" s="2" t="s">
        <v>130</v>
      </c>
      <c r="E296" s="2" t="s">
        <v>222</v>
      </c>
      <c r="F296" s="2">
        <v>500</v>
      </c>
      <c r="G296" s="2">
        <v>0.37</v>
      </c>
      <c r="H296" s="2">
        <f t="shared" si="14"/>
        <v>185</v>
      </c>
      <c r="I296" s="2" t="s">
        <v>100</v>
      </c>
      <c r="J296" s="2" t="s">
        <v>1135</v>
      </c>
    </row>
    <row r="297" s="1" customFormat="1" customHeight="1" spans="1:10">
      <c r="A297" s="7">
        <v>45961</v>
      </c>
      <c r="B297" s="1" t="s">
        <v>263</v>
      </c>
      <c r="D297" s="1" t="s">
        <v>2667</v>
      </c>
      <c r="E297" s="1" t="s">
        <v>158</v>
      </c>
      <c r="F297" s="1">
        <v>50000</v>
      </c>
      <c r="G297" s="1">
        <v>0.12</v>
      </c>
      <c r="H297" s="1">
        <f t="shared" si="14"/>
        <v>6000</v>
      </c>
      <c r="I297" s="1" t="s">
        <v>61</v>
      </c>
    </row>
    <row r="298" s="1" customFormat="1" customHeight="1" spans="1:10">
      <c r="A298" s="7">
        <v>45961</v>
      </c>
      <c r="B298" s="1" t="s">
        <v>263</v>
      </c>
      <c r="D298" s="1" t="s">
        <v>2668</v>
      </c>
      <c r="E298" s="1" t="s">
        <v>158</v>
      </c>
      <c r="F298" s="1">
        <v>2050</v>
      </c>
      <c r="G298" s="1">
        <v>0.16</v>
      </c>
      <c r="H298" s="1">
        <f t="shared" si="14"/>
        <v>328</v>
      </c>
      <c r="I298" s="1" t="s">
        <v>2400</v>
      </c>
    </row>
    <row r="299" s="1" customFormat="1" customHeight="1" spans="1:10">
      <c r="A299" s="7">
        <v>45966</v>
      </c>
      <c r="B299" s="1" t="s">
        <v>263</v>
      </c>
      <c r="D299" s="1" t="s">
        <v>265</v>
      </c>
      <c r="E299" s="1" t="s">
        <v>158</v>
      </c>
      <c r="F299" s="1">
        <v>100000</v>
      </c>
      <c r="G299" s="1">
        <v>0.12</v>
      </c>
      <c r="H299" s="1">
        <f t="shared" si="14"/>
        <v>12000</v>
      </c>
      <c r="I299" s="1" t="s">
        <v>61</v>
      </c>
    </row>
    <row r="300" s="1" customFormat="1" customHeight="1" spans="1:10">
      <c r="A300" s="7">
        <v>45968</v>
      </c>
      <c r="B300" s="1" t="s">
        <v>263</v>
      </c>
      <c r="D300" s="1" t="s">
        <v>2669</v>
      </c>
      <c r="E300" s="1" t="s">
        <v>158</v>
      </c>
      <c r="F300" s="1">
        <v>2900</v>
      </c>
      <c r="G300" s="1">
        <v>0.15</v>
      </c>
      <c r="H300" s="1">
        <f t="shared" si="14"/>
        <v>435</v>
      </c>
      <c r="I300" s="1" t="s">
        <v>330</v>
      </c>
    </row>
    <row r="301" s="1" customFormat="1" customHeight="1" spans="1:10">
      <c r="A301" s="7">
        <v>45973</v>
      </c>
      <c r="B301" s="1" t="s">
        <v>263</v>
      </c>
      <c r="D301" s="1" t="s">
        <v>2668</v>
      </c>
      <c r="E301" s="1" t="s">
        <v>158</v>
      </c>
      <c r="F301" s="1">
        <v>10000</v>
      </c>
      <c r="G301" s="1">
        <v>0.16</v>
      </c>
      <c r="H301" s="1">
        <f t="shared" si="14"/>
        <v>1600</v>
      </c>
      <c r="I301" s="1" t="s">
        <v>61</v>
      </c>
    </row>
    <row r="302" s="1" customFormat="1" customHeight="1" spans="1:10">
      <c r="A302" s="7">
        <v>45963</v>
      </c>
      <c r="B302" s="1" t="s">
        <v>272</v>
      </c>
      <c r="C302" s="1">
        <v>202511102</v>
      </c>
      <c r="D302" s="1" t="s">
        <v>252</v>
      </c>
      <c r="E302" s="1" t="s">
        <v>14</v>
      </c>
      <c r="F302" s="1">
        <f>21000-50</f>
        <v>20950</v>
      </c>
      <c r="G302" s="1">
        <v>0.45</v>
      </c>
      <c r="H302" s="1">
        <f t="shared" si="14"/>
        <v>9427.5</v>
      </c>
      <c r="I302" s="1" t="s">
        <v>61</v>
      </c>
    </row>
    <row r="303" s="1" customFormat="1" customHeight="1" spans="1:10">
      <c r="A303" s="7">
        <v>45973</v>
      </c>
      <c r="B303" s="1" t="s">
        <v>272</v>
      </c>
      <c r="C303" s="1">
        <v>20251112</v>
      </c>
      <c r="D303" s="1" t="s">
        <v>252</v>
      </c>
      <c r="E303" s="1" t="s">
        <v>14</v>
      </c>
      <c r="F303" s="1">
        <v>50000</v>
      </c>
      <c r="G303" s="1">
        <v>0.45</v>
      </c>
      <c r="H303" s="1">
        <f t="shared" si="14"/>
        <v>22500</v>
      </c>
      <c r="I303" s="1" t="s">
        <v>61</v>
      </c>
    </row>
    <row r="304" s="1" customFormat="1" customHeight="1" spans="1:10">
      <c r="A304" s="7">
        <v>45957</v>
      </c>
      <c r="B304" s="1" t="s">
        <v>2670</v>
      </c>
      <c r="C304" s="90" t="s">
        <v>2671</v>
      </c>
      <c r="D304" s="1" t="s">
        <v>1173</v>
      </c>
      <c r="E304" s="1" t="s">
        <v>14</v>
      </c>
      <c r="F304" s="1">
        <v>1160</v>
      </c>
      <c r="G304" s="1">
        <v>1.8</v>
      </c>
      <c r="H304" s="1">
        <f t="shared" si="14"/>
        <v>2088</v>
      </c>
      <c r="I304" s="1" t="s">
        <v>433</v>
      </c>
      <c r="J304" s="1" t="s">
        <v>1135</v>
      </c>
    </row>
    <row r="305" s="1" customFormat="1" customHeight="1" spans="1:11">
      <c r="A305" s="7">
        <v>45962</v>
      </c>
      <c r="B305" s="1" t="s">
        <v>2672</v>
      </c>
      <c r="C305" s="10">
        <v>20251101001</v>
      </c>
      <c r="D305" s="10" t="s">
        <v>465</v>
      </c>
      <c r="E305" s="10" t="s">
        <v>2673</v>
      </c>
      <c r="F305" s="11">
        <v>7100</v>
      </c>
      <c r="G305" s="11">
        <v>0.09</v>
      </c>
      <c r="H305" s="1">
        <f t="shared" si="14"/>
        <v>639</v>
      </c>
      <c r="I305" s="1" t="s">
        <v>363</v>
      </c>
      <c r="J305" s="1" t="s">
        <v>2674</v>
      </c>
      <c r="K305" s="1" t="s">
        <v>1135</v>
      </c>
    </row>
    <row r="306" s="1" customFormat="1" customHeight="1" spans="1:11">
      <c r="A306" s="7">
        <v>45962</v>
      </c>
      <c r="B306" s="1" t="s">
        <v>2672</v>
      </c>
      <c r="C306" s="10">
        <v>20251101001</v>
      </c>
      <c r="D306" s="10" t="s">
        <v>465</v>
      </c>
      <c r="E306" s="10" t="s">
        <v>2673</v>
      </c>
      <c r="F306" s="11">
        <v>9400</v>
      </c>
      <c r="G306" s="11">
        <v>0.09</v>
      </c>
      <c r="H306" s="1">
        <f t="shared" si="14"/>
        <v>846</v>
      </c>
      <c r="I306" s="1" t="s">
        <v>363</v>
      </c>
      <c r="J306" s="1" t="s">
        <v>46</v>
      </c>
      <c r="K306" s="1" t="s">
        <v>1135</v>
      </c>
    </row>
    <row r="307" s="1" customFormat="1" customHeight="1" spans="1:11">
      <c r="A307" s="7">
        <v>45966</v>
      </c>
      <c r="B307" s="1" t="s">
        <v>97</v>
      </c>
      <c r="D307" s="1" t="s">
        <v>98</v>
      </c>
      <c r="E307" s="1" t="s">
        <v>361</v>
      </c>
      <c r="F307" s="1">
        <v>5155</v>
      </c>
      <c r="G307" s="1">
        <v>0.83</v>
      </c>
      <c r="H307" s="1">
        <f t="shared" si="14"/>
        <v>4278.65</v>
      </c>
      <c r="I307" s="1" t="s">
        <v>100</v>
      </c>
    </row>
    <row r="308" s="1" customFormat="1" customHeight="1" spans="1:11">
      <c r="A308" s="7">
        <v>45969</v>
      </c>
      <c r="B308" s="1" t="s">
        <v>97</v>
      </c>
      <c r="D308" s="1" t="s">
        <v>98</v>
      </c>
      <c r="E308" s="1" t="s">
        <v>361</v>
      </c>
      <c r="F308" s="1">
        <v>8</v>
      </c>
      <c r="G308" s="1">
        <v>0</v>
      </c>
      <c r="H308" s="1">
        <f t="shared" si="14"/>
        <v>0</v>
      </c>
      <c r="I308" s="1" t="s">
        <v>32</v>
      </c>
    </row>
    <row r="309" s="1" customFormat="1" customHeight="1" spans="1:11">
      <c r="A309" s="7">
        <v>45971</v>
      </c>
      <c r="B309" s="1" t="s">
        <v>97</v>
      </c>
      <c r="D309" s="1" t="s">
        <v>98</v>
      </c>
      <c r="E309" s="1" t="s">
        <v>361</v>
      </c>
      <c r="F309" s="1">
        <v>15710</v>
      </c>
      <c r="G309" s="1">
        <v>0.83</v>
      </c>
      <c r="H309" s="1">
        <f t="shared" si="14"/>
        <v>13039.3</v>
      </c>
      <c r="I309" s="1" t="s">
        <v>100</v>
      </c>
    </row>
    <row r="310" s="1" customFormat="1" customHeight="1" spans="1:11">
      <c r="A310" s="7">
        <v>45960</v>
      </c>
      <c r="B310" s="1" t="s">
        <v>1818</v>
      </c>
      <c r="C310" s="1" t="s">
        <v>2675</v>
      </c>
      <c r="D310" s="1" t="s">
        <v>2203</v>
      </c>
      <c r="E310" s="1" t="s">
        <v>158</v>
      </c>
      <c r="F310" s="1">
        <v>16500</v>
      </c>
      <c r="G310" s="1">
        <v>0.16</v>
      </c>
      <c r="H310" s="1">
        <f t="shared" si="14"/>
        <v>2640</v>
      </c>
      <c r="I310" s="1" t="s">
        <v>61</v>
      </c>
      <c r="J310" s="1" t="s">
        <v>2676</v>
      </c>
    </row>
    <row r="311" s="1" customFormat="1" customHeight="1" spans="1:11">
      <c r="A311" s="7">
        <v>45967</v>
      </c>
      <c r="B311" s="1" t="s">
        <v>1818</v>
      </c>
      <c r="C311" s="1" t="s">
        <v>2677</v>
      </c>
      <c r="D311" s="1" t="s">
        <v>2203</v>
      </c>
      <c r="E311" s="1" t="s">
        <v>158</v>
      </c>
      <c r="F311" s="1">
        <v>50000</v>
      </c>
      <c r="G311" s="1">
        <v>0.16</v>
      </c>
      <c r="H311" s="1">
        <f t="shared" si="14"/>
        <v>8000</v>
      </c>
      <c r="I311" s="1" t="s">
        <v>61</v>
      </c>
      <c r="J311" s="1" t="s">
        <v>46</v>
      </c>
    </row>
    <row r="312" s="1" customFormat="1" customHeight="1" spans="1:11">
      <c r="A312" s="7">
        <v>45967</v>
      </c>
      <c r="B312" s="1" t="s">
        <v>1818</v>
      </c>
      <c r="C312" s="1" t="s">
        <v>2677</v>
      </c>
      <c r="D312" s="1" t="s">
        <v>2678</v>
      </c>
      <c r="E312" s="1" t="s">
        <v>158</v>
      </c>
      <c r="F312" s="1">
        <v>50000</v>
      </c>
      <c r="G312" s="1">
        <v>0.17</v>
      </c>
      <c r="H312" s="1">
        <f t="shared" si="14"/>
        <v>8500</v>
      </c>
      <c r="I312" s="1" t="s">
        <v>61</v>
      </c>
      <c r="J312" s="1" t="s">
        <v>46</v>
      </c>
    </row>
    <row r="313" s="1" customFormat="1" customHeight="1" spans="1:11">
      <c r="A313" s="7">
        <v>45975</v>
      </c>
      <c r="B313" s="1" t="s">
        <v>1818</v>
      </c>
      <c r="C313" s="1" t="s">
        <v>2679</v>
      </c>
      <c r="D313" s="1" t="s">
        <v>2680</v>
      </c>
      <c r="E313" s="1" t="s">
        <v>158</v>
      </c>
      <c r="F313" s="1">
        <v>100</v>
      </c>
      <c r="G313" s="1">
        <v>0.25</v>
      </c>
      <c r="H313" s="1">
        <f t="shared" si="14"/>
        <v>25</v>
      </c>
      <c r="I313" s="1" t="s">
        <v>982</v>
      </c>
    </row>
    <row r="314" s="1" customFormat="1" customHeight="1" spans="1:11">
      <c r="A314" s="7">
        <v>45975</v>
      </c>
      <c r="B314" s="1" t="s">
        <v>1818</v>
      </c>
      <c r="C314" s="1" t="s">
        <v>2679</v>
      </c>
      <c r="D314" s="1" t="s">
        <v>2681</v>
      </c>
      <c r="E314" s="1" t="s">
        <v>158</v>
      </c>
      <c r="F314" s="1">
        <v>100</v>
      </c>
      <c r="G314" s="1">
        <v>0.28</v>
      </c>
      <c r="H314" s="1">
        <f t="shared" si="14"/>
        <v>28</v>
      </c>
      <c r="I314" s="1" t="s">
        <v>982</v>
      </c>
    </row>
    <row r="315" s="1" customFormat="1" customHeight="1" spans="1:11">
      <c r="A315" s="7">
        <v>45975</v>
      </c>
      <c r="B315" s="1" t="s">
        <v>1818</v>
      </c>
      <c r="C315" s="1" t="s">
        <v>2679</v>
      </c>
      <c r="D315" s="1" t="s">
        <v>2682</v>
      </c>
      <c r="E315" s="1" t="s">
        <v>158</v>
      </c>
      <c r="F315" s="1">
        <v>200</v>
      </c>
      <c r="G315" s="1">
        <v>0.3</v>
      </c>
      <c r="H315" s="1">
        <f t="shared" si="14"/>
        <v>60</v>
      </c>
      <c r="I315" s="1" t="s">
        <v>2683</v>
      </c>
    </row>
    <row r="316" s="1" customFormat="1" customHeight="1" spans="1:11">
      <c r="A316" s="7">
        <v>45978</v>
      </c>
      <c r="B316" s="1" t="s">
        <v>1818</v>
      </c>
      <c r="C316" s="1" t="s">
        <v>2684</v>
      </c>
      <c r="D316" s="1" t="s">
        <v>2685</v>
      </c>
      <c r="E316" s="1" t="s">
        <v>158</v>
      </c>
      <c r="F316" s="1">
        <v>10000</v>
      </c>
      <c r="G316" s="1">
        <v>0.17</v>
      </c>
      <c r="H316" s="1">
        <f t="shared" si="14"/>
        <v>1700</v>
      </c>
      <c r="I316" s="1" t="s">
        <v>61</v>
      </c>
    </row>
    <row r="317" s="1" customFormat="1" customHeight="1" spans="1:11">
      <c r="A317" s="7">
        <v>45978</v>
      </c>
      <c r="B317" s="1" t="s">
        <v>1818</v>
      </c>
      <c r="C317" s="1" t="s">
        <v>2684</v>
      </c>
      <c r="D317" s="1" t="s">
        <v>2686</v>
      </c>
      <c r="E317" s="1" t="s">
        <v>158</v>
      </c>
      <c r="F317" s="1">
        <v>500</v>
      </c>
      <c r="G317" s="1">
        <v>0.16</v>
      </c>
      <c r="H317" s="1">
        <f t="shared" si="14"/>
        <v>80</v>
      </c>
      <c r="I317" s="1" t="s">
        <v>1991</v>
      </c>
    </row>
    <row r="318" s="1" customFormat="1" customHeight="1" spans="1:11">
      <c r="A318" s="7">
        <v>45968</v>
      </c>
      <c r="B318" s="1" t="s">
        <v>1407</v>
      </c>
      <c r="C318" s="90" t="s">
        <v>2687</v>
      </c>
      <c r="D318" s="1" t="s">
        <v>76</v>
      </c>
      <c r="E318" s="1" t="s">
        <v>1621</v>
      </c>
      <c r="F318" s="1">
        <v>1010</v>
      </c>
      <c r="G318" s="1">
        <v>0.47</v>
      </c>
      <c r="H318" s="1">
        <f t="shared" si="14"/>
        <v>474.7</v>
      </c>
      <c r="I318" s="1" t="s">
        <v>644</v>
      </c>
    </row>
    <row r="319" s="1" customFormat="1" customHeight="1" spans="1:11">
      <c r="A319" s="7">
        <v>45972</v>
      </c>
      <c r="B319" s="1" t="s">
        <v>1407</v>
      </c>
      <c r="C319" s="90" t="s">
        <v>2688</v>
      </c>
      <c r="D319" s="1" t="s">
        <v>76</v>
      </c>
      <c r="E319" s="1" t="s">
        <v>2689</v>
      </c>
      <c r="F319" s="1">
        <v>20360</v>
      </c>
      <c r="G319" s="1">
        <v>0.4</v>
      </c>
      <c r="H319" s="1">
        <f t="shared" si="14"/>
        <v>8144</v>
      </c>
      <c r="I319" s="1" t="s">
        <v>340</v>
      </c>
    </row>
    <row r="320" s="1" customFormat="1" customHeight="1" spans="1:11">
      <c r="A320" s="7">
        <v>45972</v>
      </c>
      <c r="B320" s="1" t="s">
        <v>1407</v>
      </c>
      <c r="C320" s="90" t="s">
        <v>2688</v>
      </c>
      <c r="D320" s="1" t="s">
        <v>76</v>
      </c>
      <c r="E320" s="1" t="s">
        <v>1621</v>
      </c>
      <c r="F320" s="1">
        <v>2010</v>
      </c>
      <c r="G320" s="1">
        <v>0.47</v>
      </c>
      <c r="H320" s="1">
        <f t="shared" si="14"/>
        <v>944.7</v>
      </c>
      <c r="I320" s="1" t="s">
        <v>117</v>
      </c>
    </row>
    <row r="321" s="1" customFormat="1" customHeight="1" spans="1:10">
      <c r="A321" s="7">
        <v>45974</v>
      </c>
      <c r="B321" s="1" t="s">
        <v>1407</v>
      </c>
      <c r="C321" s="90" t="s">
        <v>2690</v>
      </c>
      <c r="D321" s="1" t="s">
        <v>76</v>
      </c>
      <c r="E321" s="1" t="s">
        <v>222</v>
      </c>
      <c r="F321" s="1">
        <v>5110</v>
      </c>
      <c r="G321" s="1">
        <v>0.42</v>
      </c>
      <c r="H321" s="1">
        <f t="shared" si="14"/>
        <v>2146.2</v>
      </c>
      <c r="I321" s="1" t="s">
        <v>189</v>
      </c>
    </row>
    <row r="322" s="1" customFormat="1" customHeight="1" spans="1:10">
      <c r="A322" s="7">
        <v>45974</v>
      </c>
      <c r="B322" s="1" t="s">
        <v>1407</v>
      </c>
      <c r="C322" s="90" t="s">
        <v>2690</v>
      </c>
      <c r="D322" s="1" t="s">
        <v>76</v>
      </c>
      <c r="E322" s="1" t="s">
        <v>1621</v>
      </c>
      <c r="F322" s="1">
        <v>9620</v>
      </c>
      <c r="G322" s="1">
        <v>0.46</v>
      </c>
      <c r="H322" s="1">
        <f t="shared" si="14"/>
        <v>4425.2</v>
      </c>
      <c r="I322" s="1" t="s">
        <v>340</v>
      </c>
    </row>
    <row r="323" s="1" customFormat="1" customHeight="1" spans="1:10">
      <c r="A323" s="7">
        <v>45975</v>
      </c>
      <c r="B323" s="1" t="s">
        <v>1407</v>
      </c>
      <c r="C323" s="90" t="s">
        <v>2691</v>
      </c>
      <c r="D323" s="1" t="s">
        <v>76</v>
      </c>
      <c r="E323" s="1" t="s">
        <v>1273</v>
      </c>
      <c r="F323" s="1">
        <v>2610</v>
      </c>
      <c r="G323" s="1">
        <v>0.44</v>
      </c>
      <c r="H323" s="1">
        <f t="shared" si="14"/>
        <v>1148.4</v>
      </c>
      <c r="I323" s="1" t="s">
        <v>633</v>
      </c>
    </row>
    <row r="324" s="1" customFormat="1" customHeight="1" spans="1:10">
      <c r="A324" s="7">
        <v>45979</v>
      </c>
      <c r="B324" s="1" t="s">
        <v>1407</v>
      </c>
      <c r="C324" s="90" t="s">
        <v>2692</v>
      </c>
      <c r="D324" s="1" t="s">
        <v>76</v>
      </c>
      <c r="E324" s="1" t="s">
        <v>222</v>
      </c>
      <c r="F324" s="1">
        <v>17050</v>
      </c>
      <c r="G324" s="1">
        <v>0.42</v>
      </c>
      <c r="H324" s="1">
        <f t="shared" si="14"/>
        <v>7161</v>
      </c>
      <c r="I324" s="1" t="s">
        <v>189</v>
      </c>
    </row>
    <row r="325" s="1" customFormat="1" customHeight="1" spans="1:10">
      <c r="A325" s="7">
        <v>45979</v>
      </c>
      <c r="B325" s="1" t="s">
        <v>1407</v>
      </c>
      <c r="C325" s="90" t="s">
        <v>2692</v>
      </c>
      <c r="D325" s="1" t="s">
        <v>76</v>
      </c>
      <c r="E325" s="1" t="s">
        <v>1273</v>
      </c>
      <c r="F325" s="1">
        <v>4150</v>
      </c>
      <c r="G325" s="1">
        <v>0.52</v>
      </c>
      <c r="H325" s="1">
        <f t="shared" si="14"/>
        <v>2158</v>
      </c>
      <c r="I325" s="1" t="s">
        <v>77</v>
      </c>
    </row>
    <row r="326" s="1" customFormat="1" customHeight="1" spans="1:10">
      <c r="A326" s="7">
        <v>45983</v>
      </c>
      <c r="B326" s="1" t="s">
        <v>1407</v>
      </c>
      <c r="C326" s="90" t="s">
        <v>2693</v>
      </c>
      <c r="D326" s="1" t="s">
        <v>76</v>
      </c>
      <c r="E326" s="1" t="s">
        <v>342</v>
      </c>
      <c r="F326" s="1">
        <v>19350</v>
      </c>
      <c r="G326" s="1">
        <v>0.4</v>
      </c>
      <c r="H326" s="1">
        <f t="shared" si="14"/>
        <v>7740</v>
      </c>
      <c r="I326" s="1" t="s">
        <v>340</v>
      </c>
    </row>
    <row r="327" s="1" customFormat="1" customHeight="1" spans="1:10">
      <c r="A327" s="7">
        <v>45972</v>
      </c>
      <c r="B327" s="1" t="s">
        <v>82</v>
      </c>
      <c r="D327" s="1" t="s">
        <v>2106</v>
      </c>
      <c r="E327" s="1" t="s">
        <v>361</v>
      </c>
      <c r="F327" s="1">
        <v>430</v>
      </c>
      <c r="G327" s="1">
        <v>1.48</v>
      </c>
      <c r="H327" s="1">
        <f t="shared" ref="H327:H344" si="15">F327*G327</f>
        <v>636.4</v>
      </c>
      <c r="I327" s="1" t="s">
        <v>2108</v>
      </c>
      <c r="J327" s="1" t="s">
        <v>1135</v>
      </c>
    </row>
    <row r="328" s="1" customFormat="1" customHeight="1" spans="1:10">
      <c r="A328" s="7">
        <v>45972</v>
      </c>
      <c r="B328" s="1" t="s">
        <v>82</v>
      </c>
      <c r="D328" s="1" t="s">
        <v>2106</v>
      </c>
      <c r="E328" s="1" t="s">
        <v>361</v>
      </c>
      <c r="F328" s="1">
        <v>995</v>
      </c>
      <c r="G328" s="1">
        <v>1.48</v>
      </c>
      <c r="H328" s="1">
        <f t="shared" si="15"/>
        <v>1472.6</v>
      </c>
      <c r="I328" s="1" t="s">
        <v>2108</v>
      </c>
      <c r="J328" s="1" t="s">
        <v>1135</v>
      </c>
    </row>
    <row r="329" s="1" customFormat="1" customHeight="1" spans="1:10">
      <c r="A329" s="7">
        <v>45970</v>
      </c>
      <c r="B329" s="1" t="s">
        <v>2371</v>
      </c>
      <c r="C329" s="90" t="s">
        <v>2694</v>
      </c>
      <c r="D329" s="1" t="s">
        <v>2695</v>
      </c>
      <c r="E329" s="1" t="s">
        <v>1833</v>
      </c>
      <c r="F329" s="1">
        <v>1010</v>
      </c>
      <c r="G329" s="1">
        <v>1.15</v>
      </c>
      <c r="H329" s="1">
        <f t="shared" si="15"/>
        <v>1161.5</v>
      </c>
      <c r="I329" s="1" t="s">
        <v>330</v>
      </c>
      <c r="J329" s="1" t="s">
        <v>1135</v>
      </c>
    </row>
    <row r="330" s="1" customFormat="1" customHeight="1" spans="1:10">
      <c r="A330" s="7">
        <v>45970</v>
      </c>
      <c r="B330" s="1" t="s">
        <v>2371</v>
      </c>
      <c r="C330" s="90" t="s">
        <v>2694</v>
      </c>
      <c r="D330" s="1" t="s">
        <v>2372</v>
      </c>
      <c r="E330" s="1" t="s">
        <v>1833</v>
      </c>
      <c r="F330" s="1">
        <v>2010</v>
      </c>
      <c r="G330" s="1">
        <v>1.2</v>
      </c>
      <c r="H330" s="1">
        <f t="shared" si="15"/>
        <v>2412</v>
      </c>
      <c r="I330" s="1" t="s">
        <v>330</v>
      </c>
      <c r="J330" s="1" t="s">
        <v>1135</v>
      </c>
    </row>
    <row r="331" s="1" customFormat="1" customHeight="1" spans="1:10">
      <c r="A331" s="7">
        <v>45969</v>
      </c>
      <c r="B331" s="2" t="s">
        <v>1588</v>
      </c>
      <c r="C331" s="1" t="s">
        <v>2696</v>
      </c>
      <c r="D331" s="1" t="s">
        <v>2498</v>
      </c>
      <c r="E331" s="1" t="s">
        <v>1294</v>
      </c>
      <c r="F331" s="1">
        <v>2060</v>
      </c>
      <c r="G331" s="1">
        <v>1.7</v>
      </c>
      <c r="H331" s="1">
        <f t="shared" si="15"/>
        <v>3502</v>
      </c>
      <c r="I331" s="1" t="s">
        <v>2499</v>
      </c>
    </row>
    <row r="332" s="1" customFormat="1" customHeight="1" spans="1:10">
      <c r="A332" s="7">
        <v>45976</v>
      </c>
      <c r="B332" s="2" t="s">
        <v>1588</v>
      </c>
      <c r="C332" s="1" t="s">
        <v>2697</v>
      </c>
      <c r="D332" s="1" t="s">
        <v>875</v>
      </c>
      <c r="E332" s="1" t="s">
        <v>2698</v>
      </c>
      <c r="F332" s="1">
        <v>10</v>
      </c>
      <c r="G332" s="1">
        <v>1.95</v>
      </c>
      <c r="H332" s="1">
        <f t="shared" si="15"/>
        <v>19.5</v>
      </c>
      <c r="I332" s="1" t="s">
        <v>406</v>
      </c>
    </row>
    <row r="333" s="1" customFormat="1" customHeight="1" spans="1:10">
      <c r="A333" s="7">
        <v>45976</v>
      </c>
      <c r="B333" s="2" t="s">
        <v>1588</v>
      </c>
      <c r="C333" s="1" t="s">
        <v>2697</v>
      </c>
      <c r="D333" s="1" t="s">
        <v>2358</v>
      </c>
      <c r="E333" s="1" t="s">
        <v>361</v>
      </c>
      <c r="F333" s="1">
        <v>10</v>
      </c>
      <c r="G333" s="1">
        <v>2.9</v>
      </c>
      <c r="H333" s="1">
        <f t="shared" si="15"/>
        <v>29</v>
      </c>
      <c r="I333" s="1" t="s">
        <v>587</v>
      </c>
    </row>
    <row r="334" s="1" customFormat="1" customHeight="1" spans="1:10">
      <c r="A334" s="7">
        <v>45976</v>
      </c>
      <c r="B334" s="2" t="s">
        <v>1588</v>
      </c>
      <c r="C334" s="1" t="s">
        <v>2697</v>
      </c>
      <c r="D334" s="1" t="s">
        <v>2358</v>
      </c>
      <c r="E334" s="1" t="s">
        <v>14</v>
      </c>
      <c r="F334" s="1">
        <v>20</v>
      </c>
      <c r="G334" s="1">
        <v>2</v>
      </c>
      <c r="H334" s="1">
        <f t="shared" si="15"/>
        <v>40</v>
      </c>
      <c r="I334" s="1" t="s">
        <v>587</v>
      </c>
    </row>
    <row r="335" s="1" customFormat="1" customHeight="1" spans="1:10">
      <c r="A335" s="7">
        <v>45978</v>
      </c>
      <c r="B335" s="2" t="s">
        <v>1588</v>
      </c>
      <c r="C335" s="1" t="s">
        <v>2699</v>
      </c>
      <c r="D335" s="1" t="s">
        <v>2358</v>
      </c>
      <c r="E335" s="1" t="s">
        <v>1294</v>
      </c>
      <c r="F335" s="1">
        <v>2055</v>
      </c>
      <c r="G335" s="1">
        <v>2.9</v>
      </c>
      <c r="H335" s="1">
        <f t="shared" si="15"/>
        <v>5959.5</v>
      </c>
      <c r="I335" s="1" t="s">
        <v>2499</v>
      </c>
    </row>
    <row r="336" s="1" customFormat="1" customHeight="1" spans="1:10">
      <c r="A336" s="7">
        <v>45973</v>
      </c>
      <c r="B336" s="1" t="s">
        <v>74</v>
      </c>
      <c r="C336" s="1" t="s">
        <v>2700</v>
      </c>
      <c r="D336" s="1" t="s">
        <v>59</v>
      </c>
      <c r="E336" s="1" t="s">
        <v>222</v>
      </c>
      <c r="F336" s="1">
        <v>3992</v>
      </c>
      <c r="G336" s="1">
        <v>0.58</v>
      </c>
      <c r="H336" s="1">
        <f t="shared" si="15"/>
        <v>2315.36</v>
      </c>
      <c r="I336" s="1" t="s">
        <v>78</v>
      </c>
    </row>
    <row r="337" s="1" customFormat="1" customHeight="1" spans="1:10">
      <c r="A337" s="7">
        <v>45972</v>
      </c>
      <c r="B337" s="1" t="s">
        <v>257</v>
      </c>
      <c r="C337" s="1" t="s">
        <v>2701</v>
      </c>
      <c r="D337" s="1" t="s">
        <v>110</v>
      </c>
      <c r="E337" s="1" t="s">
        <v>361</v>
      </c>
      <c r="F337" s="1">
        <v>2010</v>
      </c>
      <c r="G337" s="1">
        <v>0.87</v>
      </c>
      <c r="H337" s="1">
        <f t="shared" si="15"/>
        <v>1748.7</v>
      </c>
      <c r="I337" s="1" t="s">
        <v>330</v>
      </c>
    </row>
    <row r="338" s="1" customFormat="1" customHeight="1" spans="1:10">
      <c r="A338" s="7">
        <v>45968</v>
      </c>
      <c r="B338" s="1" t="s">
        <v>2702</v>
      </c>
      <c r="C338" s="1" t="s">
        <v>2703</v>
      </c>
      <c r="D338" s="1" t="s">
        <v>285</v>
      </c>
      <c r="E338" s="1" t="s">
        <v>14</v>
      </c>
      <c r="F338" s="1">
        <v>2050</v>
      </c>
      <c r="G338" s="1">
        <v>1.85</v>
      </c>
      <c r="H338" s="1">
        <f t="shared" si="15"/>
        <v>3792.5</v>
      </c>
      <c r="I338" s="1" t="s">
        <v>330</v>
      </c>
      <c r="J338" s="1" t="s">
        <v>1135</v>
      </c>
    </row>
    <row r="339" s="1" customFormat="1" customHeight="1" spans="1:10">
      <c r="A339" s="7">
        <v>45985</v>
      </c>
      <c r="B339" s="1" t="s">
        <v>2702</v>
      </c>
      <c r="C339" s="1" t="s">
        <v>2704</v>
      </c>
      <c r="D339" s="1" t="s">
        <v>1233</v>
      </c>
      <c r="E339" s="1" t="s">
        <v>14</v>
      </c>
      <c r="F339" s="1">
        <v>500</v>
      </c>
      <c r="G339" s="1">
        <v>1.35</v>
      </c>
      <c r="H339" s="1">
        <f t="shared" si="15"/>
        <v>675</v>
      </c>
      <c r="I339" s="1" t="s">
        <v>982</v>
      </c>
      <c r="J339" s="1" t="s">
        <v>1135</v>
      </c>
    </row>
    <row r="340" s="1" customFormat="1" customHeight="1" spans="1:10">
      <c r="A340" s="7">
        <v>45971</v>
      </c>
      <c r="B340" s="1" t="s">
        <v>2470</v>
      </c>
      <c r="C340" s="1">
        <v>8883005</v>
      </c>
      <c r="D340" s="1" t="s">
        <v>307</v>
      </c>
      <c r="E340" s="1" t="s">
        <v>14</v>
      </c>
      <c r="F340" s="1">
        <v>50000</v>
      </c>
      <c r="G340" s="1">
        <v>0.68</v>
      </c>
      <c r="H340" s="1">
        <f t="shared" si="15"/>
        <v>34000</v>
      </c>
      <c r="I340" s="1" t="s">
        <v>243</v>
      </c>
      <c r="J340" s="1" t="s">
        <v>1135</v>
      </c>
    </row>
    <row r="341" s="1" customFormat="1" customHeight="1" spans="1:10">
      <c r="A341" s="7">
        <v>45973</v>
      </c>
      <c r="B341" s="1" t="s">
        <v>2705</v>
      </c>
      <c r="D341" s="1" t="s">
        <v>1211</v>
      </c>
      <c r="E341" s="1" t="s">
        <v>14</v>
      </c>
      <c r="F341" s="1">
        <v>41000</v>
      </c>
      <c r="G341" s="1">
        <v>1.75</v>
      </c>
      <c r="H341" s="1">
        <f t="shared" si="15"/>
        <v>71750</v>
      </c>
      <c r="I341" s="1" t="s">
        <v>271</v>
      </c>
      <c r="J341" s="1" t="s">
        <v>1135</v>
      </c>
    </row>
    <row r="342" s="1" customFormat="1" customHeight="1" spans="1:10">
      <c r="A342" s="7">
        <v>45966</v>
      </c>
      <c r="B342" s="1" t="s">
        <v>2706</v>
      </c>
      <c r="D342" s="1" t="s">
        <v>598</v>
      </c>
      <c r="E342" s="1" t="s">
        <v>14</v>
      </c>
      <c r="F342" s="1">
        <v>2110</v>
      </c>
      <c r="G342" s="1">
        <v>1.45</v>
      </c>
      <c r="H342" s="1">
        <f t="shared" si="15"/>
        <v>3059.5</v>
      </c>
      <c r="I342" s="1" t="s">
        <v>271</v>
      </c>
      <c r="J342" s="1" t="s">
        <v>1135</v>
      </c>
    </row>
    <row r="343" s="1" customFormat="1" customHeight="1" spans="1:10">
      <c r="A343" s="7">
        <v>45979</v>
      </c>
      <c r="B343" s="1" t="s">
        <v>539</v>
      </c>
      <c r="D343" s="1" t="s">
        <v>2707</v>
      </c>
      <c r="E343" s="1" t="s">
        <v>14</v>
      </c>
      <c r="F343" s="1">
        <v>20000</v>
      </c>
      <c r="G343" s="1">
        <v>0.73</v>
      </c>
      <c r="H343" s="1">
        <f t="shared" si="15"/>
        <v>14600</v>
      </c>
      <c r="I343" s="1" t="s">
        <v>243</v>
      </c>
    </row>
    <row r="344" s="1" customFormat="1" customHeight="1" spans="1:10">
      <c r="A344" s="7">
        <v>45967</v>
      </c>
      <c r="B344" s="7" t="s">
        <v>2708</v>
      </c>
      <c r="D344" s="1" t="s">
        <v>902</v>
      </c>
      <c r="E344" s="1" t="s">
        <v>14</v>
      </c>
      <c r="F344" s="1">
        <v>100</v>
      </c>
      <c r="G344" s="1">
        <v>5.4</v>
      </c>
      <c r="H344" s="1">
        <f t="shared" si="15"/>
        <v>540</v>
      </c>
      <c r="I344" s="1" t="s">
        <v>2683</v>
      </c>
      <c r="J344" s="1" t="s">
        <v>1135</v>
      </c>
    </row>
    <row r="345" s="1" customFormat="1" customHeight="1" spans="1:10">
      <c r="A345" s="7">
        <v>45965</v>
      </c>
      <c r="B345" s="1" t="s">
        <v>1582</v>
      </c>
      <c r="C345" s="1" t="s">
        <v>2709</v>
      </c>
      <c r="D345" s="1" t="s">
        <v>2710</v>
      </c>
      <c r="E345" s="1" t="s">
        <v>2711</v>
      </c>
      <c r="F345" s="1">
        <v>20000</v>
      </c>
      <c r="H345" s="1">
        <v>86</v>
      </c>
      <c r="I345" s="1" t="s">
        <v>54</v>
      </c>
      <c r="J345" s="1" t="s">
        <v>1135</v>
      </c>
    </row>
    <row r="346" s="1" customFormat="1" customHeight="1" spans="1:10">
      <c r="A346" s="7">
        <v>45985</v>
      </c>
      <c r="B346" s="1" t="s">
        <v>82</v>
      </c>
      <c r="D346" s="1" t="s">
        <v>2106</v>
      </c>
      <c r="E346" s="1" t="s">
        <v>2380</v>
      </c>
      <c r="F346" s="1">
        <v>1990</v>
      </c>
      <c r="G346" s="1">
        <v>1.48</v>
      </c>
      <c r="H346" s="1">
        <v>86</v>
      </c>
      <c r="I346" s="1" t="s">
        <v>2381</v>
      </c>
      <c r="J346" s="1" t="s">
        <v>1135</v>
      </c>
    </row>
    <row r="347" s="1" customFormat="1" customHeight="1" spans="1:10">
      <c r="A347" s="7">
        <v>45985</v>
      </c>
      <c r="B347" s="1" t="s">
        <v>82</v>
      </c>
      <c r="D347" s="1" t="s">
        <v>2106</v>
      </c>
      <c r="E347" s="1" t="s">
        <v>2380</v>
      </c>
      <c r="F347" s="1">
        <v>2330</v>
      </c>
      <c r="G347" s="1">
        <v>1.48</v>
      </c>
      <c r="H347" s="1">
        <v>86</v>
      </c>
      <c r="I347" s="1" t="s">
        <v>2381</v>
      </c>
      <c r="J347" s="1" t="s">
        <v>1135</v>
      </c>
    </row>
    <row r="348" s="1" customFormat="1" customHeight="1" spans="1:10">
      <c r="A348" s="7"/>
    </row>
    <row r="349" s="1" customFormat="1" customHeight="1" spans="1:10">
      <c r="A349" s="7"/>
    </row>
    <row r="350" s="1" customFormat="1" customHeight="1" spans="1:10">
      <c r="A350" s="7"/>
    </row>
    <row r="351" s="1" customFormat="1" customHeight="1" spans="1:10">
      <c r="A351" s="7"/>
    </row>
    <row r="352" s="1" customFormat="1" customHeight="1" spans="1:10">
      <c r="A352" s="7"/>
    </row>
    <row r="353" s="1" customFormat="1" customHeight="1" spans="1:1">
      <c r="A353" s="7"/>
    </row>
    <row r="354" s="1" customFormat="1" customHeight="1" spans="1:1">
      <c r="A354" s="7"/>
    </row>
    <row r="355" s="1" customFormat="1" customHeight="1" spans="1:1">
      <c r="A355" s="7"/>
    </row>
    <row r="356" s="1" customFormat="1" customHeight="1" spans="1:1">
      <c r="A356" s="7"/>
    </row>
    <row r="357" s="1" customFormat="1" customHeight="1" spans="1:1">
      <c r="A357" s="7"/>
    </row>
    <row r="358" s="1" customFormat="1" customHeight="1" spans="1:1">
      <c r="A358" s="7"/>
    </row>
    <row r="359" s="1" customFormat="1" customHeight="1" spans="1:1">
      <c r="A359" s="7"/>
    </row>
    <row r="360" s="1" customFormat="1" customHeight="1" spans="1:1">
      <c r="A360" s="7"/>
    </row>
    <row r="361" s="1" customFormat="1" customHeight="1" spans="1:1">
      <c r="A361" s="7"/>
    </row>
    <row r="362" s="1" customFormat="1" customHeight="1" spans="1:1">
      <c r="A362" s="7"/>
    </row>
    <row r="363" s="1" customFormat="1" customHeight="1" spans="1:1">
      <c r="A363" s="7"/>
    </row>
    <row r="364" s="1" customFormat="1" customHeight="1" spans="1:1">
      <c r="A364" s="7"/>
    </row>
    <row r="365" s="1" customFormat="1" customHeight="1" spans="1:1">
      <c r="A365" s="7"/>
    </row>
    <row r="366" s="1" customFormat="1" customHeight="1" spans="1:1">
      <c r="A366" s="7"/>
    </row>
    <row r="367" s="1" customFormat="1" customHeight="1" spans="1:1">
      <c r="A367" s="7"/>
    </row>
    <row r="368" s="1" customFormat="1" customHeight="1" spans="1:1">
      <c r="A368" s="7"/>
    </row>
    <row r="369" s="1" customFormat="1" customHeight="1" spans="1:4">
      <c r="A369" s="7"/>
    </row>
    <row r="370" s="1" customFormat="1" customHeight="1" spans="1:4">
      <c r="A370" s="7"/>
    </row>
    <row r="371" s="1" customFormat="1" customHeight="1" spans="1:4">
      <c r="A371" s="7"/>
    </row>
    <row r="372" s="1" customFormat="1" customHeight="1" spans="1:4">
      <c r="A372" s="7"/>
    </row>
    <row r="373" s="1" customFormat="1" customHeight="1" spans="1:4">
      <c r="A373" s="7"/>
    </row>
    <row r="374" s="1" customFormat="1" customHeight="1" spans="1:4">
      <c r="A374" s="7"/>
    </row>
    <row r="375" s="1" customFormat="1" customHeight="1" spans="1:4">
      <c r="A375" s="7"/>
    </row>
    <row r="376" s="1" customFormat="1" customHeight="1" spans="1:4">
      <c r="A376" s="7"/>
    </row>
    <row r="377" s="1" customFormat="1" customHeight="1" spans="1:4">
      <c r="A377" s="7"/>
    </row>
    <row r="378" s="1" customFormat="1" customHeight="1" spans="1:4">
      <c r="A378" s="7"/>
    </row>
    <row r="379" s="1" customFormat="1" customHeight="1" spans="1:4">
      <c r="A379" s="7"/>
    </row>
    <row r="380" s="1" customFormat="1" customHeight="1" spans="1:4">
      <c r="A380" s="7"/>
    </row>
    <row r="381" s="1" customFormat="1" customHeight="1" spans="1:4">
      <c r="A381" s="7"/>
    </row>
    <row r="382" s="1" customFormat="1" customHeight="1" spans="1:4">
      <c r="A382" s="7"/>
      <c r="B382" s="1"/>
      <c r="C382" s="1"/>
      <c r="D382" s="7"/>
    </row>
    <row r="383" s="1" customFormat="1" customHeight="1" spans="1:4">
      <c r="A383" s="7"/>
      <c r="B383" s="1"/>
      <c r="C383" s="1"/>
      <c r="D383" s="7"/>
    </row>
    <row r="384" s="1" customFormat="1" customHeight="1" spans="1:4">
      <c r="A384" s="7"/>
      <c r="B384" s="1"/>
      <c r="C384" s="1"/>
      <c r="D384" s="7"/>
    </row>
    <row r="385" s="1" customFormat="1" customHeight="1" spans="1:4">
      <c r="A385" s="7"/>
      <c r="B385" s="1"/>
      <c r="C385" s="1"/>
      <c r="D385" s="7"/>
    </row>
    <row r="386" s="1" customFormat="1" customHeight="1" spans="1:4">
      <c r="A386" s="7"/>
      <c r="B386" s="1"/>
      <c r="C386" s="1"/>
      <c r="D386" s="7"/>
    </row>
    <row r="387" s="1" customFormat="1" customHeight="1" spans="1:4">
      <c r="A387" s="7"/>
      <c r="B387" s="1"/>
      <c r="C387" s="1"/>
      <c r="D387" s="7"/>
    </row>
    <row r="388" s="1" customFormat="1" customHeight="1" spans="1:4">
      <c r="A388" s="7"/>
      <c r="B388" s="1"/>
      <c r="C388" s="1"/>
      <c r="D388" s="7"/>
    </row>
    <row r="389" s="1" customFormat="1" customHeight="1" spans="1:4">
      <c r="A389" s="7"/>
      <c r="B389" s="1"/>
      <c r="C389" s="1"/>
      <c r="D389" s="7"/>
    </row>
    <row r="390" s="1" customFormat="1" customHeight="1" spans="1:4">
      <c r="A390" s="7"/>
      <c r="B390" s="1"/>
      <c r="C390" s="1"/>
      <c r="D390" s="7"/>
    </row>
    <row r="391" s="1" customFormat="1" customHeight="1" spans="1:4">
      <c r="A391" s="7"/>
      <c r="B391" s="1"/>
      <c r="C391" s="1"/>
      <c r="D391" s="7"/>
    </row>
    <row r="392" s="1" customFormat="1" customHeight="1" spans="1:4">
      <c r="A392" s="7"/>
      <c r="B392" s="1"/>
      <c r="C392" s="1"/>
      <c r="D392" s="7"/>
    </row>
    <row r="393" s="1" customFormat="1" customHeight="1" spans="1:4">
      <c r="A393" s="7"/>
      <c r="B393" s="1"/>
      <c r="C393" s="1"/>
      <c r="D393" s="7"/>
    </row>
    <row r="394" s="1" customFormat="1" customHeight="1" spans="1:4">
      <c r="A394" s="7"/>
      <c r="B394" s="1"/>
      <c r="C394" s="1"/>
      <c r="D394" s="7"/>
    </row>
    <row r="395" s="1" customFormat="1" customHeight="1" spans="1:4">
      <c r="A395" s="7"/>
      <c r="B395" s="1"/>
      <c r="C395" s="1"/>
      <c r="D395" s="7"/>
    </row>
    <row r="396" s="1" customFormat="1" customHeight="1" spans="1:4">
      <c r="A396" s="7"/>
      <c r="B396" s="1"/>
      <c r="C396" s="1"/>
      <c r="D396" s="7"/>
    </row>
    <row r="397" s="1" customFormat="1" customHeight="1" spans="1:4">
      <c r="A397" s="7"/>
      <c r="B397" s="1"/>
      <c r="C397" s="1"/>
      <c r="D397" s="7"/>
    </row>
    <row r="398" s="1" customFormat="1" customHeight="1" spans="1:4">
      <c r="A398" s="7"/>
      <c r="B398" s="1"/>
      <c r="C398" s="1"/>
      <c r="D398" s="7"/>
    </row>
    <row r="399" s="1" customFormat="1" customHeight="1" spans="1:4">
      <c r="A399" s="7"/>
      <c r="B399" s="1"/>
      <c r="C399" s="1"/>
      <c r="D399" s="7"/>
    </row>
    <row r="400" s="1" customFormat="1" customHeight="1" spans="1:4">
      <c r="A400" s="7"/>
      <c r="B400" s="1"/>
      <c r="C400" s="1"/>
      <c r="D400" s="7"/>
    </row>
    <row r="401" s="1" customFormat="1" customHeight="1" spans="1:4">
      <c r="A401" s="7"/>
      <c r="B401" s="1"/>
      <c r="C401" s="1"/>
      <c r="D401" s="7"/>
    </row>
    <row r="402" s="1" customFormat="1" customHeight="1" spans="1:4">
      <c r="A402" s="7"/>
      <c r="B402" s="1"/>
      <c r="C402" s="1"/>
      <c r="D402" s="7"/>
    </row>
    <row r="403" s="1" customFormat="1" customHeight="1" spans="1:4">
      <c r="A403" s="7"/>
      <c r="B403" s="1"/>
      <c r="C403" s="1"/>
      <c r="D403" s="7"/>
    </row>
    <row r="404" s="1" customFormat="1" customHeight="1" spans="1:4">
      <c r="A404" s="7"/>
      <c r="B404" s="1"/>
      <c r="C404" s="1"/>
      <c r="D404" s="7"/>
    </row>
    <row r="405" s="1" customFormat="1" customHeight="1" spans="1:4">
      <c r="A405" s="7"/>
      <c r="B405" s="1"/>
      <c r="C405" s="1"/>
      <c r="D405" s="7"/>
    </row>
    <row r="406" s="1" customFormat="1" customHeight="1" spans="1:4">
      <c r="A406" s="7"/>
      <c r="B406" s="1"/>
      <c r="C406" s="1"/>
      <c r="D406" s="7"/>
    </row>
    <row r="407" s="1" customFormat="1" customHeight="1" spans="1:4">
      <c r="A407" s="7"/>
    </row>
    <row r="408" s="1" customFormat="1" customHeight="1" spans="1:4">
      <c r="A408" s="7"/>
    </row>
    <row r="409" s="1" customFormat="1" customHeight="1" spans="1:4">
      <c r="A409" s="7"/>
      <c r="B409" s="1"/>
      <c r="C409" s="1"/>
      <c r="D409" s="7"/>
    </row>
    <row r="410" s="1" customFormat="1" customHeight="1" spans="1:4">
      <c r="A410" s="7"/>
      <c r="B410" s="1"/>
      <c r="C410" s="1"/>
      <c r="D410" s="7"/>
    </row>
    <row r="411" s="1" customFormat="1" customHeight="1" spans="1:4">
      <c r="A411" s="7"/>
      <c r="B411" s="1"/>
      <c r="C411" s="1"/>
      <c r="D411" s="7"/>
    </row>
    <row r="412" s="1" customFormat="1" customHeight="1" spans="1:4">
      <c r="A412" s="7"/>
      <c r="B412" s="1"/>
      <c r="C412" s="1"/>
      <c r="D412" s="7"/>
    </row>
    <row r="413" s="1" customFormat="1" customHeight="1" spans="1:4">
      <c r="A413" s="7"/>
      <c r="B413" s="1"/>
      <c r="C413" s="1"/>
      <c r="D413" s="7"/>
    </row>
    <row r="414" s="1" customFormat="1" customHeight="1" spans="1:4">
      <c r="A414" s="7"/>
      <c r="B414" s="1"/>
      <c r="C414" s="1"/>
      <c r="D414" s="7"/>
    </row>
    <row r="415" s="1" customFormat="1" customHeight="1" spans="1:4">
      <c r="A415" s="7"/>
      <c r="B415" s="1"/>
      <c r="C415" s="1"/>
      <c r="D415" s="7"/>
    </row>
    <row r="416" s="1" customFormat="1" customHeight="1" spans="1:4">
      <c r="A416" s="7"/>
      <c r="B416" s="1"/>
      <c r="C416" s="1"/>
      <c r="D416" s="7"/>
    </row>
    <row r="417" s="1" customFormat="1" customHeight="1" spans="1:4">
      <c r="A417" s="7"/>
      <c r="B417" s="1"/>
      <c r="C417" s="1"/>
      <c r="D417" s="7"/>
    </row>
    <row r="418" s="1" customFormat="1" customHeight="1" spans="1:4">
      <c r="A418" s="7"/>
      <c r="B418" s="1"/>
      <c r="C418" s="1"/>
      <c r="D418" s="7"/>
    </row>
    <row r="419" s="1" customFormat="1" customHeight="1" spans="1:4">
      <c r="A419" s="7"/>
      <c r="B419" s="1"/>
      <c r="C419" s="1"/>
      <c r="D419" s="7"/>
    </row>
    <row r="420" s="1" customFormat="1" customHeight="1" spans="1:4">
      <c r="A420" s="7"/>
      <c r="B420" s="1"/>
      <c r="C420" s="1"/>
      <c r="D420" s="7"/>
    </row>
    <row r="421" s="1" customFormat="1" customHeight="1" spans="1:4">
      <c r="A421" s="7"/>
    </row>
    <row r="422" s="1" customFormat="1" customHeight="1" spans="1:4">
      <c r="A422" s="7"/>
    </row>
    <row r="423" s="1" customFormat="1" customHeight="1" spans="1:4">
      <c r="A423" s="7"/>
    </row>
    <row r="424" s="1" customFormat="1" customHeight="1" spans="1:4">
      <c r="A424" s="7"/>
    </row>
    <row r="425" s="1" customFormat="1" customHeight="1" spans="1:4">
      <c r="A425" s="7"/>
    </row>
    <row r="426" s="1" customFormat="1" customHeight="1" spans="1:4">
      <c r="A426" s="7"/>
    </row>
    <row r="427" s="1" customFormat="1" customHeight="1" spans="1:4">
      <c r="A427" s="7"/>
    </row>
    <row r="428" s="1" customFormat="1" customHeight="1" spans="1:4">
      <c r="A428" s="7"/>
    </row>
    <row r="429" s="1" customFormat="1" customHeight="1" spans="1:4">
      <c r="A429" s="7"/>
    </row>
    <row r="430" s="1" customFormat="1" customHeight="1" spans="1:4">
      <c r="A430" s="7"/>
    </row>
    <row r="431" s="1" customFormat="1" customHeight="1" spans="1:4">
      <c r="A431" s="7"/>
    </row>
    <row r="432" s="1" customFormat="1" customHeight="1" spans="1:4">
      <c r="A432" s="7"/>
    </row>
    <row r="433" s="1" customFormat="1" customHeight="1" spans="1:1">
      <c r="A433" s="7"/>
    </row>
    <row r="434" s="1" customFormat="1" customHeight="1" spans="1:1">
      <c r="A434" s="7"/>
    </row>
    <row r="435" s="1" customFormat="1" customHeight="1" spans="1:1">
      <c r="A435" s="7"/>
    </row>
    <row r="436" s="1" customFormat="1" customHeight="1" spans="1:1">
      <c r="A436" s="7"/>
    </row>
    <row r="437" s="1" customFormat="1" customHeight="1" spans="1:1">
      <c r="A437" s="7"/>
    </row>
    <row r="438" s="1" customFormat="1" customHeight="1" spans="1:1">
      <c r="A438" s="7"/>
    </row>
    <row r="439" s="1" customFormat="1" customHeight="1" spans="1:1">
      <c r="A439" s="7"/>
    </row>
    <row r="440" s="1" customFormat="1" customHeight="1" spans="1:1">
      <c r="A440" s="7"/>
    </row>
    <row r="441" s="1" customFormat="1" customHeight="1" spans="1:1">
      <c r="A441" s="7"/>
    </row>
    <row r="442" s="1" customFormat="1" customHeight="1" spans="1:1">
      <c r="A442" s="7"/>
    </row>
    <row r="443" s="1" customFormat="1" customHeight="1" spans="1:1">
      <c r="A443" s="7"/>
    </row>
    <row r="444" s="1" customFormat="1" customHeight="1" spans="1:1">
      <c r="A444" s="7"/>
    </row>
    <row r="445" s="1" customFormat="1" customHeight="1" spans="1:1">
      <c r="A445" s="7"/>
    </row>
    <row r="446" s="1" customFormat="1" customHeight="1" spans="1:1">
      <c r="A446" s="7"/>
    </row>
    <row r="447" s="1" customFormat="1" customHeight="1" spans="1:1">
      <c r="A447" s="7"/>
    </row>
    <row r="448" s="1" customFormat="1" customHeight="1" spans="1:1">
      <c r="A448" s="7"/>
    </row>
    <row r="449" s="1" customFormat="1" customHeight="1" spans="1:1">
      <c r="A449" s="7"/>
    </row>
    <row r="450" s="1" customFormat="1" customHeight="1" spans="1:1">
      <c r="A450" s="7"/>
    </row>
    <row r="451" s="1" customFormat="1" customHeight="1" spans="1:1">
      <c r="A451" s="7"/>
    </row>
    <row r="452" s="1" customFormat="1" customHeight="1" spans="1:1">
      <c r="A452" s="7"/>
    </row>
    <row r="453" s="1" customFormat="1" customHeight="1" spans="1:1">
      <c r="A453" s="7"/>
    </row>
    <row r="454" s="1" customFormat="1" customHeight="1" spans="1:1">
      <c r="A454" s="7"/>
    </row>
    <row r="455" s="1" customFormat="1" customHeight="1" spans="1:1">
      <c r="A455" s="7"/>
    </row>
    <row r="456" s="1" customFormat="1" customHeight="1" spans="1:1">
      <c r="A456" s="7"/>
    </row>
    <row r="457" s="1" customFormat="1" customHeight="1" spans="1:1">
      <c r="A457" s="7"/>
    </row>
    <row r="458" s="1" customFormat="1" customHeight="1" spans="1:1">
      <c r="A458" s="7"/>
    </row>
    <row r="459" s="1" customFormat="1" customHeight="1" spans="1:1">
      <c r="A459" s="7"/>
    </row>
    <row r="460" s="1" customFormat="1" customHeight="1" spans="1:1">
      <c r="A460" s="7"/>
    </row>
    <row r="461" s="1" customFormat="1" customHeight="1" spans="1:1">
      <c r="A461" s="7"/>
    </row>
    <row r="462" s="1" customFormat="1" customHeight="1" spans="1:1">
      <c r="A462" s="7"/>
    </row>
    <row r="463" s="1" customFormat="1" customHeight="1" spans="1:1">
      <c r="A463" s="7"/>
    </row>
    <row r="464" s="1" customFormat="1" customHeight="1" spans="1:1">
      <c r="A464" s="7"/>
    </row>
    <row r="465" s="1" customFormat="1" customHeight="1" spans="1:1">
      <c r="A465" s="7"/>
    </row>
    <row r="466" s="1" customFormat="1" customHeight="1" spans="1:1">
      <c r="A466" s="7"/>
    </row>
    <row r="467" s="1" customFormat="1" customHeight="1" spans="1:1">
      <c r="A467" s="7"/>
    </row>
    <row r="468" s="1" customFormat="1" customHeight="1" spans="1:1">
      <c r="A468" s="7"/>
    </row>
    <row r="469" s="1" customFormat="1" customHeight="1" spans="1:1">
      <c r="A469" s="7"/>
    </row>
    <row r="470" s="1" customFormat="1" customHeight="1" spans="1:1">
      <c r="A470" s="7"/>
    </row>
    <row r="471" s="1" customFormat="1" customHeight="1" spans="1:1">
      <c r="A471" s="7"/>
    </row>
    <row r="472" s="1" customFormat="1" customHeight="1" spans="1:1">
      <c r="A472" s="7"/>
    </row>
    <row r="473" s="1" customFormat="1" customHeight="1" spans="1:1">
      <c r="A473" s="7"/>
    </row>
    <row r="474" s="1" customFormat="1" customHeight="1" spans="1:1">
      <c r="A474" s="7"/>
    </row>
    <row r="475" s="1" customFormat="1" customHeight="1" spans="1:1">
      <c r="A475" s="7"/>
    </row>
    <row r="476" s="1" customFormat="1" customHeight="1" spans="1:1">
      <c r="A476" s="7"/>
    </row>
    <row r="477" s="1" customFormat="1" customHeight="1" spans="1:1">
      <c r="A477" s="7"/>
    </row>
    <row r="478" s="1" customFormat="1" customHeight="1" spans="1:1">
      <c r="A478" s="7"/>
    </row>
    <row r="479" s="1" customFormat="1" customHeight="1" spans="1:1">
      <c r="A479" s="7"/>
    </row>
    <row r="480" s="1" customFormat="1" customHeight="1" spans="1:1">
      <c r="A480" s="7"/>
    </row>
    <row r="481" s="1" customFormat="1" customHeight="1" spans="1:1">
      <c r="A481" s="7"/>
    </row>
    <row r="482" s="1" customFormat="1" customHeight="1" spans="1:1">
      <c r="A482" s="7"/>
    </row>
    <row r="483" s="1" customFormat="1" customHeight="1" spans="1:1">
      <c r="A483" s="7"/>
    </row>
    <row r="484" s="1" customFormat="1" customHeight="1" spans="1:1">
      <c r="A484" s="7"/>
    </row>
    <row r="485" s="1" customFormat="1" customHeight="1" spans="1:1">
      <c r="A485" s="7"/>
    </row>
    <row r="486" s="1" customFormat="1" customHeight="1" spans="1:1">
      <c r="A486" s="7"/>
    </row>
    <row r="487" s="1" customFormat="1" customHeight="1" spans="1:1">
      <c r="A487" s="7"/>
    </row>
    <row r="488" s="1" customFormat="1" customHeight="1" spans="1:1">
      <c r="A488" s="7"/>
    </row>
    <row r="489" s="1" customFormat="1" customHeight="1" spans="1:1">
      <c r="A489" s="7"/>
    </row>
    <row r="490" s="1" customFormat="1" customHeight="1" spans="1:1">
      <c r="A490" s="7"/>
    </row>
    <row r="491" s="1" customFormat="1" customHeight="1" spans="1:1">
      <c r="A491" s="7"/>
    </row>
    <row r="492" s="1" customFormat="1" customHeight="1" spans="1:1">
      <c r="A492" s="7"/>
    </row>
    <row r="493" s="1" customFormat="1" customHeight="1" spans="1:1">
      <c r="A493" s="7"/>
    </row>
    <row r="494" s="1" customFormat="1" customHeight="1" spans="1:1">
      <c r="A494" s="7"/>
    </row>
    <row r="495" s="1" customFormat="1" customHeight="1" spans="1:1">
      <c r="A495" s="7"/>
    </row>
    <row r="496" s="1" customFormat="1" customHeight="1" spans="1:1">
      <c r="A496" s="7"/>
    </row>
    <row r="497" s="1" customFormat="1" customHeight="1" spans="1:1">
      <c r="A497" s="7"/>
    </row>
    <row r="498" s="1" customFormat="1" customHeight="1" spans="1:1">
      <c r="A498" s="7"/>
    </row>
    <row r="499" s="1" customFormat="1" customHeight="1" spans="1:1">
      <c r="A499" s="7"/>
    </row>
    <row r="500" s="1" customFormat="1" customHeight="1" spans="1:1">
      <c r="A500" s="7"/>
    </row>
    <row r="501" s="1" customFormat="1" customHeight="1" spans="1:1">
      <c r="A501" s="7"/>
    </row>
    <row r="502" s="1" customFormat="1" customHeight="1" spans="1:1">
      <c r="A502" s="7"/>
    </row>
    <row r="503" s="1" customFormat="1" customHeight="1" spans="1:1">
      <c r="A503" s="7"/>
    </row>
    <row r="504" s="1" customFormat="1" customHeight="1" spans="1:1">
      <c r="A504" s="7"/>
    </row>
    <row r="505" s="1" customFormat="1" customHeight="1" spans="1:1">
      <c r="A505" s="7"/>
    </row>
    <row r="506" s="1" customFormat="1" customHeight="1" spans="1:1">
      <c r="A506" s="7"/>
    </row>
    <row r="507" s="1" customFormat="1" customHeight="1" spans="1:1">
      <c r="A507" s="7"/>
    </row>
    <row r="508" s="1" customFormat="1" customHeight="1" spans="1:1">
      <c r="A508" s="7"/>
    </row>
    <row r="509" s="1" customFormat="1" customHeight="1" spans="1:1">
      <c r="A509" s="7"/>
    </row>
    <row r="510" s="1" customFormat="1" customHeight="1" spans="1:1">
      <c r="A510" s="7"/>
    </row>
    <row r="511" s="1" customFormat="1" customHeight="1" spans="1:1">
      <c r="A511" s="7"/>
    </row>
    <row r="512" s="1" customFormat="1" customHeight="1" spans="1:1">
      <c r="A512" s="7"/>
    </row>
    <row r="513" s="1" customFormat="1" customHeight="1" spans="1:1">
      <c r="A513" s="7"/>
    </row>
    <row r="514" s="1" customFormat="1" customHeight="1" spans="1:1">
      <c r="A514" s="7"/>
    </row>
    <row r="515" s="1" customFormat="1" customHeight="1" spans="1:1">
      <c r="A515" s="7"/>
    </row>
    <row r="516" s="1" customFormat="1" customHeight="1" spans="1:1">
      <c r="A516" s="7"/>
    </row>
    <row r="517" s="1" customFormat="1" customHeight="1" spans="1:1">
      <c r="A517" s="7"/>
    </row>
    <row r="518" s="1" customFormat="1" customHeight="1" spans="1:1">
      <c r="A518" s="7"/>
    </row>
    <row r="519" s="1" customFormat="1" customHeight="1" spans="1:1">
      <c r="A519" s="7"/>
    </row>
    <row r="520" s="1" customFormat="1" customHeight="1" spans="1:1">
      <c r="A520" s="7"/>
    </row>
    <row r="521" s="1" customFormat="1" customHeight="1" spans="1:1">
      <c r="A521" s="7"/>
    </row>
    <row r="522" s="1" customFormat="1" customHeight="1" spans="1:1">
      <c r="A522" s="7"/>
    </row>
    <row r="523" s="1" customFormat="1" customHeight="1" spans="1:1">
      <c r="A523" s="7"/>
    </row>
    <row r="524" s="1" customFormat="1" customHeight="1" spans="1:1">
      <c r="A524" s="7"/>
    </row>
    <row r="525" s="1" customFormat="1" customHeight="1" spans="1:1">
      <c r="A525" s="7"/>
    </row>
    <row r="526" s="1" customFormat="1" customHeight="1" spans="1:1">
      <c r="A526" s="7"/>
    </row>
    <row r="527" s="1" customFormat="1" customHeight="1" spans="1:1">
      <c r="A527" s="7"/>
    </row>
    <row r="528" s="1" customFormat="1" customHeight="1" spans="1:1">
      <c r="A528" s="7"/>
    </row>
    <row r="529" s="1" customFormat="1" customHeight="1" spans="1:1">
      <c r="A529" s="7"/>
    </row>
    <row r="530" s="1" customFormat="1" customHeight="1" spans="1:1">
      <c r="A530" s="7"/>
    </row>
    <row r="531" s="1" customFormat="1" customHeight="1" spans="1:1">
      <c r="A531" s="7"/>
    </row>
    <row r="532" s="1" customFormat="1" customHeight="1" spans="1:1">
      <c r="A532" s="7"/>
    </row>
    <row r="533" s="1" customFormat="1" customHeight="1" spans="1:1">
      <c r="A533" s="7"/>
    </row>
    <row r="534" s="1" customFormat="1" customHeight="1" spans="1:1">
      <c r="A534" s="7"/>
    </row>
    <row r="535" s="1" customFormat="1" customHeight="1" spans="1:1">
      <c r="A535" s="7"/>
    </row>
    <row r="536" s="1" customFormat="1" customHeight="1" spans="1:1">
      <c r="A536" s="7"/>
    </row>
    <row r="537" s="1" customFormat="1" customHeight="1" spans="1:1">
      <c r="A537" s="7"/>
    </row>
  </sheetData>
  <autoFilter xmlns:etc="http://www.wps.cn/officeDocument/2017/etCustomData" ref="A1:K347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25年1月</vt:lpstr>
      <vt:lpstr>25年2月</vt:lpstr>
      <vt:lpstr>25年3月</vt:lpstr>
      <vt:lpstr>25年4月</vt:lpstr>
      <vt:lpstr>25年5月</vt:lpstr>
      <vt:lpstr>25年6月</vt:lpstr>
      <vt:lpstr>25年07月</vt:lpstr>
      <vt:lpstr>25年08月</vt:lpstr>
      <vt:lpstr>25年09月</vt:lpstr>
      <vt:lpstr>25年10月</vt:lpstr>
      <vt:lpstr>25年11月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宏晟宇跟单</cp:lastModifiedBy>
  <dcterms:created xsi:type="dcterms:W3CDTF">2021-04-25T06:28:00Z</dcterms:created>
  <dcterms:modified xsi:type="dcterms:W3CDTF">2025-11-26T07:10:08Z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3463EEA50028439E89EF368967CE32BA_13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