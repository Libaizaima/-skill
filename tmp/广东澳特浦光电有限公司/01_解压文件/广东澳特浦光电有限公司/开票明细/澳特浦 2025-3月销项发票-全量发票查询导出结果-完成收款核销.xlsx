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信息汇总表" sheetId="1" r:id="rId1"/>
    <sheet name="发票基础信息" sheetId="2" r:id="rId2"/>
  </sheets>
  <definedNames>
    <definedName name="_xlnm._FilterDatabase" localSheetId="0" hidden="1">信息汇总表!$A$1:$AB$75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不申报退税</t>
        </r>
      </text>
    </comment>
    <comment ref="H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代收货款
核销 LEDSOLARTECH,INC 应收款</t>
        </r>
      </text>
    </comment>
    <comment ref="H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核销 ERA LIGHTING 应收款</t>
        </r>
      </text>
    </comment>
    <comment ref="H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余额￥158,081.00 未收款</t>
        </r>
      </text>
    </comment>
  </commentList>
</comments>
</file>

<file path=xl/sharedStrings.xml><?xml version="1.0" encoding="utf-8"?>
<sst xmlns="http://schemas.openxmlformats.org/spreadsheetml/2006/main" count="2149" uniqueCount="330">
  <si>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</si>
  <si>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</si>
  <si>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</si>
  <si>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</si>
  <si>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</si>
  <si>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</si>
  <si>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</si>
  <si>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</si>
  <si>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</si>
  <si>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</si>
  <si>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</si>
  <si>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</si>
  <si>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</si>
  <si>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</si>
  <si>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</si>
  <si>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</si>
  <si>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</si>
  <si>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</si>
  <si>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</si>
  <si>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</si>
  <si>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</si>
  <si>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</si>
  <si>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</si>
  <si>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</si>
  <si>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</si>
  <si>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</si>
  <si>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</si>
  <si>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</si>
  <si>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</si>
  <si>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25442000000180000183</t>
  </si>
  <si>
    <t>914420005626089749</t>
  </si>
  <si>
    <t>广东澳特浦光电有限公司</t>
  </si>
  <si>
    <t>FEILO EXIM LIMITED</t>
  </si>
  <si>
    <t>2025-03-31 17:54:59</t>
  </si>
  <si>
    <t>1090424020000000000</t>
  </si>
  <si>
    <t>*照明装置*太阳能庭院灯</t>
  </si>
  <si>
    <t>套</t>
  </si>
  <si>
    <t>220</t>
  </si>
  <si>
    <t>136.935136363636</t>
  </si>
  <si>
    <t>0%</t>
  </si>
  <si>
    <t>电子发票服务平台</t>
  </si>
  <si>
    <t>数电票（普通发票）</t>
  </si>
  <si>
    <t>正常</t>
  </si>
  <si>
    <t>是</t>
  </si>
  <si>
    <t>周培文</t>
  </si>
  <si>
    <t>报关单号：531620250160736855
合同协议号：P001518.C039
贸易方式：一般贸易
结算方式：EXW
外币金额：$4199
汇率：7.1745</t>
  </si>
  <si>
    <t>2</t>
  </si>
  <si>
    <t>25442000000179982710</t>
  </si>
  <si>
    <t>JETSTEREO SA DE CV</t>
  </si>
  <si>
    <t>2025-03-31 17:51:02</t>
  </si>
  <si>
    <t>*照明装置*太阳能路灯</t>
  </si>
  <si>
    <t>183</t>
  </si>
  <si>
    <t>1137.94743169399</t>
  </si>
  <si>
    <t>报关单号：520120250515023798
合同协议号：C07.0429.01P
贸易方式：一般贸易
结算方式：FOB
外币金额：$29025.63
汇率：7.1745</t>
  </si>
  <si>
    <t>3</t>
  </si>
  <si>
    <t>25442000000174960724</t>
  </si>
  <si>
    <t>SOLINAL LLC</t>
  </si>
  <si>
    <t>2025-03-29 10:13:42</t>
  </si>
  <si>
    <t>*照明装置*太阳能投光灯</t>
  </si>
  <si>
    <t>个</t>
  </si>
  <si>
    <t>1328</t>
  </si>
  <si>
    <t>298.028727409639</t>
  </si>
  <si>
    <t>报关单号：516620250660293258
合同协议号：C035.9553.05P
贸易方式：一般贸易
结算方式：EXW
外币金额：$55165.12
汇率：7.1745</t>
  </si>
  <si>
    <t>4</t>
  </si>
  <si>
    <t>25442000000174944125</t>
  </si>
  <si>
    <t>CONSTRUTORA B&amp;C LTDA.</t>
  </si>
  <si>
    <t>2025-03-29 10:05:54</t>
  </si>
  <si>
    <t>1090424090000000000</t>
  </si>
  <si>
    <t>1204</t>
  </si>
  <si>
    <t>1219.33130398671</t>
  </si>
  <si>
    <t>报关单号：530420250040382805
合同协议号：C040.02494.12Q
贸易方式：一般贸易
结算方式：EXW
外币金额：$204624
汇率：7.1745</t>
  </si>
  <si>
    <t>5</t>
  </si>
  <si>
    <t>25442000000174935070</t>
  </si>
  <si>
    <t>GADARO SA</t>
  </si>
  <si>
    <t>2025-03-29 10:02:23</t>
  </si>
  <si>
    <t>台</t>
  </si>
  <si>
    <t>2118</t>
  </si>
  <si>
    <t>173.981624173749</t>
  </si>
  <si>
    <t>报关单号：572120250215541821
合同协议号：C21/0342/48Q
贸易方式：一般贸易
结算方式：FOB
外币金额：$117863.1
汇率：7.1745</t>
  </si>
  <si>
    <t>6</t>
  </si>
  <si>
    <t>4900</t>
  </si>
  <si>
    <t>81.0288020408163</t>
  </si>
  <si>
    <t>7</t>
  </si>
  <si>
    <t>*照明装置*太阳能球泡灯</t>
  </si>
  <si>
    <t>500</t>
  </si>
  <si>
    <t>83.43944</t>
  </si>
  <si>
    <t>8</t>
  </si>
  <si>
    <t>*照明装置*储能系统</t>
  </si>
  <si>
    <t>200</t>
  </si>
  <si>
    <t>191.7744</t>
  </si>
  <si>
    <t>9</t>
  </si>
  <si>
    <t>25442000000174922408</t>
  </si>
  <si>
    <t>2025-03-29 09:56:04</t>
  </si>
  <si>
    <t>1250</t>
  </si>
  <si>
    <t>127.70036</t>
  </si>
  <si>
    <t>报关单号：530420250040420071
合同协议号：P025033.C039
贸易方式：一般贸易
结算方式：FOB
外币金额：$22249
汇率：7.1745</t>
  </si>
  <si>
    <t>10</t>
  </si>
  <si>
    <t>25442000000174917020</t>
  </si>
  <si>
    <t>SOCIEDAD DE INVERSIONES AQSA LTDA.</t>
  </si>
  <si>
    <t>2025-03-29 09:53:18</t>
  </si>
  <si>
    <t>400</t>
  </si>
  <si>
    <t>979.31925</t>
  </si>
  <si>
    <t>报关单号：572120250215540510
合同协议号：ZSATP004
贸易方式：一般贸易
结算方式：FOB
外币金额：$80538
汇率：7.1745</t>
  </si>
  <si>
    <t>11</t>
  </si>
  <si>
    <t>*照明装置*储能电源</t>
  </si>
  <si>
    <t>100</t>
  </si>
  <si>
    <t>1860.9218</t>
  </si>
  <si>
    <t>12</t>
  </si>
  <si>
    <t>25442000000174908425</t>
  </si>
  <si>
    <t>Firefly Electric and Lighting Corporation</t>
  </si>
  <si>
    <t>2025-03-29 09:49:03</t>
  </si>
  <si>
    <t>4165</t>
  </si>
  <si>
    <t>83.8537983193277</t>
  </si>
  <si>
    <t>报关单号：572120250215539992
合同协议号：C11.1294.23P
贸易方式：一般贸易
结算方式：FOB
外币金额：$48679.5
汇率：7.1745</t>
  </si>
  <si>
    <t>13</t>
  </si>
  <si>
    <t>25442000000174819442</t>
  </si>
  <si>
    <t>LIGHTWAYS INTERNATIONAL CORPORATION</t>
  </si>
  <si>
    <t>2025-03-29 08:51:03</t>
  </si>
  <si>
    <t>925</t>
  </si>
  <si>
    <t>365.899502702703</t>
  </si>
  <si>
    <t>报关单号：572120250215537491
合同协议号：C10.2025.2.12.001
贸易方式：一般贸易
结算方式：EXW
外币金额：$47175
汇率：7.1745</t>
  </si>
  <si>
    <t>14</t>
  </si>
  <si>
    <t>25442000000174815516</t>
  </si>
  <si>
    <t>Medcc Comany</t>
  </si>
  <si>
    <t>2025-03-29 08:46:35</t>
  </si>
  <si>
    <t>35.87</t>
  </si>
  <si>
    <t>报关单号：535420250540054925
合同协议号：
贸易方式：一般贸易
结算方式：FOB
外币金额：$27.8
汇率：7.1745</t>
  </si>
  <si>
    <t>15</t>
  </si>
  <si>
    <t>7.17</t>
  </si>
  <si>
    <t>16</t>
  </si>
  <si>
    <t>21.525</t>
  </si>
  <si>
    <t>17</t>
  </si>
  <si>
    <t>*照明装置*光伏系统</t>
  </si>
  <si>
    <t>18</t>
  </si>
  <si>
    <t>1.435</t>
  </si>
  <si>
    <t>19</t>
  </si>
  <si>
    <t>14.35</t>
  </si>
  <si>
    <t>20</t>
  </si>
  <si>
    <t>21</t>
  </si>
  <si>
    <t>35.88</t>
  </si>
  <si>
    <t>22</t>
  </si>
  <si>
    <t>25442000000173494822</t>
  </si>
  <si>
    <t>91310115777100078L</t>
  </si>
  <si>
    <t>上海半邦国际贸易有限公司</t>
  </si>
  <si>
    <t>2025-03-28 15:35:22</t>
  </si>
  <si>
    <t>862</t>
  </si>
  <si>
    <t>1681.41592920354</t>
  </si>
  <si>
    <t>13%</t>
  </si>
  <si>
    <t>数电票（增值税专用发票）</t>
  </si>
  <si>
    <t>23</t>
  </si>
  <si>
    <t>*照明装置*庭院灯</t>
  </si>
  <si>
    <t>717.12389380531</t>
  </si>
  <si>
    <t>24</t>
  </si>
  <si>
    <t>25442000000165474517</t>
  </si>
  <si>
    <t>Australian Niugini Services</t>
  </si>
  <si>
    <t>2025-03-25 18:13:57</t>
  </si>
  <si>
    <t>217</t>
  </si>
  <si>
    <t>1937.11502304147</t>
  </si>
  <si>
    <t>报关单号：516620250660289608
合同协议号：20250214
贸易方式：一般贸易
结算方式：FOB
外币金额：$58590
汇率：7.1745</t>
  </si>
  <si>
    <t>25</t>
  </si>
  <si>
    <t>25442000000165467681</t>
  </si>
  <si>
    <t>LAFAYETTE LIGHTING S.A.</t>
  </si>
  <si>
    <t>2025-03-25 18:11:13</t>
  </si>
  <si>
    <t>700</t>
  </si>
  <si>
    <t>123.4014</t>
  </si>
  <si>
    <t>报关单号：530420250040357260
合同协议号：C27.089832
贸易方式：一般贸易
结算方式：EXW
外币金额：$12040
汇率：7.1745</t>
  </si>
  <si>
    <t>26</t>
  </si>
  <si>
    <t>25442000000165460782</t>
  </si>
  <si>
    <t>Hayleys Electronics Limited</t>
  </si>
  <si>
    <t>2025-03-25 18:08:14</t>
  </si>
  <si>
    <t>510</t>
  </si>
  <si>
    <t>101.447431372549</t>
  </si>
  <si>
    <t>报关单号：521320250635045376
合同协议号：C043.35051.002P
贸易方式：一般贸易
结算方式：FOB
外币金额：$7211.4
汇率：7.1745</t>
  </si>
  <si>
    <t>27</t>
  </si>
  <si>
    <t>25442000000165453465</t>
  </si>
  <si>
    <t>MOGE INDUSTRIAL CO.,LTD</t>
  </si>
  <si>
    <t>2025-03-25 18:05:21</t>
  </si>
  <si>
    <t>*照明装置*驱动电源</t>
  </si>
  <si>
    <t>6960</t>
  </si>
  <si>
    <t>25.11075</t>
  </si>
  <si>
    <t>报关单号：516620250660244028
合同协议号：C49.0108.01P
贸易方式：一般贸易
结算方式：EXW
外币金额：$49988.04
汇率：7.1745</t>
  </si>
  <si>
    <t>28</t>
  </si>
  <si>
    <t>257</t>
  </si>
  <si>
    <t>715.441128404669</t>
  </si>
  <si>
    <t>29</t>
  </si>
  <si>
    <t>25442000000165444111</t>
  </si>
  <si>
    <t>Ocm(QLD) Pty Ltd</t>
  </si>
  <si>
    <t>2025-03-25 18:01:42</t>
  </si>
  <si>
    <t>1000</t>
  </si>
  <si>
    <t>21.5235</t>
  </si>
  <si>
    <t>报关单号：222920250000825955
合同协议号：C21/5985/06Q
贸易方式：一般贸易
结算方式：FOB
外币金额：$6100
汇率：7.1745</t>
  </si>
  <si>
    <t>30</t>
  </si>
  <si>
    <t>22.24095</t>
  </si>
  <si>
    <t>31</t>
  </si>
  <si>
    <t>25442000000165429565</t>
  </si>
  <si>
    <t>2025-03-25 17:57:45</t>
  </si>
  <si>
    <t>1050</t>
  </si>
  <si>
    <t>62.4181523809524</t>
  </si>
  <si>
    <t>报关单号：572120250215530623
合同协议号：P024921.C039
贸易方式：一般贸易
结算方式：FOB
外币金额：$9135
汇率：7.1745</t>
  </si>
  <si>
    <t>32</t>
  </si>
  <si>
    <t>25442000000165417089</t>
  </si>
  <si>
    <t>METALURGICA IL INDUSTRIA DE ILUMINACAO LTDA</t>
  </si>
  <si>
    <t>2025-03-25 17:53:58</t>
  </si>
  <si>
    <t>25800</t>
  </si>
  <si>
    <t>8.9681251937985</t>
  </si>
  <si>
    <t>报关单号：530620250060123667
合同协议号：C17.0215.21C/24
贸易方式：一般贸易
结算方式：EXW
外币金额：$65497.5
汇率：7.1745</t>
  </si>
  <si>
    <t>33</t>
  </si>
  <si>
    <t>11850</t>
  </si>
  <si>
    <t>13.4163147679325</t>
  </si>
  <si>
    <t>34</t>
  </si>
  <si>
    <t>7200</t>
  </si>
  <si>
    <t>11.0487291666667</t>
  </si>
  <si>
    <t>35</t>
  </si>
  <si>
    <t>25442000000165399287</t>
  </si>
  <si>
    <t>Plusrite AUSTRALIA PTY LTD</t>
  </si>
  <si>
    <t>2025-03-25 17:48:43</t>
  </si>
  <si>
    <t>410</t>
  </si>
  <si>
    <t>341.385463414634</t>
  </si>
  <si>
    <t>报关单号：516620250660235735
合同协议号：C07.0370.30P
贸易方式：一般贸易
结算方式：FOB
外币金额：$29631.6
汇率：7.1745</t>
  </si>
  <si>
    <t>36</t>
  </si>
  <si>
    <t>436</t>
  </si>
  <si>
    <t>166.568509174312</t>
  </si>
  <si>
    <t>37</t>
  </si>
  <si>
    <t>25442000000165382231</t>
  </si>
  <si>
    <t>2025-03-25 17:44:01</t>
  </si>
  <si>
    <t>3465</t>
  </si>
  <si>
    <t>96.912277056277</t>
  </si>
  <si>
    <t>报关单号：572120250215531330
合同协议号：C11.1294.22P
贸易方式：一般贸易
结算方式：FOB
外币金额：$46804.8
汇率：7.1745</t>
  </si>
  <si>
    <t>38</t>
  </si>
  <si>
    <t>25442000000165370092</t>
  </si>
  <si>
    <t>ANDREAS F. TRIKOMITIS LTD</t>
  </si>
  <si>
    <t>2025-03-25 17:40:58</t>
  </si>
  <si>
    <t>230</t>
  </si>
  <si>
    <t>288.414913043478</t>
  </si>
  <si>
    <t>报关单号：516620250660238250
合同协议号：C31035206P
贸易方式：一般贸易
结算方式：EXW
外币金额：$9246
汇率：7.1745</t>
  </si>
  <si>
    <t>39</t>
  </si>
  <si>
    <t>25442000000165355703</t>
  </si>
  <si>
    <t>SOLARMA SA</t>
  </si>
  <si>
    <t>2025-03-25 17:37:13</t>
  </si>
  <si>
    <t>250</t>
  </si>
  <si>
    <t>322.85252</t>
  </si>
  <si>
    <t>报关单号：530420250040327590
合同协议号：20240606
贸易方式：一般贸易
结算方式：FOB
外币金额：$11250
汇率：7.1745</t>
  </si>
  <si>
    <t>40</t>
  </si>
  <si>
    <t>25442000000165330799</t>
  </si>
  <si>
    <t>Quality Limited One Person</t>
  </si>
  <si>
    <t>2025-03-25 17:32:13</t>
  </si>
  <si>
    <t>5200</t>
  </si>
  <si>
    <t>371.775111538462</t>
  </si>
  <si>
    <t>报关单号：516620250660232237
合同协议号：C12. 0920. 01P
贸易方式：一般贸易
结算方式：FOB
外币金额：$269458.58
汇率：7.1693</t>
  </si>
  <si>
    <t>41</t>
  </si>
  <si>
    <t>25442000000165303734</t>
  </si>
  <si>
    <t>ENERGY CORPORATE STRATEGY LTD</t>
  </si>
  <si>
    <t>2025-03-25 17:26:35</t>
  </si>
  <si>
    <t>*照明装置*路灯</t>
  </si>
  <si>
    <t>147</t>
  </si>
  <si>
    <t>1140.21129251701</t>
  </si>
  <si>
    <t>报关单号：521320250635031982
合同协议号：C27.09716
贸易方式：一般贸易
结算方式：EXW
外币金额：$23379
汇率：7.1693</t>
  </si>
  <si>
    <t>42</t>
  </si>
  <si>
    <t>25442000000163325405</t>
  </si>
  <si>
    <t>91340111MA2T0FRMXP</t>
  </si>
  <si>
    <t>合肥金泰克新能源科技有限公司</t>
  </si>
  <si>
    <t>2025-03-25 10:07:35</t>
  </si>
  <si>
    <t>*照明装置*太阳能发电系统</t>
  </si>
  <si>
    <t>JANT-DQ1208A500-56</t>
  </si>
  <si>
    <t>-1</t>
  </si>
  <si>
    <t>1218.58407079646</t>
  </si>
  <si>
    <t>否</t>
  </si>
  <si>
    <t>被红冲蓝字数电票号码：25442000000162608121 红字发票信息确认单编号：44201325031000405273</t>
  </si>
  <si>
    <t>43</t>
  </si>
  <si>
    <t>JANT-DQ1208B1000-57</t>
  </si>
  <si>
    <t>1971.6814159292</t>
  </si>
  <si>
    <t>44</t>
  </si>
  <si>
    <t>JANT-0464A20-10</t>
  </si>
  <si>
    <t>-3</t>
  </si>
  <si>
    <t>309.144542772861</t>
  </si>
  <si>
    <t>45</t>
  </si>
  <si>
    <t>-10</t>
  </si>
  <si>
    <t>191.150442477876</t>
  </si>
  <si>
    <t>46</t>
  </si>
  <si>
    <t>1197.34513274336</t>
  </si>
  <si>
    <t>47</t>
  </si>
  <si>
    <t>-1000</t>
  </si>
  <si>
    <t>187.87610619469</t>
  </si>
  <si>
    <t>48</t>
  </si>
  <si>
    <t>25442000000163305824</t>
  </si>
  <si>
    <t>2025-03-25 10:03:35</t>
  </si>
  <si>
    <t>1307.0796460177</t>
  </si>
  <si>
    <t>49</t>
  </si>
  <si>
    <t>50</t>
  </si>
  <si>
    <t>279.646017699115</t>
  </si>
  <si>
    <t>51</t>
  </si>
  <si>
    <t>52</t>
  </si>
  <si>
    <t>53</t>
  </si>
  <si>
    <t>54</t>
  </si>
  <si>
    <t>25442000000162601379</t>
  </si>
  <si>
    <t>2025-03-24 19:49:48</t>
  </si>
  <si>
    <t>被红冲蓝字数电票号码：25442000000158199831 红字发票信息确认单编号：44201325031000704905</t>
  </si>
  <si>
    <t>55</t>
  </si>
  <si>
    <t>56</t>
  </si>
  <si>
    <t>57</t>
  </si>
  <si>
    <t>58</t>
  </si>
  <si>
    <t>59</t>
  </si>
  <si>
    <t>60</t>
  </si>
  <si>
    <t>25442000000162608121</t>
  </si>
  <si>
    <t>2025-03-24 19:43:45</t>
  </si>
  <si>
    <t>已红冲-全额</t>
  </si>
  <si>
    <t>61</t>
  </si>
  <si>
    <t>62</t>
  </si>
  <si>
    <t>63</t>
  </si>
  <si>
    <t>64</t>
  </si>
  <si>
    <t>65</t>
  </si>
  <si>
    <t>66</t>
  </si>
  <si>
    <t>25442000000158434195</t>
  </si>
  <si>
    <t>91440300665876605M</t>
  </si>
  <si>
    <t>深圳市路漫索电子有限公司</t>
  </si>
  <si>
    <t>2025-03-22 15:58:28</t>
  </si>
  <si>
    <t>0363B200-02</t>
  </si>
  <si>
    <t>297.964601769912</t>
  </si>
  <si>
    <t>67</t>
  </si>
  <si>
    <t>0363C300-02</t>
  </si>
  <si>
    <t>347.964601769912</t>
  </si>
  <si>
    <t>68</t>
  </si>
  <si>
    <t>25442000000158199831</t>
  </si>
  <si>
    <t>2025-03-22 14:01:40</t>
  </si>
  <si>
    <t>69</t>
  </si>
  <si>
    <t>70</t>
  </si>
  <si>
    <t>71</t>
  </si>
  <si>
    <t>72</t>
  </si>
  <si>
    <t>73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</si>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</sst>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B75"/>
  <sheetViews>
    <sheetView topLeftCell="K1" workbookViewId="0">
      <pane ySplit="1" topLeftCell="A2" activePane="bottomLeft" state="frozen"/>
      <selection/>
      <selection pane="bottomLeft" activeCell="R1" sqref="R$1:R$1048576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8" width="13.125" customWidth="1"/>
    <col min="19" max="19" width="10" customWidth="1"/>
    <col min="20" max="21" width="12" customWidth="1"/>
    <col min="22" max="28" width="22" customWidth="1"/>
  </cols>
  <sheetData>
    <row r="1" ht="18.7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ht="15" spans="1:28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2" t="s">
        <v>32</v>
      </c>
      <c r="I2" s="2" t="s">
        <v>33</v>
      </c>
      <c r="J2" s="2" t="s">
        <v>34</v>
      </c>
      <c r="K2" s="2" t="s">
        <v>28</v>
      </c>
      <c r="L2" s="2" t="s">
        <v>35</v>
      </c>
      <c r="M2" s="2"/>
      <c r="N2" s="2" t="s">
        <v>36</v>
      </c>
      <c r="O2" s="2" t="s">
        <v>37</v>
      </c>
      <c r="P2" s="2" t="s">
        <v>38</v>
      </c>
      <c r="Q2" s="2">
        <v>30125.73</v>
      </c>
      <c r="R2" s="2"/>
      <c r="S2" s="2" t="s">
        <v>39</v>
      </c>
      <c r="T2" s="2">
        <v>0</v>
      </c>
      <c r="U2" s="2">
        <v>30125.73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42</v>
      </c>
      <c r="AA2" s="2" t="s">
        <v>44</v>
      </c>
      <c r="AB2" s="2" t="s">
        <v>45</v>
      </c>
    </row>
    <row r="3" ht="15" spans="1:28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2" t="s">
        <v>48</v>
      </c>
      <c r="I3" s="2" t="s">
        <v>49</v>
      </c>
      <c r="J3" s="2" t="s">
        <v>34</v>
      </c>
      <c r="K3" s="2" t="s">
        <v>28</v>
      </c>
      <c r="L3" s="2" t="s">
        <v>50</v>
      </c>
      <c r="M3" s="2"/>
      <c r="N3" s="2" t="s">
        <v>36</v>
      </c>
      <c r="O3" s="2" t="s">
        <v>51</v>
      </c>
      <c r="P3" s="2" t="s">
        <v>52</v>
      </c>
      <c r="Q3" s="2">
        <v>208244.38</v>
      </c>
      <c r="R3" s="2"/>
      <c r="S3" s="2" t="s">
        <v>39</v>
      </c>
      <c r="T3" s="2">
        <v>0</v>
      </c>
      <c r="U3" s="2">
        <v>208244.38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42</v>
      </c>
      <c r="AA3" s="2" t="s">
        <v>44</v>
      </c>
      <c r="AB3" s="2" t="s">
        <v>53</v>
      </c>
    </row>
    <row r="4" ht="15" spans="1:28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/>
      <c r="H4" s="2" t="s">
        <v>56</v>
      </c>
      <c r="I4" s="2" t="s">
        <v>57</v>
      </c>
      <c r="J4" s="2" t="s">
        <v>34</v>
      </c>
      <c r="K4" s="2" t="s">
        <v>28</v>
      </c>
      <c r="L4" s="2" t="s">
        <v>58</v>
      </c>
      <c r="M4" s="2"/>
      <c r="N4" s="2" t="s">
        <v>59</v>
      </c>
      <c r="O4" s="2" t="s">
        <v>60</v>
      </c>
      <c r="P4" s="2" t="s">
        <v>61</v>
      </c>
      <c r="Q4" s="2">
        <v>395782.15</v>
      </c>
      <c r="R4" s="2"/>
      <c r="S4" s="2" t="s">
        <v>39</v>
      </c>
      <c r="T4" s="2">
        <v>0</v>
      </c>
      <c r="U4" s="2">
        <v>395782.15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42</v>
      </c>
      <c r="AA4" s="2" t="s">
        <v>44</v>
      </c>
      <c r="AB4" s="2" t="s">
        <v>62</v>
      </c>
    </row>
    <row r="5" ht="15" spans="1:28">
      <c r="A5" s="2" t="s">
        <v>63</v>
      </c>
      <c r="B5" s="2" t="s">
        <v>28</v>
      </c>
      <c r="C5" s="2" t="s">
        <v>28</v>
      </c>
      <c r="D5" s="2" t="s">
        <v>64</v>
      </c>
      <c r="E5" s="2" t="s">
        <v>30</v>
      </c>
      <c r="F5" s="2" t="s">
        <v>31</v>
      </c>
      <c r="G5" s="2"/>
      <c r="H5" s="2" t="s">
        <v>65</v>
      </c>
      <c r="I5" s="2" t="s">
        <v>66</v>
      </c>
      <c r="J5" s="2" t="s">
        <v>67</v>
      </c>
      <c r="K5" s="2" t="s">
        <v>28</v>
      </c>
      <c r="L5" s="2" t="s">
        <v>50</v>
      </c>
      <c r="M5" s="2"/>
      <c r="N5" s="2" t="s">
        <v>36</v>
      </c>
      <c r="O5" s="2" t="s">
        <v>68</v>
      </c>
      <c r="P5" s="2" t="s">
        <v>69</v>
      </c>
      <c r="Q5" s="2">
        <v>1468074.89</v>
      </c>
      <c r="R5" s="2"/>
      <c r="S5" s="2" t="s">
        <v>39</v>
      </c>
      <c r="T5" s="2">
        <v>0</v>
      </c>
      <c r="U5" s="2">
        <v>1468074.89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42</v>
      </c>
      <c r="AA5" s="2" t="s">
        <v>44</v>
      </c>
      <c r="AB5" s="2" t="s">
        <v>70</v>
      </c>
    </row>
    <row r="6" ht="15" spans="1:28">
      <c r="A6" s="2" t="s">
        <v>71</v>
      </c>
      <c r="B6" s="2" t="s">
        <v>28</v>
      </c>
      <c r="C6" s="2" t="s">
        <v>28</v>
      </c>
      <c r="D6" s="2" t="s">
        <v>72</v>
      </c>
      <c r="E6" s="2" t="s">
        <v>30</v>
      </c>
      <c r="F6" s="2" t="s">
        <v>31</v>
      </c>
      <c r="G6" s="2"/>
      <c r="H6" s="2" t="s">
        <v>73</v>
      </c>
      <c r="I6" s="2" t="s">
        <v>74</v>
      </c>
      <c r="J6" s="2" t="s">
        <v>34</v>
      </c>
      <c r="K6" s="2" t="s">
        <v>28</v>
      </c>
      <c r="L6" s="2" t="s">
        <v>35</v>
      </c>
      <c r="M6" s="2"/>
      <c r="N6" s="2" t="s">
        <v>75</v>
      </c>
      <c r="O6" s="2" t="s">
        <v>76</v>
      </c>
      <c r="P6" s="2" t="s">
        <v>77</v>
      </c>
      <c r="Q6" s="2">
        <v>368493.08</v>
      </c>
      <c r="R6" s="2"/>
      <c r="S6" s="2" t="s">
        <v>39</v>
      </c>
      <c r="T6" s="2">
        <v>0</v>
      </c>
      <c r="U6" s="2">
        <v>368493.08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42</v>
      </c>
      <c r="AA6" s="2" t="s">
        <v>44</v>
      </c>
      <c r="AB6" s="2" t="s">
        <v>78</v>
      </c>
    </row>
    <row r="7" ht="15" spans="1:28">
      <c r="A7" s="2" t="s">
        <v>79</v>
      </c>
      <c r="B7" s="2" t="s">
        <v>28</v>
      </c>
      <c r="C7" s="2" t="s">
        <v>28</v>
      </c>
      <c r="D7" s="2" t="s">
        <v>72</v>
      </c>
      <c r="E7" s="2" t="s">
        <v>30</v>
      </c>
      <c r="F7" s="2" t="s">
        <v>31</v>
      </c>
      <c r="G7" s="2"/>
      <c r="H7" s="2" t="s">
        <v>73</v>
      </c>
      <c r="I7" s="2" t="s">
        <v>74</v>
      </c>
      <c r="J7" s="2" t="s">
        <v>34</v>
      </c>
      <c r="K7" s="2" t="s">
        <v>28</v>
      </c>
      <c r="L7" s="2" t="s">
        <v>50</v>
      </c>
      <c r="M7" s="2"/>
      <c r="N7" s="2" t="s">
        <v>75</v>
      </c>
      <c r="O7" s="2" t="s">
        <v>80</v>
      </c>
      <c r="P7" s="2" t="s">
        <v>81</v>
      </c>
      <c r="Q7" s="2">
        <v>397041.13</v>
      </c>
      <c r="R7" s="2"/>
      <c r="S7" s="2" t="s">
        <v>39</v>
      </c>
      <c r="T7" s="2">
        <v>0</v>
      </c>
      <c r="U7" s="2">
        <v>397041.13</v>
      </c>
      <c r="V7" s="2" t="s">
        <v>40</v>
      </c>
      <c r="W7" s="2" t="s">
        <v>41</v>
      </c>
      <c r="X7" s="2" t="s">
        <v>42</v>
      </c>
      <c r="Y7" s="2" t="s">
        <v>43</v>
      </c>
      <c r="Z7" s="2" t="s">
        <v>42</v>
      </c>
      <c r="AA7" s="2" t="s">
        <v>44</v>
      </c>
      <c r="AB7" s="2" t="s">
        <v>78</v>
      </c>
    </row>
    <row r="8" ht="15" spans="1:28">
      <c r="A8" s="2" t="s">
        <v>82</v>
      </c>
      <c r="B8" s="2" t="s">
        <v>28</v>
      </c>
      <c r="C8" s="2" t="s">
        <v>28</v>
      </c>
      <c r="D8" s="2" t="s">
        <v>72</v>
      </c>
      <c r="E8" s="2" t="s">
        <v>30</v>
      </c>
      <c r="F8" s="2" t="s">
        <v>31</v>
      </c>
      <c r="G8" s="2"/>
      <c r="H8" s="2" t="s">
        <v>73</v>
      </c>
      <c r="I8" s="2" t="s">
        <v>74</v>
      </c>
      <c r="J8" s="2" t="s">
        <v>34</v>
      </c>
      <c r="K8" s="2" t="s">
        <v>28</v>
      </c>
      <c r="L8" s="2" t="s">
        <v>83</v>
      </c>
      <c r="M8" s="2"/>
      <c r="N8" s="2" t="s">
        <v>75</v>
      </c>
      <c r="O8" s="2" t="s">
        <v>84</v>
      </c>
      <c r="P8" s="2" t="s">
        <v>85</v>
      </c>
      <c r="Q8" s="2">
        <v>41719.72</v>
      </c>
      <c r="R8" s="2"/>
      <c r="S8" s="2" t="s">
        <v>39</v>
      </c>
      <c r="T8" s="2">
        <v>0</v>
      </c>
      <c r="U8" s="2">
        <v>41719.72</v>
      </c>
      <c r="V8" s="2" t="s">
        <v>40</v>
      </c>
      <c r="W8" s="2" t="s">
        <v>41</v>
      </c>
      <c r="X8" s="2" t="s">
        <v>42</v>
      </c>
      <c r="Y8" s="2" t="s">
        <v>43</v>
      </c>
      <c r="Z8" s="2" t="s">
        <v>42</v>
      </c>
      <c r="AA8" s="2" t="s">
        <v>44</v>
      </c>
      <c r="AB8" s="2" t="s">
        <v>78</v>
      </c>
    </row>
    <row r="9" ht="15" spans="1:28">
      <c r="A9" s="2" t="s">
        <v>86</v>
      </c>
      <c r="B9" s="2" t="s">
        <v>28</v>
      </c>
      <c r="C9" s="2" t="s">
        <v>28</v>
      </c>
      <c r="D9" s="2" t="s">
        <v>72</v>
      </c>
      <c r="E9" s="2" t="s">
        <v>30</v>
      </c>
      <c r="F9" s="2" t="s">
        <v>31</v>
      </c>
      <c r="G9" s="2"/>
      <c r="H9" s="2" t="s">
        <v>73</v>
      </c>
      <c r="I9" s="2" t="s">
        <v>74</v>
      </c>
      <c r="J9" s="2" t="s">
        <v>34</v>
      </c>
      <c r="K9" s="2" t="s">
        <v>28</v>
      </c>
      <c r="L9" s="2" t="s">
        <v>87</v>
      </c>
      <c r="M9" s="2"/>
      <c r="N9" s="2" t="s">
        <v>75</v>
      </c>
      <c r="O9" s="2" t="s">
        <v>88</v>
      </c>
      <c r="P9" s="2" t="s">
        <v>89</v>
      </c>
      <c r="Q9" s="2">
        <v>38354.88</v>
      </c>
      <c r="R9" s="2"/>
      <c r="S9" s="2" t="s">
        <v>39</v>
      </c>
      <c r="T9" s="2">
        <v>0</v>
      </c>
      <c r="U9" s="2">
        <v>38354.88</v>
      </c>
      <c r="V9" s="2" t="s">
        <v>40</v>
      </c>
      <c r="W9" s="2" t="s">
        <v>41</v>
      </c>
      <c r="X9" s="2" t="s">
        <v>42</v>
      </c>
      <c r="Y9" s="2" t="s">
        <v>43</v>
      </c>
      <c r="Z9" s="2" t="s">
        <v>42</v>
      </c>
      <c r="AA9" s="2" t="s">
        <v>44</v>
      </c>
      <c r="AB9" s="2" t="s">
        <v>78</v>
      </c>
    </row>
    <row r="10" ht="15" spans="1:28">
      <c r="A10" s="2" t="s">
        <v>90</v>
      </c>
      <c r="B10" s="2" t="s">
        <v>28</v>
      </c>
      <c r="C10" s="2" t="s">
        <v>28</v>
      </c>
      <c r="D10" s="2" t="s">
        <v>91</v>
      </c>
      <c r="E10" s="2" t="s">
        <v>30</v>
      </c>
      <c r="F10" s="2" t="s">
        <v>31</v>
      </c>
      <c r="G10" s="2"/>
      <c r="H10" s="2" t="s">
        <v>32</v>
      </c>
      <c r="I10" s="2" t="s">
        <v>92</v>
      </c>
      <c r="J10" s="2" t="s">
        <v>34</v>
      </c>
      <c r="K10" s="2" t="s">
        <v>28</v>
      </c>
      <c r="L10" s="2" t="s">
        <v>35</v>
      </c>
      <c r="M10" s="2"/>
      <c r="N10" s="2" t="s">
        <v>36</v>
      </c>
      <c r="O10" s="2" t="s">
        <v>93</v>
      </c>
      <c r="P10" s="2" t="s">
        <v>94</v>
      </c>
      <c r="Q10" s="2">
        <v>159625.45</v>
      </c>
      <c r="R10" s="2"/>
      <c r="S10" s="2" t="s">
        <v>39</v>
      </c>
      <c r="T10" s="2">
        <v>0</v>
      </c>
      <c r="U10" s="2">
        <v>159625.45</v>
      </c>
      <c r="V10" s="2" t="s">
        <v>40</v>
      </c>
      <c r="W10" s="2" t="s">
        <v>41</v>
      </c>
      <c r="X10" s="2" t="s">
        <v>42</v>
      </c>
      <c r="Y10" s="2" t="s">
        <v>43</v>
      </c>
      <c r="Z10" s="2" t="s">
        <v>42</v>
      </c>
      <c r="AA10" s="2" t="s">
        <v>44</v>
      </c>
      <c r="AB10" s="2" t="s">
        <v>95</v>
      </c>
    </row>
    <row r="11" ht="15" spans="1:28">
      <c r="A11" s="2" t="s">
        <v>96</v>
      </c>
      <c r="B11" s="2" t="s">
        <v>28</v>
      </c>
      <c r="C11" s="2" t="s">
        <v>28</v>
      </c>
      <c r="D11" s="2" t="s">
        <v>97</v>
      </c>
      <c r="E11" s="2" t="s">
        <v>30</v>
      </c>
      <c r="F11" s="2" t="s">
        <v>31</v>
      </c>
      <c r="G11" s="2"/>
      <c r="H11" s="2" t="s">
        <v>98</v>
      </c>
      <c r="I11" s="2" t="s">
        <v>99</v>
      </c>
      <c r="J11" s="2" t="s">
        <v>67</v>
      </c>
      <c r="K11" s="2" t="s">
        <v>28</v>
      </c>
      <c r="L11" s="2" t="s">
        <v>50</v>
      </c>
      <c r="M11" s="2"/>
      <c r="N11" s="2" t="s">
        <v>59</v>
      </c>
      <c r="O11" s="2" t="s">
        <v>100</v>
      </c>
      <c r="P11" s="2" t="s">
        <v>101</v>
      </c>
      <c r="Q11" s="2">
        <v>391727.7</v>
      </c>
      <c r="R11" s="2"/>
      <c r="S11" s="2" t="s">
        <v>39</v>
      </c>
      <c r="T11" s="2">
        <v>0</v>
      </c>
      <c r="U11" s="2">
        <v>391727.7</v>
      </c>
      <c r="V11" s="2" t="s">
        <v>40</v>
      </c>
      <c r="W11" s="2" t="s">
        <v>41</v>
      </c>
      <c r="X11" s="2" t="s">
        <v>42</v>
      </c>
      <c r="Y11" s="2" t="s">
        <v>43</v>
      </c>
      <c r="Z11" s="2" t="s">
        <v>42</v>
      </c>
      <c r="AA11" s="2" t="s">
        <v>44</v>
      </c>
      <c r="AB11" s="2" t="s">
        <v>102</v>
      </c>
    </row>
    <row r="12" ht="15" spans="1:28">
      <c r="A12" s="2" t="s">
        <v>103</v>
      </c>
      <c r="B12" s="2" t="s">
        <v>28</v>
      </c>
      <c r="C12" s="2" t="s">
        <v>28</v>
      </c>
      <c r="D12" s="2" t="s">
        <v>97</v>
      </c>
      <c r="E12" s="2" t="s">
        <v>30</v>
      </c>
      <c r="F12" s="2" t="s">
        <v>31</v>
      </c>
      <c r="G12" s="2"/>
      <c r="H12" s="2" t="s">
        <v>98</v>
      </c>
      <c r="I12" s="2" t="s">
        <v>99</v>
      </c>
      <c r="J12" s="2" t="s">
        <v>34</v>
      </c>
      <c r="K12" s="2" t="s">
        <v>28</v>
      </c>
      <c r="L12" s="2" t="s">
        <v>104</v>
      </c>
      <c r="M12" s="2"/>
      <c r="N12" s="2" t="s">
        <v>36</v>
      </c>
      <c r="O12" s="2" t="s">
        <v>105</v>
      </c>
      <c r="P12" s="2" t="s">
        <v>106</v>
      </c>
      <c r="Q12" s="2">
        <v>186092.18</v>
      </c>
      <c r="R12" s="2"/>
      <c r="S12" s="2" t="s">
        <v>39</v>
      </c>
      <c r="T12" s="2">
        <v>0</v>
      </c>
      <c r="U12" s="2">
        <v>186092.18</v>
      </c>
      <c r="V12" s="2" t="s">
        <v>40</v>
      </c>
      <c r="W12" s="2" t="s">
        <v>41</v>
      </c>
      <c r="X12" s="2" t="s">
        <v>42</v>
      </c>
      <c r="Y12" s="2" t="s">
        <v>43</v>
      </c>
      <c r="Z12" s="2" t="s">
        <v>42</v>
      </c>
      <c r="AA12" s="2" t="s">
        <v>44</v>
      </c>
      <c r="AB12" s="2" t="s">
        <v>102</v>
      </c>
    </row>
    <row r="13" ht="15" spans="1:28">
      <c r="A13" s="2" t="s">
        <v>107</v>
      </c>
      <c r="B13" s="2" t="s">
        <v>28</v>
      </c>
      <c r="C13" s="2" t="s">
        <v>28</v>
      </c>
      <c r="D13" s="2" t="s">
        <v>108</v>
      </c>
      <c r="E13" s="2" t="s">
        <v>30</v>
      </c>
      <c r="F13" s="2" t="s">
        <v>31</v>
      </c>
      <c r="G13" s="2"/>
      <c r="H13" s="2" t="s">
        <v>109</v>
      </c>
      <c r="I13" s="2" t="s">
        <v>110</v>
      </c>
      <c r="J13" s="2" t="s">
        <v>34</v>
      </c>
      <c r="K13" s="2" t="s">
        <v>28</v>
      </c>
      <c r="L13" s="2" t="s">
        <v>50</v>
      </c>
      <c r="M13" s="2"/>
      <c r="N13" s="2" t="s">
        <v>36</v>
      </c>
      <c r="O13" s="2" t="s">
        <v>111</v>
      </c>
      <c r="P13" s="2" t="s">
        <v>112</v>
      </c>
      <c r="Q13" s="2">
        <v>349251.07</v>
      </c>
      <c r="R13" s="2"/>
      <c r="S13" s="2" t="s">
        <v>39</v>
      </c>
      <c r="T13" s="2">
        <v>0</v>
      </c>
      <c r="U13" s="2">
        <v>349251.07</v>
      </c>
      <c r="V13" s="2" t="s">
        <v>40</v>
      </c>
      <c r="W13" s="2" t="s">
        <v>41</v>
      </c>
      <c r="X13" s="2" t="s">
        <v>42</v>
      </c>
      <c r="Y13" s="2" t="s">
        <v>43</v>
      </c>
      <c r="Z13" s="2" t="s">
        <v>42</v>
      </c>
      <c r="AA13" s="2" t="s">
        <v>44</v>
      </c>
      <c r="AB13" s="2" t="s">
        <v>113</v>
      </c>
    </row>
    <row r="14" ht="15" spans="1:28">
      <c r="A14" s="2" t="s">
        <v>114</v>
      </c>
      <c r="B14" s="2" t="s">
        <v>28</v>
      </c>
      <c r="C14" s="2" t="s">
        <v>28</v>
      </c>
      <c r="D14" s="2" t="s">
        <v>115</v>
      </c>
      <c r="E14" s="2" t="s">
        <v>30</v>
      </c>
      <c r="F14" s="2" t="s">
        <v>31</v>
      </c>
      <c r="G14" s="2"/>
      <c r="H14" s="2" t="s">
        <v>116</v>
      </c>
      <c r="I14" s="2" t="s">
        <v>117</v>
      </c>
      <c r="J14" s="2" t="s">
        <v>34</v>
      </c>
      <c r="K14" s="2" t="s">
        <v>28</v>
      </c>
      <c r="L14" s="2" t="s">
        <v>50</v>
      </c>
      <c r="M14" s="2"/>
      <c r="N14" s="2" t="s">
        <v>59</v>
      </c>
      <c r="O14" s="2" t="s">
        <v>118</v>
      </c>
      <c r="P14" s="2" t="s">
        <v>119</v>
      </c>
      <c r="Q14" s="2">
        <v>338457.04</v>
      </c>
      <c r="R14" s="2"/>
      <c r="S14" s="2" t="s">
        <v>39</v>
      </c>
      <c r="T14" s="2">
        <v>0</v>
      </c>
      <c r="U14" s="2">
        <v>338457.04</v>
      </c>
      <c r="V14" s="2" t="s">
        <v>40</v>
      </c>
      <c r="W14" s="2" t="s">
        <v>41</v>
      </c>
      <c r="X14" s="2" t="s">
        <v>42</v>
      </c>
      <c r="Y14" s="2" t="s">
        <v>43</v>
      </c>
      <c r="Z14" s="2" t="s">
        <v>42</v>
      </c>
      <c r="AA14" s="2" t="s">
        <v>44</v>
      </c>
      <c r="AB14" s="2" t="s">
        <v>120</v>
      </c>
    </row>
    <row r="15" ht="15" spans="1:28">
      <c r="A15" s="2" t="s">
        <v>121</v>
      </c>
      <c r="B15" s="2" t="s">
        <v>28</v>
      </c>
      <c r="C15" s="2" t="s">
        <v>28</v>
      </c>
      <c r="D15" s="2" t="s">
        <v>122</v>
      </c>
      <c r="E15" s="2" t="s">
        <v>30</v>
      </c>
      <c r="F15" s="2" t="s">
        <v>31</v>
      </c>
      <c r="G15" s="2"/>
      <c r="H15" s="2" t="s">
        <v>123</v>
      </c>
      <c r="I15" s="2" t="s">
        <v>124</v>
      </c>
      <c r="J15" s="2" t="s">
        <v>34</v>
      </c>
      <c r="K15" s="2" t="s">
        <v>28</v>
      </c>
      <c r="L15" s="2" t="s">
        <v>50</v>
      </c>
      <c r="M15" s="2"/>
      <c r="N15" s="2" t="s">
        <v>75</v>
      </c>
      <c r="O15" s="2" t="s">
        <v>27</v>
      </c>
      <c r="P15" s="2" t="s">
        <v>125</v>
      </c>
      <c r="Q15" s="4">
        <v>35.87</v>
      </c>
      <c r="R15" s="4"/>
      <c r="S15" s="2" t="s">
        <v>39</v>
      </c>
      <c r="T15" s="2">
        <v>0</v>
      </c>
      <c r="U15" s="2">
        <v>35.87</v>
      </c>
      <c r="V15" s="2" t="s">
        <v>40</v>
      </c>
      <c r="W15" s="2" t="s">
        <v>41</v>
      </c>
      <c r="X15" s="2" t="s">
        <v>42</v>
      </c>
      <c r="Y15" s="2" t="s">
        <v>43</v>
      </c>
      <c r="Z15" s="2" t="s">
        <v>42</v>
      </c>
      <c r="AA15" s="2" t="s">
        <v>44</v>
      </c>
      <c r="AB15" s="2" t="s">
        <v>126</v>
      </c>
    </row>
    <row r="16" ht="15" spans="1:28">
      <c r="A16" s="2" t="s">
        <v>127</v>
      </c>
      <c r="B16" s="2" t="s">
        <v>28</v>
      </c>
      <c r="C16" s="2" t="s">
        <v>28</v>
      </c>
      <c r="D16" s="2" t="s">
        <v>122</v>
      </c>
      <c r="E16" s="2" t="s">
        <v>30</v>
      </c>
      <c r="F16" s="2" t="s">
        <v>31</v>
      </c>
      <c r="G16" s="2"/>
      <c r="H16" s="2" t="s">
        <v>123</v>
      </c>
      <c r="I16" s="2" t="s">
        <v>124</v>
      </c>
      <c r="J16" s="2" t="s">
        <v>34</v>
      </c>
      <c r="K16" s="2" t="s">
        <v>28</v>
      </c>
      <c r="L16" s="2" t="s">
        <v>58</v>
      </c>
      <c r="M16" s="2"/>
      <c r="N16" s="2" t="s">
        <v>75</v>
      </c>
      <c r="O16" s="2" t="s">
        <v>27</v>
      </c>
      <c r="P16" s="2" t="s">
        <v>128</v>
      </c>
      <c r="Q16" s="4">
        <v>7.17</v>
      </c>
      <c r="R16" s="4"/>
      <c r="S16" s="2" t="s">
        <v>39</v>
      </c>
      <c r="T16" s="2">
        <v>0</v>
      </c>
      <c r="U16" s="2">
        <v>7.17</v>
      </c>
      <c r="V16" s="2" t="s">
        <v>40</v>
      </c>
      <c r="W16" s="2" t="s">
        <v>41</v>
      </c>
      <c r="X16" s="2" t="s">
        <v>42</v>
      </c>
      <c r="Y16" s="2" t="s">
        <v>43</v>
      </c>
      <c r="Z16" s="2" t="s">
        <v>42</v>
      </c>
      <c r="AA16" s="2" t="s">
        <v>44</v>
      </c>
      <c r="AB16" s="2" t="s">
        <v>126</v>
      </c>
    </row>
    <row r="17" ht="15" spans="1:28">
      <c r="A17" s="2" t="s">
        <v>129</v>
      </c>
      <c r="B17" s="2" t="s">
        <v>28</v>
      </c>
      <c r="C17" s="2" t="s">
        <v>28</v>
      </c>
      <c r="D17" s="2" t="s">
        <v>122</v>
      </c>
      <c r="E17" s="2" t="s">
        <v>30</v>
      </c>
      <c r="F17" s="2" t="s">
        <v>31</v>
      </c>
      <c r="G17" s="2"/>
      <c r="H17" s="2" t="s">
        <v>123</v>
      </c>
      <c r="I17" s="2" t="s">
        <v>124</v>
      </c>
      <c r="J17" s="2" t="s">
        <v>34</v>
      </c>
      <c r="K17" s="2" t="s">
        <v>28</v>
      </c>
      <c r="L17" s="2" t="s">
        <v>87</v>
      </c>
      <c r="M17" s="2"/>
      <c r="N17" s="2" t="s">
        <v>75</v>
      </c>
      <c r="O17" s="2" t="s">
        <v>46</v>
      </c>
      <c r="P17" s="2" t="s">
        <v>130</v>
      </c>
      <c r="Q17" s="4">
        <v>43.05</v>
      </c>
      <c r="R17" s="4"/>
      <c r="S17" s="2" t="s">
        <v>39</v>
      </c>
      <c r="T17" s="2">
        <v>0</v>
      </c>
      <c r="U17" s="2">
        <v>43.05</v>
      </c>
      <c r="V17" s="2" t="s">
        <v>40</v>
      </c>
      <c r="W17" s="2" t="s">
        <v>41</v>
      </c>
      <c r="X17" s="2" t="s">
        <v>42</v>
      </c>
      <c r="Y17" s="2" t="s">
        <v>43</v>
      </c>
      <c r="Z17" s="2" t="s">
        <v>42</v>
      </c>
      <c r="AA17" s="2" t="s">
        <v>44</v>
      </c>
      <c r="AB17" s="2" t="s">
        <v>126</v>
      </c>
    </row>
    <row r="18" ht="15" spans="1:28">
      <c r="A18" s="2" t="s">
        <v>131</v>
      </c>
      <c r="B18" s="2" t="s">
        <v>28</v>
      </c>
      <c r="C18" s="2" t="s">
        <v>28</v>
      </c>
      <c r="D18" s="2" t="s">
        <v>122</v>
      </c>
      <c r="E18" s="2" t="s">
        <v>30</v>
      </c>
      <c r="F18" s="2" t="s">
        <v>31</v>
      </c>
      <c r="G18" s="2"/>
      <c r="H18" s="2" t="s">
        <v>123</v>
      </c>
      <c r="I18" s="2" t="s">
        <v>124</v>
      </c>
      <c r="J18" s="2" t="s">
        <v>34</v>
      </c>
      <c r="K18" s="2" t="s">
        <v>28</v>
      </c>
      <c r="L18" s="2" t="s">
        <v>132</v>
      </c>
      <c r="M18" s="2"/>
      <c r="N18" s="2" t="s">
        <v>75</v>
      </c>
      <c r="O18" s="2" t="s">
        <v>27</v>
      </c>
      <c r="P18" s="2" t="s">
        <v>125</v>
      </c>
      <c r="Q18" s="4">
        <v>35.87</v>
      </c>
      <c r="R18" s="4"/>
      <c r="S18" s="2" t="s">
        <v>39</v>
      </c>
      <c r="T18" s="2">
        <v>0</v>
      </c>
      <c r="U18" s="2">
        <v>35.87</v>
      </c>
      <c r="V18" s="2" t="s">
        <v>40</v>
      </c>
      <c r="W18" s="2" t="s">
        <v>41</v>
      </c>
      <c r="X18" s="2" t="s">
        <v>42</v>
      </c>
      <c r="Y18" s="2" t="s">
        <v>43</v>
      </c>
      <c r="Z18" s="2" t="s">
        <v>42</v>
      </c>
      <c r="AA18" s="2" t="s">
        <v>44</v>
      </c>
      <c r="AB18" s="2" t="s">
        <v>126</v>
      </c>
    </row>
    <row r="19" ht="15" spans="1:28">
      <c r="A19" s="2" t="s">
        <v>133</v>
      </c>
      <c r="B19" s="2" t="s">
        <v>28</v>
      </c>
      <c r="C19" s="2" t="s">
        <v>28</v>
      </c>
      <c r="D19" s="2" t="s">
        <v>122</v>
      </c>
      <c r="E19" s="2" t="s">
        <v>30</v>
      </c>
      <c r="F19" s="2" t="s">
        <v>31</v>
      </c>
      <c r="G19" s="2"/>
      <c r="H19" s="2" t="s">
        <v>123</v>
      </c>
      <c r="I19" s="2" t="s">
        <v>124</v>
      </c>
      <c r="J19" s="2" t="s">
        <v>34</v>
      </c>
      <c r="K19" s="2" t="s">
        <v>28</v>
      </c>
      <c r="L19" s="2" t="s">
        <v>35</v>
      </c>
      <c r="M19" s="2"/>
      <c r="N19" s="2" t="s">
        <v>75</v>
      </c>
      <c r="O19" s="2" t="s">
        <v>63</v>
      </c>
      <c r="P19" s="2" t="s">
        <v>134</v>
      </c>
      <c r="Q19" s="4">
        <v>5.74</v>
      </c>
      <c r="R19" s="4"/>
      <c r="S19" s="2" t="s">
        <v>39</v>
      </c>
      <c r="T19" s="2">
        <v>0</v>
      </c>
      <c r="U19" s="2">
        <v>5.74</v>
      </c>
      <c r="V19" s="2" t="s">
        <v>40</v>
      </c>
      <c r="W19" s="2" t="s">
        <v>41</v>
      </c>
      <c r="X19" s="2" t="s">
        <v>42</v>
      </c>
      <c r="Y19" s="2" t="s">
        <v>43</v>
      </c>
      <c r="Z19" s="2" t="s">
        <v>42</v>
      </c>
      <c r="AA19" s="2" t="s">
        <v>44</v>
      </c>
      <c r="AB19" s="2" t="s">
        <v>126</v>
      </c>
    </row>
    <row r="20" ht="15" spans="1:28">
      <c r="A20" s="2" t="s">
        <v>135</v>
      </c>
      <c r="B20" s="2" t="s">
        <v>28</v>
      </c>
      <c r="C20" s="2" t="s">
        <v>28</v>
      </c>
      <c r="D20" s="2" t="s">
        <v>122</v>
      </c>
      <c r="E20" s="2" t="s">
        <v>30</v>
      </c>
      <c r="F20" s="2" t="s">
        <v>31</v>
      </c>
      <c r="G20" s="2"/>
      <c r="H20" s="2" t="s">
        <v>123</v>
      </c>
      <c r="I20" s="2" t="s">
        <v>124</v>
      </c>
      <c r="J20" s="2" t="s">
        <v>34</v>
      </c>
      <c r="K20" s="2" t="s">
        <v>28</v>
      </c>
      <c r="L20" s="2" t="s">
        <v>50</v>
      </c>
      <c r="M20" s="2"/>
      <c r="N20" s="2" t="s">
        <v>75</v>
      </c>
      <c r="O20" s="2" t="s">
        <v>46</v>
      </c>
      <c r="P20" s="2" t="s">
        <v>136</v>
      </c>
      <c r="Q20" s="4">
        <v>28.7</v>
      </c>
      <c r="R20" s="4"/>
      <c r="S20" s="2" t="s">
        <v>39</v>
      </c>
      <c r="T20" s="2">
        <v>0</v>
      </c>
      <c r="U20" s="2">
        <v>28.7</v>
      </c>
      <c r="V20" s="2" t="s">
        <v>40</v>
      </c>
      <c r="W20" s="2" t="s">
        <v>41</v>
      </c>
      <c r="X20" s="2" t="s">
        <v>42</v>
      </c>
      <c r="Y20" s="2" t="s">
        <v>43</v>
      </c>
      <c r="Z20" s="2" t="s">
        <v>42</v>
      </c>
      <c r="AA20" s="2" t="s">
        <v>44</v>
      </c>
      <c r="AB20" s="2" t="s">
        <v>126</v>
      </c>
    </row>
    <row r="21" ht="15" spans="1:28">
      <c r="A21" s="2" t="s">
        <v>137</v>
      </c>
      <c r="B21" s="2" t="s">
        <v>28</v>
      </c>
      <c r="C21" s="2" t="s">
        <v>28</v>
      </c>
      <c r="D21" s="2" t="s">
        <v>122</v>
      </c>
      <c r="E21" s="2" t="s">
        <v>30</v>
      </c>
      <c r="F21" s="2" t="s">
        <v>31</v>
      </c>
      <c r="G21" s="2"/>
      <c r="H21" s="2" t="s">
        <v>123</v>
      </c>
      <c r="I21" s="2" t="s">
        <v>124</v>
      </c>
      <c r="J21" s="2" t="s">
        <v>34</v>
      </c>
      <c r="K21" s="2" t="s">
        <v>28</v>
      </c>
      <c r="L21" s="2" t="s">
        <v>58</v>
      </c>
      <c r="M21" s="2"/>
      <c r="N21" s="2" t="s">
        <v>75</v>
      </c>
      <c r="O21" s="2" t="s">
        <v>27</v>
      </c>
      <c r="P21" s="2" t="s">
        <v>128</v>
      </c>
      <c r="Q21" s="4">
        <v>7.17</v>
      </c>
      <c r="R21" s="4"/>
      <c r="S21" s="2" t="s">
        <v>39</v>
      </c>
      <c r="T21" s="2">
        <v>0</v>
      </c>
      <c r="U21" s="2">
        <v>7.17</v>
      </c>
      <c r="V21" s="2" t="s">
        <v>40</v>
      </c>
      <c r="W21" s="2" t="s">
        <v>41</v>
      </c>
      <c r="X21" s="2" t="s">
        <v>42</v>
      </c>
      <c r="Y21" s="2" t="s">
        <v>43</v>
      </c>
      <c r="Z21" s="2" t="s">
        <v>42</v>
      </c>
      <c r="AA21" s="2" t="s">
        <v>44</v>
      </c>
      <c r="AB21" s="2" t="s">
        <v>126</v>
      </c>
    </row>
    <row r="22" ht="15" spans="1:28">
      <c r="A22" s="2" t="s">
        <v>138</v>
      </c>
      <c r="B22" s="2" t="s">
        <v>28</v>
      </c>
      <c r="C22" s="2" t="s">
        <v>28</v>
      </c>
      <c r="D22" s="2" t="s">
        <v>122</v>
      </c>
      <c r="E22" s="2" t="s">
        <v>30</v>
      </c>
      <c r="F22" s="2" t="s">
        <v>31</v>
      </c>
      <c r="G22" s="2"/>
      <c r="H22" s="2" t="s">
        <v>123</v>
      </c>
      <c r="I22" s="2" t="s">
        <v>124</v>
      </c>
      <c r="J22" s="2" t="s">
        <v>34</v>
      </c>
      <c r="K22" s="2" t="s">
        <v>28</v>
      </c>
      <c r="L22" s="2" t="s">
        <v>132</v>
      </c>
      <c r="M22" s="2"/>
      <c r="N22" s="2" t="s">
        <v>75</v>
      </c>
      <c r="O22" s="2" t="s">
        <v>27</v>
      </c>
      <c r="P22" s="2" t="s">
        <v>139</v>
      </c>
      <c r="Q22" s="4">
        <v>35.88</v>
      </c>
      <c r="R22" s="4">
        <f>SUBTOTAL(9,Q15:Q22)</f>
        <v>199.45</v>
      </c>
      <c r="S22" s="2" t="s">
        <v>39</v>
      </c>
      <c r="T22" s="2">
        <v>0</v>
      </c>
      <c r="U22" s="2">
        <v>35.88</v>
      </c>
      <c r="V22" s="2" t="s">
        <v>40</v>
      </c>
      <c r="W22" s="2" t="s">
        <v>41</v>
      </c>
      <c r="X22" s="2" t="s">
        <v>42</v>
      </c>
      <c r="Y22" s="2" t="s">
        <v>43</v>
      </c>
      <c r="Z22" s="2" t="s">
        <v>42</v>
      </c>
      <c r="AA22" s="2" t="s">
        <v>44</v>
      </c>
      <c r="AB22" s="2" t="s">
        <v>126</v>
      </c>
    </row>
    <row r="23" ht="15" hidden="1" spans="1:28">
      <c r="A23" s="2" t="s">
        <v>140</v>
      </c>
      <c r="B23" s="2" t="s">
        <v>28</v>
      </c>
      <c r="C23" s="2" t="s">
        <v>28</v>
      </c>
      <c r="D23" s="2" t="s">
        <v>141</v>
      </c>
      <c r="E23" s="2" t="s">
        <v>30</v>
      </c>
      <c r="F23" s="2" t="s">
        <v>31</v>
      </c>
      <c r="G23" s="2" t="s">
        <v>142</v>
      </c>
      <c r="H23" s="2" t="s">
        <v>143</v>
      </c>
      <c r="I23" s="2" t="s">
        <v>144</v>
      </c>
      <c r="J23" s="2" t="s">
        <v>67</v>
      </c>
      <c r="K23" s="2" t="s">
        <v>28</v>
      </c>
      <c r="L23" s="2" t="s">
        <v>50</v>
      </c>
      <c r="M23" s="2"/>
      <c r="N23" s="2" t="s">
        <v>36</v>
      </c>
      <c r="O23" s="2" t="s">
        <v>145</v>
      </c>
      <c r="P23" s="2" t="s">
        <v>146</v>
      </c>
      <c r="Q23" s="2">
        <v>1449380.53</v>
      </c>
      <c r="R23" s="2"/>
      <c r="S23" s="2" t="s">
        <v>147</v>
      </c>
      <c r="T23" s="2">
        <v>188419.47</v>
      </c>
      <c r="U23" s="2">
        <v>1637800</v>
      </c>
      <c r="V23" s="2" t="s">
        <v>40</v>
      </c>
      <c r="W23" s="2" t="s">
        <v>148</v>
      </c>
      <c r="X23" s="2" t="s">
        <v>42</v>
      </c>
      <c r="Y23" s="2" t="s">
        <v>43</v>
      </c>
      <c r="Z23" s="2" t="s">
        <v>42</v>
      </c>
      <c r="AA23" s="2" t="s">
        <v>44</v>
      </c>
      <c r="AB23" s="2"/>
    </row>
    <row r="24" ht="15" hidden="1" spans="1:28">
      <c r="A24" s="2" t="s">
        <v>149</v>
      </c>
      <c r="B24" s="2" t="s">
        <v>28</v>
      </c>
      <c r="C24" s="2" t="s">
        <v>28</v>
      </c>
      <c r="D24" s="2" t="s">
        <v>141</v>
      </c>
      <c r="E24" s="2" t="s">
        <v>30</v>
      </c>
      <c r="F24" s="2" t="s">
        <v>31</v>
      </c>
      <c r="G24" s="2" t="s">
        <v>142</v>
      </c>
      <c r="H24" s="2" t="s">
        <v>143</v>
      </c>
      <c r="I24" s="2" t="s">
        <v>144</v>
      </c>
      <c r="J24" s="2" t="s">
        <v>34</v>
      </c>
      <c r="K24" s="2" t="s">
        <v>28</v>
      </c>
      <c r="L24" s="2" t="s">
        <v>150</v>
      </c>
      <c r="M24" s="2"/>
      <c r="N24" s="2" t="s">
        <v>36</v>
      </c>
      <c r="O24" s="2" t="s">
        <v>137</v>
      </c>
      <c r="P24" s="2" t="s">
        <v>151</v>
      </c>
      <c r="Q24" s="2">
        <v>14342.48</v>
      </c>
      <c r="R24" s="2"/>
      <c r="S24" s="2" t="s">
        <v>147</v>
      </c>
      <c r="T24" s="2">
        <v>1864.52</v>
      </c>
      <c r="U24" s="2">
        <v>16207</v>
      </c>
      <c r="V24" s="2" t="s">
        <v>40</v>
      </c>
      <c r="W24" s="2" t="s">
        <v>148</v>
      </c>
      <c r="X24" s="2" t="s">
        <v>42</v>
      </c>
      <c r="Y24" s="2" t="s">
        <v>43</v>
      </c>
      <c r="Z24" s="2" t="s">
        <v>42</v>
      </c>
      <c r="AA24" s="2" t="s">
        <v>44</v>
      </c>
      <c r="AB24" s="2"/>
    </row>
    <row r="25" ht="15" spans="1:28">
      <c r="A25" s="2" t="s">
        <v>152</v>
      </c>
      <c r="B25" s="2" t="s">
        <v>28</v>
      </c>
      <c r="C25" s="2" t="s">
        <v>28</v>
      </c>
      <c r="D25" s="2" t="s">
        <v>153</v>
      </c>
      <c r="E25" s="2" t="s">
        <v>30</v>
      </c>
      <c r="F25" s="2" t="s">
        <v>31</v>
      </c>
      <c r="G25" s="2"/>
      <c r="H25" s="2" t="s">
        <v>154</v>
      </c>
      <c r="I25" s="2" t="s">
        <v>155</v>
      </c>
      <c r="J25" s="2" t="s">
        <v>67</v>
      </c>
      <c r="K25" s="2" t="s">
        <v>28</v>
      </c>
      <c r="L25" s="2" t="s">
        <v>50</v>
      </c>
      <c r="M25" s="2"/>
      <c r="N25" s="2" t="s">
        <v>36</v>
      </c>
      <c r="O25" s="2" t="s">
        <v>156</v>
      </c>
      <c r="P25" s="2" t="s">
        <v>157</v>
      </c>
      <c r="Q25" s="2">
        <v>420353.96</v>
      </c>
      <c r="R25" s="2">
        <f>R22*0.13</f>
        <v>25.9285</v>
      </c>
      <c r="S25" s="2" t="s">
        <v>39</v>
      </c>
      <c r="T25" s="2">
        <v>0</v>
      </c>
      <c r="U25" s="2">
        <v>420353.96</v>
      </c>
      <c r="V25" s="2" t="s">
        <v>40</v>
      </c>
      <c r="W25" s="2" t="s">
        <v>41</v>
      </c>
      <c r="X25" s="2" t="s">
        <v>42</v>
      </c>
      <c r="Y25" s="2" t="s">
        <v>43</v>
      </c>
      <c r="Z25" s="2" t="s">
        <v>42</v>
      </c>
      <c r="AA25" s="2" t="s">
        <v>44</v>
      </c>
      <c r="AB25" s="2" t="s">
        <v>158</v>
      </c>
    </row>
    <row r="26" ht="15" spans="1:28">
      <c r="A26" s="2" t="s">
        <v>159</v>
      </c>
      <c r="B26" s="2" t="s">
        <v>28</v>
      </c>
      <c r="C26" s="2" t="s">
        <v>28</v>
      </c>
      <c r="D26" s="2" t="s">
        <v>160</v>
      </c>
      <c r="E26" s="2" t="s">
        <v>30</v>
      </c>
      <c r="F26" s="2" t="s">
        <v>31</v>
      </c>
      <c r="G26" s="2"/>
      <c r="H26" s="2" t="s">
        <v>161</v>
      </c>
      <c r="I26" s="2" t="s">
        <v>162</v>
      </c>
      <c r="J26" s="2" t="s">
        <v>34</v>
      </c>
      <c r="K26" s="2" t="s">
        <v>28</v>
      </c>
      <c r="L26" s="2" t="s">
        <v>58</v>
      </c>
      <c r="M26" s="2"/>
      <c r="N26" s="2" t="s">
        <v>36</v>
      </c>
      <c r="O26" s="2" t="s">
        <v>163</v>
      </c>
      <c r="P26" s="2" t="s">
        <v>164</v>
      </c>
      <c r="Q26" s="2">
        <v>86380.98</v>
      </c>
      <c r="R26" s="2"/>
      <c r="S26" s="2" t="s">
        <v>39</v>
      </c>
      <c r="T26" s="2">
        <v>0</v>
      </c>
      <c r="U26" s="2">
        <v>86380.98</v>
      </c>
      <c r="V26" s="2" t="s">
        <v>40</v>
      </c>
      <c r="W26" s="2" t="s">
        <v>41</v>
      </c>
      <c r="X26" s="2" t="s">
        <v>42</v>
      </c>
      <c r="Y26" s="2" t="s">
        <v>43</v>
      </c>
      <c r="Z26" s="2" t="s">
        <v>42</v>
      </c>
      <c r="AA26" s="2" t="s">
        <v>44</v>
      </c>
      <c r="AB26" s="2" t="s">
        <v>165</v>
      </c>
    </row>
    <row r="27" ht="15" spans="1:28">
      <c r="A27" s="2" t="s">
        <v>166</v>
      </c>
      <c r="B27" s="2" t="s">
        <v>28</v>
      </c>
      <c r="C27" s="2" t="s">
        <v>28</v>
      </c>
      <c r="D27" s="2" t="s">
        <v>167</v>
      </c>
      <c r="E27" s="2" t="s">
        <v>30</v>
      </c>
      <c r="F27" s="2" t="s">
        <v>31</v>
      </c>
      <c r="G27" s="2"/>
      <c r="H27" s="2" t="s">
        <v>168</v>
      </c>
      <c r="I27" s="2" t="s">
        <v>169</v>
      </c>
      <c r="J27" s="2" t="s">
        <v>34</v>
      </c>
      <c r="K27" s="2" t="s">
        <v>28</v>
      </c>
      <c r="L27" s="2" t="s">
        <v>50</v>
      </c>
      <c r="M27" s="2"/>
      <c r="N27" s="2" t="s">
        <v>36</v>
      </c>
      <c r="O27" s="2" t="s">
        <v>170</v>
      </c>
      <c r="P27" s="2" t="s">
        <v>171</v>
      </c>
      <c r="Q27" s="2">
        <v>51738.19</v>
      </c>
      <c r="R27" s="2"/>
      <c r="S27" s="2" t="s">
        <v>39</v>
      </c>
      <c r="T27" s="2">
        <v>0</v>
      </c>
      <c r="U27" s="2">
        <v>51738.19</v>
      </c>
      <c r="V27" s="2" t="s">
        <v>40</v>
      </c>
      <c r="W27" s="2" t="s">
        <v>41</v>
      </c>
      <c r="X27" s="2" t="s">
        <v>42</v>
      </c>
      <c r="Y27" s="2" t="s">
        <v>43</v>
      </c>
      <c r="Z27" s="2" t="s">
        <v>42</v>
      </c>
      <c r="AA27" s="2" t="s">
        <v>44</v>
      </c>
      <c r="AB27" s="2" t="s">
        <v>172</v>
      </c>
    </row>
    <row r="28" ht="15" spans="1:28">
      <c r="A28" s="2" t="s">
        <v>173</v>
      </c>
      <c r="B28" s="2" t="s">
        <v>28</v>
      </c>
      <c r="C28" s="2" t="s">
        <v>28</v>
      </c>
      <c r="D28" s="2" t="s">
        <v>174</v>
      </c>
      <c r="E28" s="2" t="s">
        <v>30</v>
      </c>
      <c r="F28" s="2" t="s">
        <v>31</v>
      </c>
      <c r="G28" s="2"/>
      <c r="H28" s="2" t="s">
        <v>175</v>
      </c>
      <c r="I28" s="2" t="s">
        <v>176</v>
      </c>
      <c r="J28" s="2" t="s">
        <v>34</v>
      </c>
      <c r="K28" s="2" t="s">
        <v>28</v>
      </c>
      <c r="L28" s="2" t="s">
        <v>177</v>
      </c>
      <c r="M28" s="2"/>
      <c r="N28" s="2" t="s">
        <v>75</v>
      </c>
      <c r="O28" s="2" t="s">
        <v>178</v>
      </c>
      <c r="P28" s="2" t="s">
        <v>179</v>
      </c>
      <c r="Q28" s="2">
        <v>174770.82</v>
      </c>
      <c r="R28" s="2"/>
      <c r="S28" s="2" t="s">
        <v>39</v>
      </c>
      <c r="T28" s="2">
        <v>0</v>
      </c>
      <c r="U28" s="2">
        <v>174770.82</v>
      </c>
      <c r="V28" s="2" t="s">
        <v>40</v>
      </c>
      <c r="W28" s="2" t="s">
        <v>41</v>
      </c>
      <c r="X28" s="2" t="s">
        <v>42</v>
      </c>
      <c r="Y28" s="2" t="s">
        <v>43</v>
      </c>
      <c r="Z28" s="2" t="s">
        <v>42</v>
      </c>
      <c r="AA28" s="2" t="s">
        <v>44</v>
      </c>
      <c r="AB28" s="2" t="s">
        <v>180</v>
      </c>
    </row>
    <row r="29" ht="15" spans="1:28">
      <c r="A29" s="2" t="s">
        <v>181</v>
      </c>
      <c r="B29" s="2" t="s">
        <v>28</v>
      </c>
      <c r="C29" s="2" t="s">
        <v>28</v>
      </c>
      <c r="D29" s="2" t="s">
        <v>174</v>
      </c>
      <c r="E29" s="2" t="s">
        <v>30</v>
      </c>
      <c r="F29" s="2" t="s">
        <v>31</v>
      </c>
      <c r="G29" s="2"/>
      <c r="H29" s="2" t="s">
        <v>175</v>
      </c>
      <c r="I29" s="2" t="s">
        <v>176</v>
      </c>
      <c r="J29" s="2" t="s">
        <v>67</v>
      </c>
      <c r="K29" s="2" t="s">
        <v>28</v>
      </c>
      <c r="L29" s="2" t="s">
        <v>50</v>
      </c>
      <c r="M29" s="2"/>
      <c r="N29" s="2" t="s">
        <v>75</v>
      </c>
      <c r="O29" s="2" t="s">
        <v>182</v>
      </c>
      <c r="P29" s="2" t="s">
        <v>183</v>
      </c>
      <c r="Q29" s="2">
        <v>183868.37</v>
      </c>
      <c r="R29" s="2"/>
      <c r="S29" s="2" t="s">
        <v>39</v>
      </c>
      <c r="T29" s="2">
        <v>0</v>
      </c>
      <c r="U29" s="2">
        <v>183868.37</v>
      </c>
      <c r="V29" s="2" t="s">
        <v>40</v>
      </c>
      <c r="W29" s="2" t="s">
        <v>41</v>
      </c>
      <c r="X29" s="2" t="s">
        <v>42</v>
      </c>
      <c r="Y29" s="2" t="s">
        <v>43</v>
      </c>
      <c r="Z29" s="2" t="s">
        <v>42</v>
      </c>
      <c r="AA29" s="2" t="s">
        <v>44</v>
      </c>
      <c r="AB29" s="2" t="s">
        <v>180</v>
      </c>
    </row>
    <row r="30" ht="15" spans="1:28">
      <c r="A30" s="2" t="s">
        <v>184</v>
      </c>
      <c r="B30" s="2" t="s">
        <v>28</v>
      </c>
      <c r="C30" s="2" t="s">
        <v>28</v>
      </c>
      <c r="D30" s="2" t="s">
        <v>185</v>
      </c>
      <c r="E30" s="2" t="s">
        <v>30</v>
      </c>
      <c r="F30" s="2" t="s">
        <v>31</v>
      </c>
      <c r="G30" s="2"/>
      <c r="H30" s="2" t="s">
        <v>186</v>
      </c>
      <c r="I30" s="2" t="s">
        <v>187</v>
      </c>
      <c r="J30" s="2" t="s">
        <v>34</v>
      </c>
      <c r="K30" s="2" t="s">
        <v>28</v>
      </c>
      <c r="L30" s="2" t="s">
        <v>35</v>
      </c>
      <c r="M30" s="2"/>
      <c r="N30" s="2" t="s">
        <v>75</v>
      </c>
      <c r="O30" s="2" t="s">
        <v>188</v>
      </c>
      <c r="P30" s="2" t="s">
        <v>189</v>
      </c>
      <c r="Q30" s="2">
        <v>21523.5</v>
      </c>
      <c r="R30" s="2"/>
      <c r="S30" s="2" t="s">
        <v>39</v>
      </c>
      <c r="T30" s="2">
        <v>0</v>
      </c>
      <c r="U30" s="2">
        <v>21523.5</v>
      </c>
      <c r="V30" s="2" t="s">
        <v>40</v>
      </c>
      <c r="W30" s="2" t="s">
        <v>41</v>
      </c>
      <c r="X30" s="2" t="s">
        <v>42</v>
      </c>
      <c r="Y30" s="2" t="s">
        <v>43</v>
      </c>
      <c r="Z30" s="2" t="s">
        <v>42</v>
      </c>
      <c r="AA30" s="2" t="s">
        <v>44</v>
      </c>
      <c r="AB30" s="2" t="s">
        <v>190</v>
      </c>
    </row>
    <row r="31" ht="15" spans="1:28">
      <c r="A31" s="2" t="s">
        <v>191</v>
      </c>
      <c r="B31" s="2" t="s">
        <v>28</v>
      </c>
      <c r="C31" s="2" t="s">
        <v>28</v>
      </c>
      <c r="D31" s="2" t="s">
        <v>185</v>
      </c>
      <c r="E31" s="2" t="s">
        <v>30</v>
      </c>
      <c r="F31" s="2" t="s">
        <v>31</v>
      </c>
      <c r="G31" s="2"/>
      <c r="H31" s="2" t="s">
        <v>186</v>
      </c>
      <c r="I31" s="2" t="s">
        <v>187</v>
      </c>
      <c r="J31" s="2" t="s">
        <v>34</v>
      </c>
      <c r="K31" s="2" t="s">
        <v>28</v>
      </c>
      <c r="L31" s="2" t="s">
        <v>35</v>
      </c>
      <c r="M31" s="2"/>
      <c r="N31" s="2" t="s">
        <v>75</v>
      </c>
      <c r="O31" s="2" t="s">
        <v>188</v>
      </c>
      <c r="P31" s="2" t="s">
        <v>192</v>
      </c>
      <c r="Q31" s="2">
        <v>22240.95</v>
      </c>
      <c r="R31" s="2"/>
      <c r="S31" s="2" t="s">
        <v>39</v>
      </c>
      <c r="T31" s="2">
        <v>0</v>
      </c>
      <c r="U31" s="2">
        <v>22240.95</v>
      </c>
      <c r="V31" s="2" t="s">
        <v>40</v>
      </c>
      <c r="W31" s="2" t="s">
        <v>41</v>
      </c>
      <c r="X31" s="2" t="s">
        <v>42</v>
      </c>
      <c r="Y31" s="2" t="s">
        <v>43</v>
      </c>
      <c r="Z31" s="2" t="s">
        <v>42</v>
      </c>
      <c r="AA31" s="2" t="s">
        <v>44</v>
      </c>
      <c r="AB31" s="2" t="s">
        <v>190</v>
      </c>
    </row>
    <row r="32" ht="15" spans="1:28">
      <c r="A32" s="2" t="s">
        <v>193</v>
      </c>
      <c r="B32" s="2" t="s">
        <v>28</v>
      </c>
      <c r="C32" s="2" t="s">
        <v>28</v>
      </c>
      <c r="D32" s="2" t="s">
        <v>194</v>
      </c>
      <c r="E32" s="2" t="s">
        <v>30</v>
      </c>
      <c r="F32" s="2" t="s">
        <v>31</v>
      </c>
      <c r="G32" s="2"/>
      <c r="H32" s="2" t="s">
        <v>32</v>
      </c>
      <c r="I32" s="2" t="s">
        <v>195</v>
      </c>
      <c r="J32" s="2" t="s">
        <v>34</v>
      </c>
      <c r="K32" s="2" t="s">
        <v>28</v>
      </c>
      <c r="L32" s="2" t="s">
        <v>35</v>
      </c>
      <c r="M32" s="2"/>
      <c r="N32" s="2" t="s">
        <v>36</v>
      </c>
      <c r="O32" s="2" t="s">
        <v>196</v>
      </c>
      <c r="P32" s="2" t="s">
        <v>197</v>
      </c>
      <c r="Q32" s="2">
        <v>65539.06</v>
      </c>
      <c r="R32" s="2"/>
      <c r="S32" s="2" t="s">
        <v>39</v>
      </c>
      <c r="T32" s="2">
        <v>0</v>
      </c>
      <c r="U32" s="2">
        <v>65539.06</v>
      </c>
      <c r="V32" s="2" t="s">
        <v>40</v>
      </c>
      <c r="W32" s="2" t="s">
        <v>41</v>
      </c>
      <c r="X32" s="2" t="s">
        <v>42</v>
      </c>
      <c r="Y32" s="2" t="s">
        <v>43</v>
      </c>
      <c r="Z32" s="2" t="s">
        <v>42</v>
      </c>
      <c r="AA32" s="2" t="s">
        <v>44</v>
      </c>
      <c r="AB32" s="2" t="s">
        <v>198</v>
      </c>
    </row>
    <row r="33" ht="15" spans="1:28">
      <c r="A33" s="2" t="s">
        <v>199</v>
      </c>
      <c r="B33" s="2" t="s">
        <v>28</v>
      </c>
      <c r="C33" s="2" t="s">
        <v>28</v>
      </c>
      <c r="D33" s="2" t="s">
        <v>200</v>
      </c>
      <c r="E33" s="2" t="s">
        <v>30</v>
      </c>
      <c r="F33" s="2" t="s">
        <v>31</v>
      </c>
      <c r="G33" s="2"/>
      <c r="H33" s="2" t="s">
        <v>201</v>
      </c>
      <c r="I33" s="2" t="s">
        <v>202</v>
      </c>
      <c r="J33" s="2" t="s">
        <v>34</v>
      </c>
      <c r="K33" s="2" t="s">
        <v>28</v>
      </c>
      <c r="L33" s="2" t="s">
        <v>177</v>
      </c>
      <c r="M33" s="2"/>
      <c r="N33" s="2" t="s">
        <v>59</v>
      </c>
      <c r="O33" s="2" t="s">
        <v>203</v>
      </c>
      <c r="P33" s="2" t="s">
        <v>204</v>
      </c>
      <c r="Q33" s="2">
        <v>231377.63</v>
      </c>
      <c r="R33" s="2"/>
      <c r="S33" s="2" t="s">
        <v>39</v>
      </c>
      <c r="T33" s="2">
        <v>0</v>
      </c>
      <c r="U33" s="2">
        <v>231377.63</v>
      </c>
      <c r="V33" s="2" t="s">
        <v>40</v>
      </c>
      <c r="W33" s="2" t="s">
        <v>41</v>
      </c>
      <c r="X33" s="2" t="s">
        <v>42</v>
      </c>
      <c r="Y33" s="2" t="s">
        <v>43</v>
      </c>
      <c r="Z33" s="2" t="s">
        <v>42</v>
      </c>
      <c r="AA33" s="2" t="s">
        <v>44</v>
      </c>
      <c r="AB33" s="2" t="s">
        <v>205</v>
      </c>
    </row>
    <row r="34" ht="15" spans="1:28">
      <c r="A34" s="2" t="s">
        <v>206</v>
      </c>
      <c r="B34" s="2" t="s">
        <v>28</v>
      </c>
      <c r="C34" s="2" t="s">
        <v>28</v>
      </c>
      <c r="D34" s="2" t="s">
        <v>200</v>
      </c>
      <c r="E34" s="2" t="s">
        <v>30</v>
      </c>
      <c r="F34" s="2" t="s">
        <v>31</v>
      </c>
      <c r="G34" s="2"/>
      <c r="H34" s="2" t="s">
        <v>201</v>
      </c>
      <c r="I34" s="2" t="s">
        <v>202</v>
      </c>
      <c r="J34" s="2" t="s">
        <v>34</v>
      </c>
      <c r="K34" s="2" t="s">
        <v>28</v>
      </c>
      <c r="L34" s="2" t="s">
        <v>177</v>
      </c>
      <c r="M34" s="2"/>
      <c r="N34" s="2" t="s">
        <v>59</v>
      </c>
      <c r="O34" s="2" t="s">
        <v>207</v>
      </c>
      <c r="P34" s="2" t="s">
        <v>208</v>
      </c>
      <c r="Q34" s="2">
        <v>158983.33</v>
      </c>
      <c r="R34" s="2"/>
      <c r="S34" s="2" t="s">
        <v>39</v>
      </c>
      <c r="T34" s="2">
        <v>0</v>
      </c>
      <c r="U34" s="2">
        <v>158983.33</v>
      </c>
      <c r="V34" s="2" t="s">
        <v>40</v>
      </c>
      <c r="W34" s="2" t="s">
        <v>41</v>
      </c>
      <c r="X34" s="2" t="s">
        <v>42</v>
      </c>
      <c r="Y34" s="2" t="s">
        <v>43</v>
      </c>
      <c r="Z34" s="2" t="s">
        <v>42</v>
      </c>
      <c r="AA34" s="2" t="s">
        <v>44</v>
      </c>
      <c r="AB34" s="2" t="s">
        <v>205</v>
      </c>
    </row>
    <row r="35" ht="15" spans="1:28">
      <c r="A35" s="2" t="s">
        <v>209</v>
      </c>
      <c r="B35" s="2" t="s">
        <v>28</v>
      </c>
      <c r="C35" s="2" t="s">
        <v>28</v>
      </c>
      <c r="D35" s="2" t="s">
        <v>200</v>
      </c>
      <c r="E35" s="2" t="s">
        <v>30</v>
      </c>
      <c r="F35" s="2" t="s">
        <v>31</v>
      </c>
      <c r="G35" s="2"/>
      <c r="H35" s="2" t="s">
        <v>201</v>
      </c>
      <c r="I35" s="2" t="s">
        <v>202</v>
      </c>
      <c r="J35" s="2" t="s">
        <v>34</v>
      </c>
      <c r="K35" s="2" t="s">
        <v>28</v>
      </c>
      <c r="L35" s="2" t="s">
        <v>177</v>
      </c>
      <c r="M35" s="2"/>
      <c r="N35" s="2" t="s">
        <v>59</v>
      </c>
      <c r="O35" s="2" t="s">
        <v>210</v>
      </c>
      <c r="P35" s="2" t="s">
        <v>211</v>
      </c>
      <c r="Q35" s="2">
        <v>79550.85</v>
      </c>
      <c r="R35" s="2"/>
      <c r="S35" s="2" t="s">
        <v>39</v>
      </c>
      <c r="T35" s="2">
        <v>0</v>
      </c>
      <c r="U35" s="2">
        <v>79550.85</v>
      </c>
      <c r="V35" s="2" t="s">
        <v>40</v>
      </c>
      <c r="W35" s="2" t="s">
        <v>41</v>
      </c>
      <c r="X35" s="2" t="s">
        <v>42</v>
      </c>
      <c r="Y35" s="2" t="s">
        <v>43</v>
      </c>
      <c r="Z35" s="2" t="s">
        <v>42</v>
      </c>
      <c r="AA35" s="2" t="s">
        <v>44</v>
      </c>
      <c r="AB35" s="2" t="s">
        <v>205</v>
      </c>
    </row>
    <row r="36" ht="15" spans="1:28">
      <c r="A36" s="2" t="s">
        <v>212</v>
      </c>
      <c r="B36" s="2" t="s">
        <v>28</v>
      </c>
      <c r="C36" s="2" t="s">
        <v>28</v>
      </c>
      <c r="D36" s="2" t="s">
        <v>213</v>
      </c>
      <c r="E36" s="2" t="s">
        <v>30</v>
      </c>
      <c r="F36" s="2" t="s">
        <v>31</v>
      </c>
      <c r="G36" s="2"/>
      <c r="H36" s="2" t="s">
        <v>214</v>
      </c>
      <c r="I36" s="2" t="s">
        <v>215</v>
      </c>
      <c r="J36" s="2" t="s">
        <v>34</v>
      </c>
      <c r="K36" s="2" t="s">
        <v>28</v>
      </c>
      <c r="L36" s="2" t="s">
        <v>50</v>
      </c>
      <c r="M36" s="2"/>
      <c r="N36" s="2" t="s">
        <v>36</v>
      </c>
      <c r="O36" s="2" t="s">
        <v>216</v>
      </c>
      <c r="P36" s="2" t="s">
        <v>217</v>
      </c>
      <c r="Q36" s="2">
        <v>139968.04</v>
      </c>
      <c r="R36" s="2"/>
      <c r="S36" s="2" t="s">
        <v>39</v>
      </c>
      <c r="T36" s="2">
        <v>0</v>
      </c>
      <c r="U36" s="2">
        <v>139968.04</v>
      </c>
      <c r="V36" s="2" t="s">
        <v>40</v>
      </c>
      <c r="W36" s="2" t="s">
        <v>41</v>
      </c>
      <c r="X36" s="2" t="s">
        <v>42</v>
      </c>
      <c r="Y36" s="2" t="s">
        <v>43</v>
      </c>
      <c r="Z36" s="2" t="s">
        <v>42</v>
      </c>
      <c r="AA36" s="2" t="s">
        <v>44</v>
      </c>
      <c r="AB36" s="2" t="s">
        <v>218</v>
      </c>
    </row>
    <row r="37" ht="15" spans="1:28">
      <c r="A37" s="2" t="s">
        <v>219</v>
      </c>
      <c r="B37" s="2" t="s">
        <v>28</v>
      </c>
      <c r="C37" s="2" t="s">
        <v>28</v>
      </c>
      <c r="D37" s="2" t="s">
        <v>213</v>
      </c>
      <c r="E37" s="2" t="s">
        <v>30</v>
      </c>
      <c r="F37" s="2" t="s">
        <v>31</v>
      </c>
      <c r="G37" s="2"/>
      <c r="H37" s="2" t="s">
        <v>214</v>
      </c>
      <c r="I37" s="2" t="s">
        <v>215</v>
      </c>
      <c r="J37" s="2" t="s">
        <v>34</v>
      </c>
      <c r="K37" s="2" t="s">
        <v>28</v>
      </c>
      <c r="L37" s="2" t="s">
        <v>35</v>
      </c>
      <c r="M37" s="2"/>
      <c r="N37" s="2" t="s">
        <v>36</v>
      </c>
      <c r="O37" s="2" t="s">
        <v>220</v>
      </c>
      <c r="P37" s="2" t="s">
        <v>221</v>
      </c>
      <c r="Q37" s="2">
        <v>72623.87</v>
      </c>
      <c r="R37" s="2"/>
      <c r="S37" s="2" t="s">
        <v>39</v>
      </c>
      <c r="T37" s="2">
        <v>0</v>
      </c>
      <c r="U37" s="2">
        <v>72623.87</v>
      </c>
      <c r="V37" s="2" t="s">
        <v>40</v>
      </c>
      <c r="W37" s="2" t="s">
        <v>41</v>
      </c>
      <c r="X37" s="2" t="s">
        <v>42</v>
      </c>
      <c r="Y37" s="2" t="s">
        <v>43</v>
      </c>
      <c r="Z37" s="2" t="s">
        <v>42</v>
      </c>
      <c r="AA37" s="2" t="s">
        <v>44</v>
      </c>
      <c r="AB37" s="2" t="s">
        <v>218</v>
      </c>
    </row>
    <row r="38" ht="15" spans="1:28">
      <c r="A38" s="2" t="s">
        <v>222</v>
      </c>
      <c r="B38" s="2" t="s">
        <v>28</v>
      </c>
      <c r="C38" s="2" t="s">
        <v>28</v>
      </c>
      <c r="D38" s="2" t="s">
        <v>223</v>
      </c>
      <c r="E38" s="2" t="s">
        <v>30</v>
      </c>
      <c r="F38" s="2" t="s">
        <v>31</v>
      </c>
      <c r="G38" s="2"/>
      <c r="H38" s="2" t="s">
        <v>109</v>
      </c>
      <c r="I38" s="2" t="s">
        <v>224</v>
      </c>
      <c r="J38" s="2" t="s">
        <v>34</v>
      </c>
      <c r="K38" s="2" t="s">
        <v>28</v>
      </c>
      <c r="L38" s="2" t="s">
        <v>50</v>
      </c>
      <c r="M38" s="2"/>
      <c r="N38" s="2" t="s">
        <v>36</v>
      </c>
      <c r="O38" s="2" t="s">
        <v>225</v>
      </c>
      <c r="P38" s="2" t="s">
        <v>226</v>
      </c>
      <c r="Q38" s="2">
        <v>335801.04</v>
      </c>
      <c r="R38" s="2"/>
      <c r="S38" s="2" t="s">
        <v>39</v>
      </c>
      <c r="T38" s="2">
        <v>0</v>
      </c>
      <c r="U38" s="2">
        <v>335801.04</v>
      </c>
      <c r="V38" s="2" t="s">
        <v>40</v>
      </c>
      <c r="W38" s="2" t="s">
        <v>41</v>
      </c>
      <c r="X38" s="2" t="s">
        <v>42</v>
      </c>
      <c r="Y38" s="2" t="s">
        <v>43</v>
      </c>
      <c r="Z38" s="2" t="s">
        <v>42</v>
      </c>
      <c r="AA38" s="2" t="s">
        <v>44</v>
      </c>
      <c r="AB38" s="2" t="s">
        <v>227</v>
      </c>
    </row>
    <row r="39" ht="15" spans="1:28">
      <c r="A39" s="2" t="s">
        <v>228</v>
      </c>
      <c r="B39" s="2" t="s">
        <v>28</v>
      </c>
      <c r="C39" s="2" t="s">
        <v>28</v>
      </c>
      <c r="D39" s="2" t="s">
        <v>229</v>
      </c>
      <c r="E39" s="2" t="s">
        <v>30</v>
      </c>
      <c r="F39" s="2" t="s">
        <v>31</v>
      </c>
      <c r="G39" s="2"/>
      <c r="H39" s="2" t="s">
        <v>230</v>
      </c>
      <c r="I39" s="2" t="s">
        <v>231</v>
      </c>
      <c r="J39" s="2" t="s">
        <v>34</v>
      </c>
      <c r="K39" s="2" t="s">
        <v>28</v>
      </c>
      <c r="L39" s="2" t="s">
        <v>50</v>
      </c>
      <c r="M39" s="2"/>
      <c r="N39" s="2" t="s">
        <v>59</v>
      </c>
      <c r="O39" s="2" t="s">
        <v>232</v>
      </c>
      <c r="P39" s="2" t="s">
        <v>233</v>
      </c>
      <c r="Q39" s="2">
        <v>66335.43</v>
      </c>
      <c r="R39" s="2"/>
      <c r="S39" s="2" t="s">
        <v>39</v>
      </c>
      <c r="T39" s="2">
        <v>0</v>
      </c>
      <c r="U39" s="2">
        <v>66335.43</v>
      </c>
      <c r="V39" s="2" t="s">
        <v>40</v>
      </c>
      <c r="W39" s="2" t="s">
        <v>41</v>
      </c>
      <c r="X39" s="2" t="s">
        <v>42</v>
      </c>
      <c r="Y39" s="2" t="s">
        <v>43</v>
      </c>
      <c r="Z39" s="2" t="s">
        <v>42</v>
      </c>
      <c r="AA39" s="2" t="s">
        <v>44</v>
      </c>
      <c r="AB39" s="2" t="s">
        <v>234</v>
      </c>
    </row>
    <row r="40" ht="15" spans="1:28">
      <c r="A40" s="2" t="s">
        <v>235</v>
      </c>
      <c r="B40" s="2" t="s">
        <v>28</v>
      </c>
      <c r="C40" s="2" t="s">
        <v>28</v>
      </c>
      <c r="D40" s="2" t="s">
        <v>236</v>
      </c>
      <c r="E40" s="2" t="s">
        <v>30</v>
      </c>
      <c r="F40" s="2" t="s">
        <v>31</v>
      </c>
      <c r="G40" s="2"/>
      <c r="H40" s="2" t="s">
        <v>237</v>
      </c>
      <c r="I40" s="2" t="s">
        <v>238</v>
      </c>
      <c r="J40" s="2" t="s">
        <v>34</v>
      </c>
      <c r="K40" s="2" t="s">
        <v>28</v>
      </c>
      <c r="L40" s="2" t="s">
        <v>50</v>
      </c>
      <c r="M40" s="2"/>
      <c r="N40" s="2" t="s">
        <v>36</v>
      </c>
      <c r="O40" s="2" t="s">
        <v>239</v>
      </c>
      <c r="P40" s="2" t="s">
        <v>240</v>
      </c>
      <c r="Q40" s="2">
        <v>80713.13</v>
      </c>
      <c r="R40" s="2"/>
      <c r="S40" s="2" t="s">
        <v>39</v>
      </c>
      <c r="T40" s="2">
        <v>0</v>
      </c>
      <c r="U40" s="2">
        <v>80713.13</v>
      </c>
      <c r="V40" s="2" t="s">
        <v>40</v>
      </c>
      <c r="W40" s="2" t="s">
        <v>41</v>
      </c>
      <c r="X40" s="2" t="s">
        <v>42</v>
      </c>
      <c r="Y40" s="2" t="s">
        <v>43</v>
      </c>
      <c r="Z40" s="2" t="s">
        <v>42</v>
      </c>
      <c r="AA40" s="2" t="s">
        <v>44</v>
      </c>
      <c r="AB40" s="2" t="s">
        <v>241</v>
      </c>
    </row>
    <row r="41" ht="15" spans="1:28">
      <c r="A41" s="2" t="s">
        <v>242</v>
      </c>
      <c r="B41" s="2" t="s">
        <v>28</v>
      </c>
      <c r="C41" s="2" t="s">
        <v>28</v>
      </c>
      <c r="D41" s="2" t="s">
        <v>243</v>
      </c>
      <c r="E41" s="2" t="s">
        <v>30</v>
      </c>
      <c r="F41" s="2" t="s">
        <v>31</v>
      </c>
      <c r="G41" s="2"/>
      <c r="H41" s="2" t="s">
        <v>244</v>
      </c>
      <c r="I41" s="2" t="s">
        <v>245</v>
      </c>
      <c r="J41" s="2" t="s">
        <v>34</v>
      </c>
      <c r="K41" s="2" t="s">
        <v>28</v>
      </c>
      <c r="L41" s="2" t="s">
        <v>50</v>
      </c>
      <c r="M41" s="2"/>
      <c r="N41" s="2" t="s">
        <v>59</v>
      </c>
      <c r="O41" s="2" t="s">
        <v>246</v>
      </c>
      <c r="P41" s="2" t="s">
        <v>247</v>
      </c>
      <c r="Q41" s="2">
        <v>1933230.58</v>
      </c>
      <c r="R41" s="2"/>
      <c r="S41" s="2" t="s">
        <v>39</v>
      </c>
      <c r="T41" s="2">
        <v>0</v>
      </c>
      <c r="U41" s="2">
        <v>1933230.58</v>
      </c>
      <c r="V41" s="2" t="s">
        <v>40</v>
      </c>
      <c r="W41" s="2" t="s">
        <v>41</v>
      </c>
      <c r="X41" s="2" t="s">
        <v>42</v>
      </c>
      <c r="Y41" s="2" t="s">
        <v>43</v>
      </c>
      <c r="Z41" s="2" t="s">
        <v>42</v>
      </c>
      <c r="AA41" s="2" t="s">
        <v>44</v>
      </c>
      <c r="AB41" s="2" t="s">
        <v>248</v>
      </c>
    </row>
    <row r="42" ht="15" spans="1:28">
      <c r="A42" s="2" t="s">
        <v>249</v>
      </c>
      <c r="B42" s="2" t="s">
        <v>28</v>
      </c>
      <c r="C42" s="2" t="s">
        <v>28</v>
      </c>
      <c r="D42" s="2" t="s">
        <v>250</v>
      </c>
      <c r="E42" s="2" t="s">
        <v>30</v>
      </c>
      <c r="F42" s="2" t="s">
        <v>31</v>
      </c>
      <c r="G42" s="2"/>
      <c r="H42" s="2" t="s">
        <v>251</v>
      </c>
      <c r="I42" s="2" t="s">
        <v>252</v>
      </c>
      <c r="J42" s="2" t="s">
        <v>34</v>
      </c>
      <c r="K42" s="2" t="s">
        <v>28</v>
      </c>
      <c r="L42" s="2" t="s">
        <v>253</v>
      </c>
      <c r="M42" s="2"/>
      <c r="N42" s="2" t="s">
        <v>36</v>
      </c>
      <c r="O42" s="2" t="s">
        <v>254</v>
      </c>
      <c r="P42" s="2" t="s">
        <v>255</v>
      </c>
      <c r="Q42" s="2">
        <v>167611.06</v>
      </c>
      <c r="R42" s="2"/>
      <c r="S42" s="2" t="s">
        <v>39</v>
      </c>
      <c r="T42" s="2">
        <v>0</v>
      </c>
      <c r="U42" s="2">
        <v>167611.06</v>
      </c>
      <c r="V42" s="2" t="s">
        <v>40</v>
      </c>
      <c r="W42" s="2" t="s">
        <v>41</v>
      </c>
      <c r="X42" s="2" t="s">
        <v>42</v>
      </c>
      <c r="Y42" s="2" t="s">
        <v>43</v>
      </c>
      <c r="Z42" s="2" t="s">
        <v>42</v>
      </c>
      <c r="AA42" s="2" t="s">
        <v>44</v>
      </c>
      <c r="AB42" s="2" t="s">
        <v>256</v>
      </c>
    </row>
    <row r="43" ht="15" hidden="1" spans="1:28">
      <c r="A43" s="2" t="s">
        <v>257</v>
      </c>
      <c r="B43" s="2" t="s">
        <v>28</v>
      </c>
      <c r="C43" s="2" t="s">
        <v>28</v>
      </c>
      <c r="D43" s="2" t="s">
        <v>258</v>
      </c>
      <c r="E43" s="2" t="s">
        <v>30</v>
      </c>
      <c r="F43" s="2" t="s">
        <v>31</v>
      </c>
      <c r="G43" s="2" t="s">
        <v>259</v>
      </c>
      <c r="H43" s="2" t="s">
        <v>260</v>
      </c>
      <c r="I43" s="2" t="s">
        <v>261</v>
      </c>
      <c r="J43" s="2" t="s">
        <v>34</v>
      </c>
      <c r="K43" s="2" t="s">
        <v>28</v>
      </c>
      <c r="L43" s="2" t="s">
        <v>262</v>
      </c>
      <c r="M43" s="2" t="s">
        <v>263</v>
      </c>
      <c r="N43" s="2" t="s">
        <v>75</v>
      </c>
      <c r="O43" s="2" t="s">
        <v>264</v>
      </c>
      <c r="P43" s="2" t="s">
        <v>265</v>
      </c>
      <c r="Q43" s="2">
        <v>-1218.58</v>
      </c>
      <c r="R43" s="2"/>
      <c r="S43" s="2" t="s">
        <v>147</v>
      </c>
      <c r="T43" s="2">
        <v>-158.42</v>
      </c>
      <c r="U43" s="2">
        <v>-1377</v>
      </c>
      <c r="V43" s="2" t="s">
        <v>40</v>
      </c>
      <c r="W43" s="2" t="s">
        <v>148</v>
      </c>
      <c r="X43" s="2" t="s">
        <v>42</v>
      </c>
      <c r="Y43" s="2" t="s">
        <v>266</v>
      </c>
      <c r="Z43" s="2" t="s">
        <v>42</v>
      </c>
      <c r="AA43" s="2" t="s">
        <v>44</v>
      </c>
      <c r="AB43" s="2" t="s">
        <v>267</v>
      </c>
    </row>
    <row r="44" ht="15" hidden="1" spans="1:28">
      <c r="A44" s="2" t="s">
        <v>268</v>
      </c>
      <c r="B44" s="2" t="s">
        <v>28</v>
      </c>
      <c r="C44" s="2" t="s">
        <v>28</v>
      </c>
      <c r="D44" s="2" t="s">
        <v>258</v>
      </c>
      <c r="E44" s="2" t="s">
        <v>30</v>
      </c>
      <c r="F44" s="2" t="s">
        <v>31</v>
      </c>
      <c r="G44" s="2" t="s">
        <v>259</v>
      </c>
      <c r="H44" s="2" t="s">
        <v>260</v>
      </c>
      <c r="I44" s="2" t="s">
        <v>261</v>
      </c>
      <c r="J44" s="2" t="s">
        <v>34</v>
      </c>
      <c r="K44" s="2" t="s">
        <v>28</v>
      </c>
      <c r="L44" s="2" t="s">
        <v>262</v>
      </c>
      <c r="M44" s="2" t="s">
        <v>269</v>
      </c>
      <c r="N44" s="2" t="s">
        <v>75</v>
      </c>
      <c r="O44" s="2" t="s">
        <v>264</v>
      </c>
      <c r="P44" s="2" t="s">
        <v>270</v>
      </c>
      <c r="Q44" s="2">
        <v>-1971.68</v>
      </c>
      <c r="R44" s="2"/>
      <c r="S44" s="2" t="s">
        <v>147</v>
      </c>
      <c r="T44" s="2">
        <v>-256.32</v>
      </c>
      <c r="U44" s="2">
        <v>-2228</v>
      </c>
      <c r="V44" s="2" t="s">
        <v>40</v>
      </c>
      <c r="W44" s="2" t="s">
        <v>148</v>
      </c>
      <c r="X44" s="2" t="s">
        <v>42</v>
      </c>
      <c r="Y44" s="2" t="s">
        <v>266</v>
      </c>
      <c r="Z44" s="2" t="s">
        <v>42</v>
      </c>
      <c r="AA44" s="2" t="s">
        <v>44</v>
      </c>
      <c r="AB44" s="2" t="s">
        <v>267</v>
      </c>
    </row>
    <row r="45" ht="15" hidden="1" spans="1:28">
      <c r="A45" s="2" t="s">
        <v>271</v>
      </c>
      <c r="B45" s="2" t="s">
        <v>28</v>
      </c>
      <c r="C45" s="2" t="s">
        <v>28</v>
      </c>
      <c r="D45" s="2" t="s">
        <v>258</v>
      </c>
      <c r="E45" s="2" t="s">
        <v>30</v>
      </c>
      <c r="F45" s="2" t="s">
        <v>31</v>
      </c>
      <c r="G45" s="2" t="s">
        <v>259</v>
      </c>
      <c r="H45" s="2" t="s">
        <v>260</v>
      </c>
      <c r="I45" s="2" t="s">
        <v>261</v>
      </c>
      <c r="J45" s="2" t="s">
        <v>34</v>
      </c>
      <c r="K45" s="2" t="s">
        <v>28</v>
      </c>
      <c r="L45" s="2" t="s">
        <v>262</v>
      </c>
      <c r="M45" s="2" t="s">
        <v>272</v>
      </c>
      <c r="N45" s="2" t="s">
        <v>75</v>
      </c>
      <c r="O45" s="2" t="s">
        <v>273</v>
      </c>
      <c r="P45" s="2" t="s">
        <v>274</v>
      </c>
      <c r="Q45" s="2">
        <v>-927.43</v>
      </c>
      <c r="R45" s="2"/>
      <c r="S45" s="2" t="s">
        <v>147</v>
      </c>
      <c r="T45" s="2">
        <v>-120.57</v>
      </c>
      <c r="U45" s="2">
        <v>-1048</v>
      </c>
      <c r="V45" s="2" t="s">
        <v>40</v>
      </c>
      <c r="W45" s="2" t="s">
        <v>148</v>
      </c>
      <c r="X45" s="2" t="s">
        <v>42</v>
      </c>
      <c r="Y45" s="2" t="s">
        <v>266</v>
      </c>
      <c r="Z45" s="2" t="s">
        <v>42</v>
      </c>
      <c r="AA45" s="2" t="s">
        <v>44</v>
      </c>
      <c r="AB45" s="2" t="s">
        <v>267</v>
      </c>
    </row>
    <row r="46" ht="15" hidden="1" spans="1:28">
      <c r="A46" s="2" t="s">
        <v>275</v>
      </c>
      <c r="B46" s="2" t="s">
        <v>28</v>
      </c>
      <c r="C46" s="2" t="s">
        <v>28</v>
      </c>
      <c r="D46" s="2" t="s">
        <v>258</v>
      </c>
      <c r="E46" s="2" t="s">
        <v>30</v>
      </c>
      <c r="F46" s="2" t="s">
        <v>31</v>
      </c>
      <c r="G46" s="2" t="s">
        <v>259</v>
      </c>
      <c r="H46" s="2" t="s">
        <v>260</v>
      </c>
      <c r="I46" s="2" t="s">
        <v>261</v>
      </c>
      <c r="J46" s="2" t="s">
        <v>34</v>
      </c>
      <c r="K46" s="2" t="s">
        <v>28</v>
      </c>
      <c r="L46" s="2" t="s">
        <v>262</v>
      </c>
      <c r="M46" s="2" t="s">
        <v>272</v>
      </c>
      <c r="N46" s="2" t="s">
        <v>75</v>
      </c>
      <c r="O46" s="2" t="s">
        <v>276</v>
      </c>
      <c r="P46" s="2" t="s">
        <v>277</v>
      </c>
      <c r="Q46" s="2">
        <v>-1911.5</v>
      </c>
      <c r="R46" s="2"/>
      <c r="S46" s="2" t="s">
        <v>147</v>
      </c>
      <c r="T46" s="2">
        <v>-248.5</v>
      </c>
      <c r="U46" s="2">
        <v>-2160</v>
      </c>
      <c r="V46" s="2" t="s">
        <v>40</v>
      </c>
      <c r="W46" s="2" t="s">
        <v>148</v>
      </c>
      <c r="X46" s="2" t="s">
        <v>42</v>
      </c>
      <c r="Y46" s="2" t="s">
        <v>266</v>
      </c>
      <c r="Z46" s="2" t="s">
        <v>42</v>
      </c>
      <c r="AA46" s="2" t="s">
        <v>44</v>
      </c>
      <c r="AB46" s="2" t="s">
        <v>267</v>
      </c>
    </row>
    <row r="47" ht="15" hidden="1" spans="1:28">
      <c r="A47" s="2" t="s">
        <v>278</v>
      </c>
      <c r="B47" s="2" t="s">
        <v>28</v>
      </c>
      <c r="C47" s="2" t="s">
        <v>28</v>
      </c>
      <c r="D47" s="2" t="s">
        <v>258</v>
      </c>
      <c r="E47" s="2" t="s">
        <v>30</v>
      </c>
      <c r="F47" s="2" t="s">
        <v>31</v>
      </c>
      <c r="G47" s="2" t="s">
        <v>259</v>
      </c>
      <c r="H47" s="2" t="s">
        <v>260</v>
      </c>
      <c r="I47" s="2" t="s">
        <v>261</v>
      </c>
      <c r="J47" s="2" t="s">
        <v>34</v>
      </c>
      <c r="K47" s="2" t="s">
        <v>28</v>
      </c>
      <c r="L47" s="2" t="s">
        <v>262</v>
      </c>
      <c r="M47" s="2" t="s">
        <v>263</v>
      </c>
      <c r="N47" s="2" t="s">
        <v>75</v>
      </c>
      <c r="O47" s="2" t="s">
        <v>276</v>
      </c>
      <c r="P47" s="2" t="s">
        <v>279</v>
      </c>
      <c r="Q47" s="2">
        <v>-11973.45</v>
      </c>
      <c r="R47" s="2"/>
      <c r="S47" s="2" t="s">
        <v>147</v>
      </c>
      <c r="T47" s="2">
        <v>-1556.55</v>
      </c>
      <c r="U47" s="2">
        <v>-13530</v>
      </c>
      <c r="V47" s="2" t="s">
        <v>40</v>
      </c>
      <c r="W47" s="2" t="s">
        <v>148</v>
      </c>
      <c r="X47" s="2" t="s">
        <v>42</v>
      </c>
      <c r="Y47" s="2" t="s">
        <v>266</v>
      </c>
      <c r="Z47" s="2" t="s">
        <v>42</v>
      </c>
      <c r="AA47" s="2" t="s">
        <v>44</v>
      </c>
      <c r="AB47" s="2" t="s">
        <v>267</v>
      </c>
    </row>
    <row r="48" ht="15" hidden="1" spans="1:28">
      <c r="A48" s="2" t="s">
        <v>280</v>
      </c>
      <c r="B48" s="2" t="s">
        <v>28</v>
      </c>
      <c r="C48" s="2" t="s">
        <v>28</v>
      </c>
      <c r="D48" s="2" t="s">
        <v>258</v>
      </c>
      <c r="E48" s="2" t="s">
        <v>30</v>
      </c>
      <c r="F48" s="2" t="s">
        <v>31</v>
      </c>
      <c r="G48" s="2" t="s">
        <v>259</v>
      </c>
      <c r="H48" s="2" t="s">
        <v>260</v>
      </c>
      <c r="I48" s="2" t="s">
        <v>261</v>
      </c>
      <c r="J48" s="2" t="s">
        <v>34</v>
      </c>
      <c r="K48" s="2" t="s">
        <v>28</v>
      </c>
      <c r="L48" s="2" t="s">
        <v>262</v>
      </c>
      <c r="M48" s="2" t="s">
        <v>272</v>
      </c>
      <c r="N48" s="2" t="s">
        <v>75</v>
      </c>
      <c r="O48" s="2" t="s">
        <v>281</v>
      </c>
      <c r="P48" s="2" t="s">
        <v>282</v>
      </c>
      <c r="Q48" s="2">
        <v>-187876.11</v>
      </c>
      <c r="R48" s="2"/>
      <c r="S48" s="2" t="s">
        <v>147</v>
      </c>
      <c r="T48" s="2">
        <v>-24423.89</v>
      </c>
      <c r="U48" s="2">
        <v>-212300</v>
      </c>
      <c r="V48" s="2" t="s">
        <v>40</v>
      </c>
      <c r="W48" s="2" t="s">
        <v>148</v>
      </c>
      <c r="X48" s="2" t="s">
        <v>42</v>
      </c>
      <c r="Y48" s="2" t="s">
        <v>266</v>
      </c>
      <c r="Z48" s="2" t="s">
        <v>42</v>
      </c>
      <c r="AA48" s="2" t="s">
        <v>44</v>
      </c>
      <c r="AB48" s="2" t="s">
        <v>267</v>
      </c>
    </row>
    <row r="49" ht="15" hidden="1" spans="1:28">
      <c r="A49" s="2" t="s">
        <v>283</v>
      </c>
      <c r="B49" s="2" t="s">
        <v>28</v>
      </c>
      <c r="C49" s="2" t="s">
        <v>28</v>
      </c>
      <c r="D49" s="2" t="s">
        <v>284</v>
      </c>
      <c r="E49" s="2" t="s">
        <v>30</v>
      </c>
      <c r="F49" s="2" t="s">
        <v>31</v>
      </c>
      <c r="G49" s="2" t="s">
        <v>259</v>
      </c>
      <c r="H49" s="2" t="s">
        <v>260</v>
      </c>
      <c r="I49" s="2" t="s">
        <v>285</v>
      </c>
      <c r="J49" s="2" t="s">
        <v>34</v>
      </c>
      <c r="K49" s="2" t="s">
        <v>28</v>
      </c>
      <c r="L49" s="2" t="s">
        <v>262</v>
      </c>
      <c r="M49" s="2" t="s">
        <v>263</v>
      </c>
      <c r="N49" s="2" t="s">
        <v>75</v>
      </c>
      <c r="O49" s="2" t="s">
        <v>27</v>
      </c>
      <c r="P49" s="2" t="s">
        <v>286</v>
      </c>
      <c r="Q49" s="2">
        <v>1307.08</v>
      </c>
      <c r="R49" s="2"/>
      <c r="S49" s="2" t="s">
        <v>147</v>
      </c>
      <c r="T49" s="2">
        <v>169.92</v>
      </c>
      <c r="U49" s="2">
        <v>1477</v>
      </c>
      <c r="V49" s="2" t="s">
        <v>40</v>
      </c>
      <c r="W49" s="2" t="s">
        <v>148</v>
      </c>
      <c r="X49" s="2" t="s">
        <v>42</v>
      </c>
      <c r="Y49" s="2" t="s">
        <v>43</v>
      </c>
      <c r="Z49" s="2" t="s">
        <v>42</v>
      </c>
      <c r="AA49" s="2" t="s">
        <v>44</v>
      </c>
      <c r="AB49" s="2"/>
    </row>
    <row r="50" ht="15" hidden="1" spans="1:28">
      <c r="A50" s="2" t="s">
        <v>287</v>
      </c>
      <c r="B50" s="2" t="s">
        <v>28</v>
      </c>
      <c r="C50" s="2" t="s">
        <v>28</v>
      </c>
      <c r="D50" s="2" t="s">
        <v>284</v>
      </c>
      <c r="E50" s="2" t="s">
        <v>30</v>
      </c>
      <c r="F50" s="2" t="s">
        <v>31</v>
      </c>
      <c r="G50" s="2" t="s">
        <v>259</v>
      </c>
      <c r="H50" s="2" t="s">
        <v>260</v>
      </c>
      <c r="I50" s="2" t="s">
        <v>285</v>
      </c>
      <c r="J50" s="2" t="s">
        <v>34</v>
      </c>
      <c r="K50" s="2" t="s">
        <v>28</v>
      </c>
      <c r="L50" s="2" t="s">
        <v>262</v>
      </c>
      <c r="M50" s="2" t="s">
        <v>269</v>
      </c>
      <c r="N50" s="2" t="s">
        <v>75</v>
      </c>
      <c r="O50" s="2" t="s">
        <v>27</v>
      </c>
      <c r="P50" s="2" t="s">
        <v>270</v>
      </c>
      <c r="Q50" s="2">
        <v>1971.68</v>
      </c>
      <c r="R50" s="2"/>
      <c r="S50" s="2" t="s">
        <v>147</v>
      </c>
      <c r="T50" s="2">
        <v>256.32</v>
      </c>
      <c r="U50" s="2">
        <v>2228</v>
      </c>
      <c r="V50" s="2" t="s">
        <v>40</v>
      </c>
      <c r="W50" s="2" t="s">
        <v>148</v>
      </c>
      <c r="X50" s="2" t="s">
        <v>42</v>
      </c>
      <c r="Y50" s="2" t="s">
        <v>43</v>
      </c>
      <c r="Z50" s="2" t="s">
        <v>42</v>
      </c>
      <c r="AA50" s="2" t="s">
        <v>44</v>
      </c>
      <c r="AB50" s="2"/>
    </row>
    <row r="51" ht="15" hidden="1" spans="1:28">
      <c r="A51" s="2" t="s">
        <v>288</v>
      </c>
      <c r="B51" s="2" t="s">
        <v>28</v>
      </c>
      <c r="C51" s="2" t="s">
        <v>28</v>
      </c>
      <c r="D51" s="2" t="s">
        <v>284</v>
      </c>
      <c r="E51" s="2" t="s">
        <v>30</v>
      </c>
      <c r="F51" s="2" t="s">
        <v>31</v>
      </c>
      <c r="G51" s="2" t="s">
        <v>259</v>
      </c>
      <c r="H51" s="2" t="s">
        <v>260</v>
      </c>
      <c r="I51" s="2" t="s">
        <v>285</v>
      </c>
      <c r="J51" s="2" t="s">
        <v>34</v>
      </c>
      <c r="K51" s="2" t="s">
        <v>28</v>
      </c>
      <c r="L51" s="2" t="s">
        <v>262</v>
      </c>
      <c r="M51" s="2" t="s">
        <v>272</v>
      </c>
      <c r="N51" s="2" t="s">
        <v>75</v>
      </c>
      <c r="O51" s="2" t="s">
        <v>54</v>
      </c>
      <c r="P51" s="2" t="s">
        <v>289</v>
      </c>
      <c r="Q51" s="2">
        <v>838.94</v>
      </c>
      <c r="R51" s="2"/>
      <c r="S51" s="2" t="s">
        <v>147</v>
      </c>
      <c r="T51" s="2">
        <v>109.06</v>
      </c>
      <c r="U51" s="2">
        <v>948</v>
      </c>
      <c r="V51" s="2" t="s">
        <v>40</v>
      </c>
      <c r="W51" s="2" t="s">
        <v>148</v>
      </c>
      <c r="X51" s="2" t="s">
        <v>42</v>
      </c>
      <c r="Y51" s="2" t="s">
        <v>43</v>
      </c>
      <c r="Z51" s="2" t="s">
        <v>42</v>
      </c>
      <c r="AA51" s="2" t="s">
        <v>44</v>
      </c>
      <c r="AB51" s="2"/>
    </row>
    <row r="52" ht="15" hidden="1" spans="1:28">
      <c r="A52" s="2" t="s">
        <v>290</v>
      </c>
      <c r="B52" s="2" t="s">
        <v>28</v>
      </c>
      <c r="C52" s="2" t="s">
        <v>28</v>
      </c>
      <c r="D52" s="2" t="s">
        <v>284</v>
      </c>
      <c r="E52" s="2" t="s">
        <v>30</v>
      </c>
      <c r="F52" s="2" t="s">
        <v>31</v>
      </c>
      <c r="G52" s="2" t="s">
        <v>259</v>
      </c>
      <c r="H52" s="2" t="s">
        <v>260</v>
      </c>
      <c r="I52" s="2" t="s">
        <v>285</v>
      </c>
      <c r="J52" s="2" t="s">
        <v>34</v>
      </c>
      <c r="K52" s="2" t="s">
        <v>28</v>
      </c>
      <c r="L52" s="2" t="s">
        <v>262</v>
      </c>
      <c r="M52" s="2" t="s">
        <v>272</v>
      </c>
      <c r="N52" s="2" t="s">
        <v>75</v>
      </c>
      <c r="O52" s="2" t="s">
        <v>96</v>
      </c>
      <c r="P52" s="2" t="s">
        <v>277</v>
      </c>
      <c r="Q52" s="2">
        <v>1911.5</v>
      </c>
      <c r="R52" s="2"/>
      <c r="S52" s="2" t="s">
        <v>147</v>
      </c>
      <c r="T52" s="2">
        <v>248.5</v>
      </c>
      <c r="U52" s="2">
        <v>2160</v>
      </c>
      <c r="V52" s="2" t="s">
        <v>40</v>
      </c>
      <c r="W52" s="2" t="s">
        <v>148</v>
      </c>
      <c r="X52" s="2" t="s">
        <v>42</v>
      </c>
      <c r="Y52" s="2" t="s">
        <v>43</v>
      </c>
      <c r="Z52" s="2" t="s">
        <v>42</v>
      </c>
      <c r="AA52" s="2" t="s">
        <v>44</v>
      </c>
      <c r="AB52" s="2"/>
    </row>
    <row r="53" ht="15" hidden="1" spans="1:28">
      <c r="A53" s="2" t="s">
        <v>291</v>
      </c>
      <c r="B53" s="2" t="s">
        <v>28</v>
      </c>
      <c r="C53" s="2" t="s">
        <v>28</v>
      </c>
      <c r="D53" s="2" t="s">
        <v>284</v>
      </c>
      <c r="E53" s="2" t="s">
        <v>30</v>
      </c>
      <c r="F53" s="2" t="s">
        <v>31</v>
      </c>
      <c r="G53" s="2" t="s">
        <v>259</v>
      </c>
      <c r="H53" s="2" t="s">
        <v>260</v>
      </c>
      <c r="I53" s="2" t="s">
        <v>285</v>
      </c>
      <c r="J53" s="2" t="s">
        <v>34</v>
      </c>
      <c r="K53" s="2" t="s">
        <v>28</v>
      </c>
      <c r="L53" s="2" t="s">
        <v>262</v>
      </c>
      <c r="M53" s="2" t="s">
        <v>263</v>
      </c>
      <c r="N53" s="2" t="s">
        <v>75</v>
      </c>
      <c r="O53" s="2" t="s">
        <v>96</v>
      </c>
      <c r="P53" s="2" t="s">
        <v>279</v>
      </c>
      <c r="Q53" s="2">
        <v>11973.45</v>
      </c>
      <c r="R53" s="2"/>
      <c r="S53" s="2" t="s">
        <v>147</v>
      </c>
      <c r="T53" s="2">
        <v>1556.55</v>
      </c>
      <c r="U53" s="2">
        <v>13530</v>
      </c>
      <c r="V53" s="2" t="s">
        <v>40</v>
      </c>
      <c r="W53" s="2" t="s">
        <v>148</v>
      </c>
      <c r="X53" s="2" t="s">
        <v>42</v>
      </c>
      <c r="Y53" s="2" t="s">
        <v>43</v>
      </c>
      <c r="Z53" s="2" t="s">
        <v>42</v>
      </c>
      <c r="AA53" s="2" t="s">
        <v>44</v>
      </c>
      <c r="AB53" s="2"/>
    </row>
    <row r="54" ht="15" hidden="1" spans="1:28">
      <c r="A54" s="2" t="s">
        <v>292</v>
      </c>
      <c r="B54" s="2" t="s">
        <v>28</v>
      </c>
      <c r="C54" s="2" t="s">
        <v>28</v>
      </c>
      <c r="D54" s="2" t="s">
        <v>284</v>
      </c>
      <c r="E54" s="2" t="s">
        <v>30</v>
      </c>
      <c r="F54" s="2" t="s">
        <v>31</v>
      </c>
      <c r="G54" s="2" t="s">
        <v>259</v>
      </c>
      <c r="H54" s="2" t="s">
        <v>260</v>
      </c>
      <c r="I54" s="2" t="s">
        <v>285</v>
      </c>
      <c r="J54" s="2" t="s">
        <v>34</v>
      </c>
      <c r="K54" s="2" t="s">
        <v>28</v>
      </c>
      <c r="L54" s="2" t="s">
        <v>262</v>
      </c>
      <c r="M54" s="2" t="s">
        <v>272</v>
      </c>
      <c r="N54" s="2" t="s">
        <v>75</v>
      </c>
      <c r="O54" s="2" t="s">
        <v>188</v>
      </c>
      <c r="P54" s="2" t="s">
        <v>282</v>
      </c>
      <c r="Q54" s="2">
        <v>187876.11</v>
      </c>
      <c r="R54" s="2"/>
      <c r="S54" s="2" t="s">
        <v>147</v>
      </c>
      <c r="T54" s="2">
        <v>24423.89</v>
      </c>
      <c r="U54" s="2">
        <v>212300</v>
      </c>
      <c r="V54" s="2" t="s">
        <v>40</v>
      </c>
      <c r="W54" s="2" t="s">
        <v>148</v>
      </c>
      <c r="X54" s="2" t="s">
        <v>42</v>
      </c>
      <c r="Y54" s="2" t="s">
        <v>43</v>
      </c>
      <c r="Z54" s="2" t="s">
        <v>42</v>
      </c>
      <c r="AA54" s="2" t="s">
        <v>44</v>
      </c>
      <c r="AB54" s="2"/>
    </row>
    <row r="55" ht="15" hidden="1" spans="1:28">
      <c r="A55" s="2" t="s">
        <v>293</v>
      </c>
      <c r="B55" s="2" t="s">
        <v>28</v>
      </c>
      <c r="C55" s="2" t="s">
        <v>28</v>
      </c>
      <c r="D55" s="2" t="s">
        <v>294</v>
      </c>
      <c r="E55" s="2" t="s">
        <v>30</v>
      </c>
      <c r="F55" s="2" t="s">
        <v>31</v>
      </c>
      <c r="G55" s="2" t="s">
        <v>259</v>
      </c>
      <c r="H55" s="2" t="s">
        <v>260</v>
      </c>
      <c r="I55" s="2" t="s">
        <v>295</v>
      </c>
      <c r="J55" s="2" t="s">
        <v>34</v>
      </c>
      <c r="K55" s="2" t="s">
        <v>28</v>
      </c>
      <c r="L55" s="2" t="s">
        <v>262</v>
      </c>
      <c r="M55" s="2" t="s">
        <v>263</v>
      </c>
      <c r="N55" s="2" t="s">
        <v>75</v>
      </c>
      <c r="O55" s="2" t="s">
        <v>264</v>
      </c>
      <c r="P55" s="2" t="s">
        <v>265</v>
      </c>
      <c r="Q55" s="2">
        <v>-1218.58</v>
      </c>
      <c r="R55" s="2"/>
      <c r="S55" s="2" t="s">
        <v>147</v>
      </c>
      <c r="T55" s="2">
        <v>-158.42</v>
      </c>
      <c r="U55" s="2">
        <v>-1377</v>
      </c>
      <c r="V55" s="2" t="s">
        <v>40</v>
      </c>
      <c r="W55" s="2" t="s">
        <v>148</v>
      </c>
      <c r="X55" s="2" t="s">
        <v>42</v>
      </c>
      <c r="Y55" s="2" t="s">
        <v>266</v>
      </c>
      <c r="Z55" s="2" t="s">
        <v>42</v>
      </c>
      <c r="AA55" s="2" t="s">
        <v>44</v>
      </c>
      <c r="AB55" s="2" t="s">
        <v>296</v>
      </c>
    </row>
    <row r="56" ht="15" hidden="1" spans="1:28">
      <c r="A56" s="2" t="s">
        <v>297</v>
      </c>
      <c r="B56" s="2" t="s">
        <v>28</v>
      </c>
      <c r="C56" s="2" t="s">
        <v>28</v>
      </c>
      <c r="D56" s="2" t="s">
        <v>294</v>
      </c>
      <c r="E56" s="2" t="s">
        <v>30</v>
      </c>
      <c r="F56" s="2" t="s">
        <v>31</v>
      </c>
      <c r="G56" s="2" t="s">
        <v>259</v>
      </c>
      <c r="H56" s="2" t="s">
        <v>260</v>
      </c>
      <c r="I56" s="2" t="s">
        <v>295</v>
      </c>
      <c r="J56" s="2" t="s">
        <v>34</v>
      </c>
      <c r="K56" s="2" t="s">
        <v>28</v>
      </c>
      <c r="L56" s="2" t="s">
        <v>262</v>
      </c>
      <c r="M56" s="2" t="s">
        <v>269</v>
      </c>
      <c r="N56" s="2" t="s">
        <v>75</v>
      </c>
      <c r="O56" s="2" t="s">
        <v>264</v>
      </c>
      <c r="P56" s="2" t="s">
        <v>270</v>
      </c>
      <c r="Q56" s="2">
        <v>-1971.68</v>
      </c>
      <c r="R56" s="2"/>
      <c r="S56" s="2" t="s">
        <v>147</v>
      </c>
      <c r="T56" s="2">
        <v>-256.32</v>
      </c>
      <c r="U56" s="2">
        <v>-2228</v>
      </c>
      <c r="V56" s="2" t="s">
        <v>40</v>
      </c>
      <c r="W56" s="2" t="s">
        <v>148</v>
      </c>
      <c r="X56" s="2" t="s">
        <v>42</v>
      </c>
      <c r="Y56" s="2" t="s">
        <v>266</v>
      </c>
      <c r="Z56" s="2" t="s">
        <v>42</v>
      </c>
      <c r="AA56" s="2" t="s">
        <v>44</v>
      </c>
      <c r="AB56" s="2" t="s">
        <v>296</v>
      </c>
    </row>
    <row r="57" ht="15" hidden="1" spans="1:28">
      <c r="A57" s="2" t="s">
        <v>298</v>
      </c>
      <c r="B57" s="2" t="s">
        <v>28</v>
      </c>
      <c r="C57" s="2" t="s">
        <v>28</v>
      </c>
      <c r="D57" s="2" t="s">
        <v>294</v>
      </c>
      <c r="E57" s="2" t="s">
        <v>30</v>
      </c>
      <c r="F57" s="2" t="s">
        <v>31</v>
      </c>
      <c r="G57" s="2" t="s">
        <v>259</v>
      </c>
      <c r="H57" s="2" t="s">
        <v>260</v>
      </c>
      <c r="I57" s="2" t="s">
        <v>295</v>
      </c>
      <c r="J57" s="2" t="s">
        <v>34</v>
      </c>
      <c r="K57" s="2" t="s">
        <v>28</v>
      </c>
      <c r="L57" s="2" t="s">
        <v>262</v>
      </c>
      <c r="M57" s="2" t="s">
        <v>272</v>
      </c>
      <c r="N57" s="2" t="s">
        <v>75</v>
      </c>
      <c r="O57" s="2" t="s">
        <v>273</v>
      </c>
      <c r="P57" s="2" t="s">
        <v>277</v>
      </c>
      <c r="Q57" s="2">
        <v>-573.45</v>
      </c>
      <c r="R57" s="2"/>
      <c r="S57" s="2" t="s">
        <v>147</v>
      </c>
      <c r="T57" s="2">
        <v>-74.55</v>
      </c>
      <c r="U57" s="2">
        <v>-648</v>
      </c>
      <c r="V57" s="2" t="s">
        <v>40</v>
      </c>
      <c r="W57" s="2" t="s">
        <v>148</v>
      </c>
      <c r="X57" s="2" t="s">
        <v>42</v>
      </c>
      <c r="Y57" s="2" t="s">
        <v>266</v>
      </c>
      <c r="Z57" s="2" t="s">
        <v>42</v>
      </c>
      <c r="AA57" s="2" t="s">
        <v>44</v>
      </c>
      <c r="AB57" s="2" t="s">
        <v>296</v>
      </c>
    </row>
    <row r="58" ht="15" hidden="1" spans="1:28">
      <c r="A58" s="2" t="s">
        <v>299</v>
      </c>
      <c r="B58" s="2" t="s">
        <v>28</v>
      </c>
      <c r="C58" s="2" t="s">
        <v>28</v>
      </c>
      <c r="D58" s="2" t="s">
        <v>294</v>
      </c>
      <c r="E58" s="2" t="s">
        <v>30</v>
      </c>
      <c r="F58" s="2" t="s">
        <v>31</v>
      </c>
      <c r="G58" s="2" t="s">
        <v>259</v>
      </c>
      <c r="H58" s="2" t="s">
        <v>260</v>
      </c>
      <c r="I58" s="2" t="s">
        <v>295</v>
      </c>
      <c r="J58" s="2" t="s">
        <v>34</v>
      </c>
      <c r="K58" s="2" t="s">
        <v>28</v>
      </c>
      <c r="L58" s="2" t="s">
        <v>262</v>
      </c>
      <c r="M58" s="2" t="s">
        <v>272</v>
      </c>
      <c r="N58" s="2" t="s">
        <v>75</v>
      </c>
      <c r="O58" s="2" t="s">
        <v>276</v>
      </c>
      <c r="P58" s="2" t="s">
        <v>277</v>
      </c>
      <c r="Q58" s="2">
        <v>-1911.5</v>
      </c>
      <c r="R58" s="2"/>
      <c r="S58" s="2" t="s">
        <v>147</v>
      </c>
      <c r="T58" s="2">
        <v>-248.5</v>
      </c>
      <c r="U58" s="2">
        <v>-2160</v>
      </c>
      <c r="V58" s="2" t="s">
        <v>40</v>
      </c>
      <c r="W58" s="2" t="s">
        <v>148</v>
      </c>
      <c r="X58" s="2" t="s">
        <v>42</v>
      </c>
      <c r="Y58" s="2" t="s">
        <v>266</v>
      </c>
      <c r="Z58" s="2" t="s">
        <v>42</v>
      </c>
      <c r="AA58" s="2" t="s">
        <v>44</v>
      </c>
      <c r="AB58" s="2" t="s">
        <v>296</v>
      </c>
    </row>
    <row r="59" ht="15" hidden="1" spans="1:28">
      <c r="A59" s="2" t="s">
        <v>300</v>
      </c>
      <c r="B59" s="2" t="s">
        <v>28</v>
      </c>
      <c r="C59" s="2" t="s">
        <v>28</v>
      </c>
      <c r="D59" s="2" t="s">
        <v>294</v>
      </c>
      <c r="E59" s="2" t="s">
        <v>30</v>
      </c>
      <c r="F59" s="2" t="s">
        <v>31</v>
      </c>
      <c r="G59" s="2" t="s">
        <v>259</v>
      </c>
      <c r="H59" s="2" t="s">
        <v>260</v>
      </c>
      <c r="I59" s="2" t="s">
        <v>295</v>
      </c>
      <c r="J59" s="2" t="s">
        <v>34</v>
      </c>
      <c r="K59" s="2" t="s">
        <v>28</v>
      </c>
      <c r="L59" s="2" t="s">
        <v>262</v>
      </c>
      <c r="M59" s="2" t="s">
        <v>263</v>
      </c>
      <c r="N59" s="2" t="s">
        <v>75</v>
      </c>
      <c r="O59" s="2" t="s">
        <v>276</v>
      </c>
      <c r="P59" s="2" t="s">
        <v>279</v>
      </c>
      <c r="Q59" s="2">
        <v>-11973.45</v>
      </c>
      <c r="R59" s="2"/>
      <c r="S59" s="2" t="s">
        <v>147</v>
      </c>
      <c r="T59" s="2">
        <v>-1556.55</v>
      </c>
      <c r="U59" s="2">
        <v>-13530</v>
      </c>
      <c r="V59" s="2" t="s">
        <v>40</v>
      </c>
      <c r="W59" s="2" t="s">
        <v>148</v>
      </c>
      <c r="X59" s="2" t="s">
        <v>42</v>
      </c>
      <c r="Y59" s="2" t="s">
        <v>266</v>
      </c>
      <c r="Z59" s="2" t="s">
        <v>42</v>
      </c>
      <c r="AA59" s="2" t="s">
        <v>44</v>
      </c>
      <c r="AB59" s="2" t="s">
        <v>296</v>
      </c>
    </row>
    <row r="60" ht="15" hidden="1" spans="1:28">
      <c r="A60" s="2" t="s">
        <v>301</v>
      </c>
      <c r="B60" s="2" t="s">
        <v>28</v>
      </c>
      <c r="C60" s="2" t="s">
        <v>28</v>
      </c>
      <c r="D60" s="2" t="s">
        <v>294</v>
      </c>
      <c r="E60" s="2" t="s">
        <v>30</v>
      </c>
      <c r="F60" s="2" t="s">
        <v>31</v>
      </c>
      <c r="G60" s="2" t="s">
        <v>259</v>
      </c>
      <c r="H60" s="2" t="s">
        <v>260</v>
      </c>
      <c r="I60" s="2" t="s">
        <v>295</v>
      </c>
      <c r="J60" s="2" t="s">
        <v>34</v>
      </c>
      <c r="K60" s="2" t="s">
        <v>28</v>
      </c>
      <c r="L60" s="2" t="s">
        <v>262</v>
      </c>
      <c r="M60" s="2" t="s">
        <v>272</v>
      </c>
      <c r="N60" s="2" t="s">
        <v>75</v>
      </c>
      <c r="O60" s="2" t="s">
        <v>281</v>
      </c>
      <c r="P60" s="2" t="s">
        <v>282</v>
      </c>
      <c r="Q60" s="2">
        <v>-187876.11</v>
      </c>
      <c r="R60" s="2"/>
      <c r="S60" s="2" t="s">
        <v>147</v>
      </c>
      <c r="T60" s="2">
        <v>-24423.89</v>
      </c>
      <c r="U60" s="2">
        <v>-212300</v>
      </c>
      <c r="V60" s="2" t="s">
        <v>40</v>
      </c>
      <c r="W60" s="2" t="s">
        <v>148</v>
      </c>
      <c r="X60" s="2" t="s">
        <v>42</v>
      </c>
      <c r="Y60" s="2" t="s">
        <v>266</v>
      </c>
      <c r="Z60" s="2" t="s">
        <v>42</v>
      </c>
      <c r="AA60" s="2" t="s">
        <v>44</v>
      </c>
      <c r="AB60" s="2" t="s">
        <v>296</v>
      </c>
    </row>
    <row r="61" ht="15" hidden="1" spans="1:28">
      <c r="A61" s="2" t="s">
        <v>302</v>
      </c>
      <c r="B61" s="2" t="s">
        <v>28</v>
      </c>
      <c r="C61" s="2" t="s">
        <v>28</v>
      </c>
      <c r="D61" s="2" t="s">
        <v>303</v>
      </c>
      <c r="E61" s="2" t="s">
        <v>30</v>
      </c>
      <c r="F61" s="2" t="s">
        <v>31</v>
      </c>
      <c r="G61" s="2" t="s">
        <v>259</v>
      </c>
      <c r="H61" s="2" t="s">
        <v>260</v>
      </c>
      <c r="I61" s="2" t="s">
        <v>304</v>
      </c>
      <c r="J61" s="2" t="s">
        <v>34</v>
      </c>
      <c r="K61" s="2" t="s">
        <v>28</v>
      </c>
      <c r="L61" s="2" t="s">
        <v>262</v>
      </c>
      <c r="M61" s="2" t="s">
        <v>263</v>
      </c>
      <c r="N61" s="2" t="s">
        <v>75</v>
      </c>
      <c r="O61" s="2" t="s">
        <v>27</v>
      </c>
      <c r="P61" s="2" t="s">
        <v>265</v>
      </c>
      <c r="Q61" s="2">
        <v>1218.58</v>
      </c>
      <c r="R61" s="2"/>
      <c r="S61" s="2" t="s">
        <v>147</v>
      </c>
      <c r="T61" s="2">
        <v>158.42</v>
      </c>
      <c r="U61" s="2">
        <v>1377</v>
      </c>
      <c r="V61" s="2" t="s">
        <v>40</v>
      </c>
      <c r="W61" s="2" t="s">
        <v>148</v>
      </c>
      <c r="X61" s="2" t="s">
        <v>305</v>
      </c>
      <c r="Y61" s="2" t="s">
        <v>43</v>
      </c>
      <c r="Z61" s="2" t="s">
        <v>42</v>
      </c>
      <c r="AA61" s="2" t="s">
        <v>44</v>
      </c>
      <c r="AB61" s="2"/>
    </row>
    <row r="62" ht="15" hidden="1" spans="1:28">
      <c r="A62" s="2" t="s">
        <v>306</v>
      </c>
      <c r="B62" s="2" t="s">
        <v>28</v>
      </c>
      <c r="C62" s="2" t="s">
        <v>28</v>
      </c>
      <c r="D62" s="2" t="s">
        <v>303</v>
      </c>
      <c r="E62" s="2" t="s">
        <v>30</v>
      </c>
      <c r="F62" s="2" t="s">
        <v>31</v>
      </c>
      <c r="G62" s="2" t="s">
        <v>259</v>
      </c>
      <c r="H62" s="2" t="s">
        <v>260</v>
      </c>
      <c r="I62" s="2" t="s">
        <v>304</v>
      </c>
      <c r="J62" s="2" t="s">
        <v>34</v>
      </c>
      <c r="K62" s="2" t="s">
        <v>28</v>
      </c>
      <c r="L62" s="2" t="s">
        <v>262</v>
      </c>
      <c r="M62" s="2" t="s">
        <v>269</v>
      </c>
      <c r="N62" s="2" t="s">
        <v>75</v>
      </c>
      <c r="O62" s="2" t="s">
        <v>27</v>
      </c>
      <c r="P62" s="2" t="s">
        <v>270</v>
      </c>
      <c r="Q62" s="2">
        <v>1971.68</v>
      </c>
      <c r="R62" s="2"/>
      <c r="S62" s="2" t="s">
        <v>147</v>
      </c>
      <c r="T62" s="2">
        <v>256.32</v>
      </c>
      <c r="U62" s="2">
        <v>2228</v>
      </c>
      <c r="V62" s="2" t="s">
        <v>40</v>
      </c>
      <c r="W62" s="2" t="s">
        <v>148</v>
      </c>
      <c r="X62" s="2" t="s">
        <v>305</v>
      </c>
      <c r="Y62" s="2" t="s">
        <v>43</v>
      </c>
      <c r="Z62" s="2" t="s">
        <v>42</v>
      </c>
      <c r="AA62" s="2" t="s">
        <v>44</v>
      </c>
      <c r="AB62" s="2"/>
    </row>
    <row r="63" ht="15" hidden="1" spans="1:28">
      <c r="A63" s="2" t="s">
        <v>307</v>
      </c>
      <c r="B63" s="2" t="s">
        <v>28</v>
      </c>
      <c r="C63" s="2" t="s">
        <v>28</v>
      </c>
      <c r="D63" s="2" t="s">
        <v>303</v>
      </c>
      <c r="E63" s="2" t="s">
        <v>30</v>
      </c>
      <c r="F63" s="2" t="s">
        <v>31</v>
      </c>
      <c r="G63" s="2" t="s">
        <v>259</v>
      </c>
      <c r="H63" s="2" t="s">
        <v>260</v>
      </c>
      <c r="I63" s="2" t="s">
        <v>304</v>
      </c>
      <c r="J63" s="2" t="s">
        <v>34</v>
      </c>
      <c r="K63" s="2" t="s">
        <v>28</v>
      </c>
      <c r="L63" s="2" t="s">
        <v>262</v>
      </c>
      <c r="M63" s="2" t="s">
        <v>272</v>
      </c>
      <c r="N63" s="2" t="s">
        <v>75</v>
      </c>
      <c r="O63" s="2" t="s">
        <v>54</v>
      </c>
      <c r="P63" s="2" t="s">
        <v>274</v>
      </c>
      <c r="Q63" s="2">
        <v>927.43</v>
      </c>
      <c r="R63" s="2"/>
      <c r="S63" s="2" t="s">
        <v>147</v>
      </c>
      <c r="T63" s="2">
        <v>120.57</v>
      </c>
      <c r="U63" s="2">
        <v>1048</v>
      </c>
      <c r="V63" s="2" t="s">
        <v>40</v>
      </c>
      <c r="W63" s="2" t="s">
        <v>148</v>
      </c>
      <c r="X63" s="2" t="s">
        <v>305</v>
      </c>
      <c r="Y63" s="2" t="s">
        <v>43</v>
      </c>
      <c r="Z63" s="2" t="s">
        <v>42</v>
      </c>
      <c r="AA63" s="2" t="s">
        <v>44</v>
      </c>
      <c r="AB63" s="2"/>
    </row>
    <row r="64" ht="15" hidden="1" spans="1:28">
      <c r="A64" s="2" t="s">
        <v>308</v>
      </c>
      <c r="B64" s="2" t="s">
        <v>28</v>
      </c>
      <c r="C64" s="2" t="s">
        <v>28</v>
      </c>
      <c r="D64" s="2" t="s">
        <v>303</v>
      </c>
      <c r="E64" s="2" t="s">
        <v>30</v>
      </c>
      <c r="F64" s="2" t="s">
        <v>31</v>
      </c>
      <c r="G64" s="2" t="s">
        <v>259</v>
      </c>
      <c r="H64" s="2" t="s">
        <v>260</v>
      </c>
      <c r="I64" s="2" t="s">
        <v>304</v>
      </c>
      <c r="J64" s="2" t="s">
        <v>34</v>
      </c>
      <c r="K64" s="2" t="s">
        <v>28</v>
      </c>
      <c r="L64" s="2" t="s">
        <v>262</v>
      </c>
      <c r="M64" s="2" t="s">
        <v>272</v>
      </c>
      <c r="N64" s="2" t="s">
        <v>75</v>
      </c>
      <c r="O64" s="2" t="s">
        <v>96</v>
      </c>
      <c r="P64" s="2" t="s">
        <v>277</v>
      </c>
      <c r="Q64" s="2">
        <v>1911.5</v>
      </c>
      <c r="R64" s="2"/>
      <c r="S64" s="2" t="s">
        <v>147</v>
      </c>
      <c r="T64" s="2">
        <v>248.5</v>
      </c>
      <c r="U64" s="2">
        <v>2160</v>
      </c>
      <c r="V64" s="2" t="s">
        <v>40</v>
      </c>
      <c r="W64" s="2" t="s">
        <v>148</v>
      </c>
      <c r="X64" s="2" t="s">
        <v>305</v>
      </c>
      <c r="Y64" s="2" t="s">
        <v>43</v>
      </c>
      <c r="Z64" s="2" t="s">
        <v>42</v>
      </c>
      <c r="AA64" s="2" t="s">
        <v>44</v>
      </c>
      <c r="AB64" s="2"/>
    </row>
    <row r="65" ht="15" hidden="1" spans="1:28">
      <c r="A65" s="2" t="s">
        <v>309</v>
      </c>
      <c r="B65" s="2" t="s">
        <v>28</v>
      </c>
      <c r="C65" s="2" t="s">
        <v>28</v>
      </c>
      <c r="D65" s="2" t="s">
        <v>303</v>
      </c>
      <c r="E65" s="2" t="s">
        <v>30</v>
      </c>
      <c r="F65" s="2" t="s">
        <v>31</v>
      </c>
      <c r="G65" s="2" t="s">
        <v>259</v>
      </c>
      <c r="H65" s="2" t="s">
        <v>260</v>
      </c>
      <c r="I65" s="2" t="s">
        <v>304</v>
      </c>
      <c r="J65" s="2" t="s">
        <v>34</v>
      </c>
      <c r="K65" s="2" t="s">
        <v>28</v>
      </c>
      <c r="L65" s="2" t="s">
        <v>262</v>
      </c>
      <c r="M65" s="2" t="s">
        <v>263</v>
      </c>
      <c r="N65" s="2" t="s">
        <v>75</v>
      </c>
      <c r="O65" s="2" t="s">
        <v>96</v>
      </c>
      <c r="P65" s="2" t="s">
        <v>279</v>
      </c>
      <c r="Q65" s="2">
        <v>11973.45</v>
      </c>
      <c r="R65" s="2"/>
      <c r="S65" s="2" t="s">
        <v>147</v>
      </c>
      <c r="T65" s="2">
        <v>1556.55</v>
      </c>
      <c r="U65" s="2">
        <v>13530</v>
      </c>
      <c r="V65" s="2" t="s">
        <v>40</v>
      </c>
      <c r="W65" s="2" t="s">
        <v>148</v>
      </c>
      <c r="X65" s="2" t="s">
        <v>305</v>
      </c>
      <c r="Y65" s="2" t="s">
        <v>43</v>
      </c>
      <c r="Z65" s="2" t="s">
        <v>42</v>
      </c>
      <c r="AA65" s="2" t="s">
        <v>44</v>
      </c>
      <c r="AB65" s="2"/>
    </row>
    <row r="66" ht="15" hidden="1" spans="1:28">
      <c r="A66" s="2" t="s">
        <v>310</v>
      </c>
      <c r="B66" s="2" t="s">
        <v>28</v>
      </c>
      <c r="C66" s="2" t="s">
        <v>28</v>
      </c>
      <c r="D66" s="2" t="s">
        <v>303</v>
      </c>
      <c r="E66" s="2" t="s">
        <v>30</v>
      </c>
      <c r="F66" s="2" t="s">
        <v>31</v>
      </c>
      <c r="G66" s="2" t="s">
        <v>259</v>
      </c>
      <c r="H66" s="2" t="s">
        <v>260</v>
      </c>
      <c r="I66" s="2" t="s">
        <v>304</v>
      </c>
      <c r="J66" s="2" t="s">
        <v>34</v>
      </c>
      <c r="K66" s="2" t="s">
        <v>28</v>
      </c>
      <c r="L66" s="2" t="s">
        <v>262</v>
      </c>
      <c r="M66" s="2" t="s">
        <v>272</v>
      </c>
      <c r="N66" s="2" t="s">
        <v>75</v>
      </c>
      <c r="O66" s="2" t="s">
        <v>188</v>
      </c>
      <c r="P66" s="2" t="s">
        <v>282</v>
      </c>
      <c r="Q66" s="2">
        <v>187876.11</v>
      </c>
      <c r="R66" s="2"/>
      <c r="S66" s="2" t="s">
        <v>147</v>
      </c>
      <c r="T66" s="2">
        <v>24423.89</v>
      </c>
      <c r="U66" s="2">
        <v>212300</v>
      </c>
      <c r="V66" s="2" t="s">
        <v>40</v>
      </c>
      <c r="W66" s="2" t="s">
        <v>148</v>
      </c>
      <c r="X66" s="2" t="s">
        <v>305</v>
      </c>
      <c r="Y66" s="2" t="s">
        <v>43</v>
      </c>
      <c r="Z66" s="2" t="s">
        <v>42</v>
      </c>
      <c r="AA66" s="2" t="s">
        <v>44</v>
      </c>
      <c r="AB66" s="2"/>
    </row>
    <row r="67" ht="15" hidden="1" spans="1:28">
      <c r="A67" s="2" t="s">
        <v>311</v>
      </c>
      <c r="B67" s="2" t="s">
        <v>28</v>
      </c>
      <c r="C67" s="2" t="s">
        <v>28</v>
      </c>
      <c r="D67" s="2" t="s">
        <v>312</v>
      </c>
      <c r="E67" s="2" t="s">
        <v>30</v>
      </c>
      <c r="F67" s="2" t="s">
        <v>31</v>
      </c>
      <c r="G67" s="2" t="s">
        <v>313</v>
      </c>
      <c r="H67" s="2" t="s">
        <v>314</v>
      </c>
      <c r="I67" s="2" t="s">
        <v>315</v>
      </c>
      <c r="J67" s="2" t="s">
        <v>34</v>
      </c>
      <c r="K67" s="2" t="s">
        <v>28</v>
      </c>
      <c r="L67" s="2" t="s">
        <v>50</v>
      </c>
      <c r="M67" s="2" t="s">
        <v>316</v>
      </c>
      <c r="N67" s="2" t="s">
        <v>59</v>
      </c>
      <c r="O67" s="2" t="s">
        <v>199</v>
      </c>
      <c r="P67" s="2" t="s">
        <v>317</v>
      </c>
      <c r="Q67" s="2">
        <v>9534.87</v>
      </c>
      <c r="R67" s="2"/>
      <c r="S67" s="2" t="s">
        <v>147</v>
      </c>
      <c r="T67" s="2">
        <v>1239.53</v>
      </c>
      <c r="U67" s="2">
        <v>10774.4</v>
      </c>
      <c r="V67" s="2" t="s">
        <v>40</v>
      </c>
      <c r="W67" s="2" t="s">
        <v>148</v>
      </c>
      <c r="X67" s="2" t="s">
        <v>42</v>
      </c>
      <c r="Y67" s="2" t="s">
        <v>43</v>
      </c>
      <c r="Z67" s="2" t="s">
        <v>42</v>
      </c>
      <c r="AA67" s="2" t="s">
        <v>44</v>
      </c>
      <c r="AB67" s="2"/>
    </row>
    <row r="68" ht="15" hidden="1" spans="1:28">
      <c r="A68" s="2" t="s">
        <v>318</v>
      </c>
      <c r="B68" s="2" t="s">
        <v>28</v>
      </c>
      <c r="C68" s="2" t="s">
        <v>28</v>
      </c>
      <c r="D68" s="2" t="s">
        <v>312</v>
      </c>
      <c r="E68" s="2" t="s">
        <v>30</v>
      </c>
      <c r="F68" s="2" t="s">
        <v>31</v>
      </c>
      <c r="G68" s="2" t="s">
        <v>313</v>
      </c>
      <c r="H68" s="2" t="s">
        <v>314</v>
      </c>
      <c r="I68" s="2" t="s">
        <v>315</v>
      </c>
      <c r="J68" s="2" t="s">
        <v>34</v>
      </c>
      <c r="K68" s="2" t="s">
        <v>28</v>
      </c>
      <c r="L68" s="2" t="s">
        <v>50</v>
      </c>
      <c r="M68" s="2" t="s">
        <v>319</v>
      </c>
      <c r="N68" s="2" t="s">
        <v>59</v>
      </c>
      <c r="O68" s="2" t="s">
        <v>46</v>
      </c>
      <c r="P68" s="2" t="s">
        <v>320</v>
      </c>
      <c r="Q68" s="2">
        <v>695.93</v>
      </c>
      <c r="R68" s="2"/>
      <c r="S68" s="2" t="s">
        <v>147</v>
      </c>
      <c r="T68" s="2">
        <v>90.47</v>
      </c>
      <c r="U68" s="2">
        <v>786.4</v>
      </c>
      <c r="V68" s="2" t="s">
        <v>40</v>
      </c>
      <c r="W68" s="2" t="s">
        <v>148</v>
      </c>
      <c r="X68" s="2" t="s">
        <v>42</v>
      </c>
      <c r="Y68" s="2" t="s">
        <v>43</v>
      </c>
      <c r="Z68" s="2" t="s">
        <v>42</v>
      </c>
      <c r="AA68" s="2" t="s">
        <v>44</v>
      </c>
      <c r="AB68" s="2"/>
    </row>
    <row r="69" ht="15" hidden="1" spans="1:28">
      <c r="A69" s="2" t="s">
        <v>321</v>
      </c>
      <c r="B69" s="2" t="s">
        <v>28</v>
      </c>
      <c r="C69" s="2" t="s">
        <v>28</v>
      </c>
      <c r="D69" s="2" t="s">
        <v>322</v>
      </c>
      <c r="E69" s="2" t="s">
        <v>30</v>
      </c>
      <c r="F69" s="2" t="s">
        <v>31</v>
      </c>
      <c r="G69" s="2" t="s">
        <v>259</v>
      </c>
      <c r="H69" s="2" t="s">
        <v>260</v>
      </c>
      <c r="I69" s="2" t="s">
        <v>323</v>
      </c>
      <c r="J69" s="2" t="s">
        <v>34</v>
      </c>
      <c r="K69" s="2" t="s">
        <v>28</v>
      </c>
      <c r="L69" s="2" t="s">
        <v>262</v>
      </c>
      <c r="M69" s="2" t="s">
        <v>263</v>
      </c>
      <c r="N69" s="2" t="s">
        <v>75</v>
      </c>
      <c r="O69" s="2" t="s">
        <v>27</v>
      </c>
      <c r="P69" s="2" t="s">
        <v>265</v>
      </c>
      <c r="Q69" s="2">
        <v>1218.58</v>
      </c>
      <c r="R69" s="2"/>
      <c r="S69" s="2" t="s">
        <v>147</v>
      </c>
      <c r="T69" s="2">
        <v>158.42</v>
      </c>
      <c r="U69" s="2">
        <v>1377</v>
      </c>
      <c r="V69" s="2" t="s">
        <v>40</v>
      </c>
      <c r="W69" s="2" t="s">
        <v>148</v>
      </c>
      <c r="X69" s="2" t="s">
        <v>305</v>
      </c>
      <c r="Y69" s="2" t="s">
        <v>43</v>
      </c>
      <c r="Z69" s="2" t="s">
        <v>42</v>
      </c>
      <c r="AA69" s="2" t="s">
        <v>44</v>
      </c>
      <c r="AB69" s="2"/>
    </row>
    <row r="70" ht="15" hidden="1" spans="1:28">
      <c r="A70" s="2" t="s">
        <v>324</v>
      </c>
      <c r="B70" s="2" t="s">
        <v>28</v>
      </c>
      <c r="C70" s="2" t="s">
        <v>28</v>
      </c>
      <c r="D70" s="2" t="s">
        <v>322</v>
      </c>
      <c r="E70" s="2" t="s">
        <v>30</v>
      </c>
      <c r="F70" s="2" t="s">
        <v>31</v>
      </c>
      <c r="G70" s="2" t="s">
        <v>259</v>
      </c>
      <c r="H70" s="2" t="s">
        <v>260</v>
      </c>
      <c r="I70" s="2" t="s">
        <v>323</v>
      </c>
      <c r="J70" s="2" t="s">
        <v>34</v>
      </c>
      <c r="K70" s="2" t="s">
        <v>28</v>
      </c>
      <c r="L70" s="2" t="s">
        <v>262</v>
      </c>
      <c r="M70" s="2" t="s">
        <v>269</v>
      </c>
      <c r="N70" s="2" t="s">
        <v>75</v>
      </c>
      <c r="O70" s="2" t="s">
        <v>27</v>
      </c>
      <c r="P70" s="2" t="s">
        <v>270</v>
      </c>
      <c r="Q70" s="2">
        <v>1971.68</v>
      </c>
      <c r="R70" s="2"/>
      <c r="S70" s="2" t="s">
        <v>147</v>
      </c>
      <c r="T70" s="2">
        <v>256.32</v>
      </c>
      <c r="U70" s="2">
        <v>2228</v>
      </c>
      <c r="V70" s="2" t="s">
        <v>40</v>
      </c>
      <c r="W70" s="2" t="s">
        <v>148</v>
      </c>
      <c r="X70" s="2" t="s">
        <v>305</v>
      </c>
      <c r="Y70" s="2" t="s">
        <v>43</v>
      </c>
      <c r="Z70" s="2" t="s">
        <v>42</v>
      </c>
      <c r="AA70" s="2" t="s">
        <v>44</v>
      </c>
      <c r="AB70" s="2"/>
    </row>
    <row r="71" ht="15" hidden="1" spans="1:28">
      <c r="A71" s="2" t="s">
        <v>325</v>
      </c>
      <c r="B71" s="2" t="s">
        <v>28</v>
      </c>
      <c r="C71" s="2" t="s">
        <v>28</v>
      </c>
      <c r="D71" s="2" t="s">
        <v>322</v>
      </c>
      <c r="E71" s="2" t="s">
        <v>30</v>
      </c>
      <c r="F71" s="2" t="s">
        <v>31</v>
      </c>
      <c r="G71" s="2" t="s">
        <v>259</v>
      </c>
      <c r="H71" s="2" t="s">
        <v>260</v>
      </c>
      <c r="I71" s="2" t="s">
        <v>323</v>
      </c>
      <c r="J71" s="2" t="s">
        <v>34</v>
      </c>
      <c r="K71" s="2" t="s">
        <v>28</v>
      </c>
      <c r="L71" s="2" t="s">
        <v>262</v>
      </c>
      <c r="M71" s="2" t="s">
        <v>272</v>
      </c>
      <c r="N71" s="2" t="s">
        <v>75</v>
      </c>
      <c r="O71" s="2" t="s">
        <v>54</v>
      </c>
      <c r="P71" s="2" t="s">
        <v>277</v>
      </c>
      <c r="Q71" s="2">
        <v>573.45</v>
      </c>
      <c r="R71" s="2"/>
      <c r="S71" s="2" t="s">
        <v>147</v>
      </c>
      <c r="T71" s="2">
        <v>74.55</v>
      </c>
      <c r="U71" s="2">
        <v>648</v>
      </c>
      <c r="V71" s="2" t="s">
        <v>40</v>
      </c>
      <c r="W71" s="2" t="s">
        <v>148</v>
      </c>
      <c r="X71" s="2" t="s">
        <v>305</v>
      </c>
      <c r="Y71" s="2" t="s">
        <v>43</v>
      </c>
      <c r="Z71" s="2" t="s">
        <v>42</v>
      </c>
      <c r="AA71" s="2" t="s">
        <v>44</v>
      </c>
      <c r="AB71" s="2"/>
    </row>
    <row r="72" ht="15" hidden="1" spans="1:28">
      <c r="A72" s="2" t="s">
        <v>326</v>
      </c>
      <c r="B72" s="2" t="s">
        <v>28</v>
      </c>
      <c r="C72" s="2" t="s">
        <v>28</v>
      </c>
      <c r="D72" s="2" t="s">
        <v>322</v>
      </c>
      <c r="E72" s="2" t="s">
        <v>30</v>
      </c>
      <c r="F72" s="2" t="s">
        <v>31</v>
      </c>
      <c r="G72" s="2" t="s">
        <v>259</v>
      </c>
      <c r="H72" s="2" t="s">
        <v>260</v>
      </c>
      <c r="I72" s="2" t="s">
        <v>323</v>
      </c>
      <c r="J72" s="2" t="s">
        <v>34</v>
      </c>
      <c r="K72" s="2" t="s">
        <v>28</v>
      </c>
      <c r="L72" s="2" t="s">
        <v>262</v>
      </c>
      <c r="M72" s="2" t="s">
        <v>272</v>
      </c>
      <c r="N72" s="2" t="s">
        <v>75</v>
      </c>
      <c r="O72" s="2" t="s">
        <v>96</v>
      </c>
      <c r="P72" s="2" t="s">
        <v>277</v>
      </c>
      <c r="Q72" s="2">
        <v>1911.5</v>
      </c>
      <c r="R72" s="2"/>
      <c r="S72" s="2" t="s">
        <v>147</v>
      </c>
      <c r="T72" s="2">
        <v>248.5</v>
      </c>
      <c r="U72" s="2">
        <v>2160</v>
      </c>
      <c r="V72" s="2" t="s">
        <v>40</v>
      </c>
      <c r="W72" s="2" t="s">
        <v>148</v>
      </c>
      <c r="X72" s="2" t="s">
        <v>305</v>
      </c>
      <c r="Y72" s="2" t="s">
        <v>43</v>
      </c>
      <c r="Z72" s="2" t="s">
        <v>42</v>
      </c>
      <c r="AA72" s="2" t="s">
        <v>44</v>
      </c>
      <c r="AB72" s="2"/>
    </row>
    <row r="73" ht="15" hidden="1" spans="1:28">
      <c r="A73" s="2" t="s">
        <v>327</v>
      </c>
      <c r="B73" s="2" t="s">
        <v>28</v>
      </c>
      <c r="C73" s="2" t="s">
        <v>28</v>
      </c>
      <c r="D73" s="2" t="s">
        <v>322</v>
      </c>
      <c r="E73" s="2" t="s">
        <v>30</v>
      </c>
      <c r="F73" s="2" t="s">
        <v>31</v>
      </c>
      <c r="G73" s="2" t="s">
        <v>259</v>
      </c>
      <c r="H73" s="2" t="s">
        <v>260</v>
      </c>
      <c r="I73" s="2" t="s">
        <v>323</v>
      </c>
      <c r="J73" s="2" t="s">
        <v>34</v>
      </c>
      <c r="K73" s="2" t="s">
        <v>28</v>
      </c>
      <c r="L73" s="2" t="s">
        <v>262</v>
      </c>
      <c r="M73" s="2" t="s">
        <v>263</v>
      </c>
      <c r="N73" s="2" t="s">
        <v>75</v>
      </c>
      <c r="O73" s="2" t="s">
        <v>96</v>
      </c>
      <c r="P73" s="2" t="s">
        <v>279</v>
      </c>
      <c r="Q73" s="2">
        <v>11973.45</v>
      </c>
      <c r="R73" s="2"/>
      <c r="S73" s="2" t="s">
        <v>147</v>
      </c>
      <c r="T73" s="2">
        <v>1556.55</v>
      </c>
      <c r="U73" s="2">
        <v>13530</v>
      </c>
      <c r="V73" s="2" t="s">
        <v>40</v>
      </c>
      <c r="W73" s="2" t="s">
        <v>148</v>
      </c>
      <c r="X73" s="2" t="s">
        <v>305</v>
      </c>
      <c r="Y73" s="2" t="s">
        <v>43</v>
      </c>
      <c r="Z73" s="2" t="s">
        <v>42</v>
      </c>
      <c r="AA73" s="2" t="s">
        <v>44</v>
      </c>
      <c r="AB73" s="2"/>
    </row>
    <row r="74" ht="15" hidden="1" spans="1:28">
      <c r="A74" s="2" t="s">
        <v>328</v>
      </c>
      <c r="B74" s="2" t="s">
        <v>28</v>
      </c>
      <c r="C74" s="2" t="s">
        <v>28</v>
      </c>
      <c r="D74" s="2" t="s">
        <v>322</v>
      </c>
      <c r="E74" s="2" t="s">
        <v>30</v>
      </c>
      <c r="F74" s="2" t="s">
        <v>31</v>
      </c>
      <c r="G74" s="2" t="s">
        <v>259</v>
      </c>
      <c r="H74" s="2" t="s">
        <v>260</v>
      </c>
      <c r="I74" s="2" t="s">
        <v>323</v>
      </c>
      <c r="J74" s="2" t="s">
        <v>34</v>
      </c>
      <c r="K74" s="2" t="s">
        <v>28</v>
      </c>
      <c r="L74" s="2" t="s">
        <v>262</v>
      </c>
      <c r="M74" s="2" t="s">
        <v>272</v>
      </c>
      <c r="N74" s="2" t="s">
        <v>75</v>
      </c>
      <c r="O74" s="2" t="s">
        <v>188</v>
      </c>
      <c r="P74" s="2" t="s">
        <v>282</v>
      </c>
      <c r="Q74" s="2">
        <v>187876.11</v>
      </c>
      <c r="R74" s="2"/>
      <c r="S74" s="2" t="s">
        <v>147</v>
      </c>
      <c r="T74" s="2">
        <v>24423.89</v>
      </c>
      <c r="U74" s="2">
        <v>212300</v>
      </c>
      <c r="V74" s="2" t="s">
        <v>40</v>
      </c>
      <c r="W74" s="2" t="s">
        <v>148</v>
      </c>
      <c r="X74" s="2" t="s">
        <v>305</v>
      </c>
      <c r="Y74" s="2" t="s">
        <v>43</v>
      </c>
      <c r="Z74" s="2" t="s">
        <v>42</v>
      </c>
      <c r="AA74" s="2" t="s">
        <v>44</v>
      </c>
      <c r="AB74" s="2"/>
    </row>
    <row r="75" hidden="1" spans="17:21">
      <c r="Q75">
        <f>SUM(Q2:Q74)</f>
        <v>10345632.21</v>
      </c>
      <c r="S75">
        <f>SUM(S2:S74)</f>
        <v>0</v>
      </c>
      <c r="T75">
        <f>SUM(T2:T74)</f>
        <v>218378.23</v>
      </c>
      <c r="U75">
        <f>SUM(U2:U74)</f>
        <v>10564010.44</v>
      </c>
    </row>
  </sheetData>
  <autoFilter xmlns:etc="http://www.wps.cn/officeDocument/2017/etCustomData" ref="A1:AB75" etc:filterBottomFollowUsedRange="0">
    <filterColumn colId="18">
      <customFilters>
        <customFilter operator="equal" val="0%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topLeftCell="H1" workbookViewId="0">
      <selection activeCell="L11" sqref="L11"/>
    </sheetView>
  </sheetViews>
  <sheetFormatPr defaultColWidth="9" defaultRowHeight="13.5"/>
  <cols>
    <col min="1" max="1" width="10" customWidth="1"/>
    <col min="2" max="7" width="22" customWidth="1"/>
    <col min="8" max="8" width="54.125" customWidth="1"/>
    <col min="9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/>
      <c r="H2" s="3" t="s">
        <v>32</v>
      </c>
      <c r="I2" s="2" t="s">
        <v>33</v>
      </c>
      <c r="J2" s="2">
        <v>30125.73</v>
      </c>
      <c r="K2" s="2">
        <v>0</v>
      </c>
      <c r="L2" s="2">
        <v>30125.73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42</v>
      </c>
      <c r="R2" s="2" t="s">
        <v>44</v>
      </c>
      <c r="S2" s="2" t="s">
        <v>45</v>
      </c>
    </row>
    <row r="3" ht="15" spans="1:19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3" t="s">
        <v>48</v>
      </c>
      <c r="I3" s="2" t="s">
        <v>49</v>
      </c>
      <c r="J3" s="2">
        <v>208244.38</v>
      </c>
      <c r="K3" s="2">
        <v>0</v>
      </c>
      <c r="L3" s="2">
        <v>208244.38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42</v>
      </c>
      <c r="R3" s="2" t="s">
        <v>44</v>
      </c>
      <c r="S3" s="2" t="s">
        <v>53</v>
      </c>
    </row>
    <row r="4" ht="15" spans="1:19">
      <c r="A4" s="2" t="s">
        <v>54</v>
      </c>
      <c r="B4" s="2" t="s">
        <v>28</v>
      </c>
      <c r="C4" s="2" t="s">
        <v>28</v>
      </c>
      <c r="D4" s="2" t="s">
        <v>55</v>
      </c>
      <c r="E4" s="2" t="s">
        <v>30</v>
      </c>
      <c r="F4" s="2" t="s">
        <v>31</v>
      </c>
      <c r="G4" s="2"/>
      <c r="H4" s="3" t="s">
        <v>56</v>
      </c>
      <c r="I4" s="2" t="s">
        <v>57</v>
      </c>
      <c r="J4" s="2">
        <v>395782.15</v>
      </c>
      <c r="K4" s="2">
        <v>0</v>
      </c>
      <c r="L4" s="2">
        <v>395782.15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42</v>
      </c>
      <c r="R4" s="2" t="s">
        <v>44</v>
      </c>
      <c r="S4" s="2" t="s">
        <v>62</v>
      </c>
    </row>
    <row r="5" ht="15" spans="1:19">
      <c r="A5" s="2" t="s">
        <v>63</v>
      </c>
      <c r="B5" s="2" t="s">
        <v>28</v>
      </c>
      <c r="C5" s="2" t="s">
        <v>28</v>
      </c>
      <c r="D5" s="2" t="s">
        <v>64</v>
      </c>
      <c r="E5" s="2" t="s">
        <v>30</v>
      </c>
      <c r="F5" s="2" t="s">
        <v>31</v>
      </c>
      <c r="G5" s="2"/>
      <c r="H5" s="3" t="s">
        <v>65</v>
      </c>
      <c r="I5" s="2" t="s">
        <v>66</v>
      </c>
      <c r="J5" s="2">
        <v>1468074.89</v>
      </c>
      <c r="K5" s="2">
        <v>0</v>
      </c>
      <c r="L5" s="2">
        <v>1468074.89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42</v>
      </c>
      <c r="R5" s="2" t="s">
        <v>44</v>
      </c>
      <c r="S5" s="2" t="s">
        <v>70</v>
      </c>
    </row>
    <row r="6" ht="15" spans="1:19">
      <c r="A6" s="2" t="s">
        <v>71</v>
      </c>
      <c r="B6" s="2" t="s">
        <v>28</v>
      </c>
      <c r="C6" s="2" t="s">
        <v>28</v>
      </c>
      <c r="D6" s="2" t="s">
        <v>72</v>
      </c>
      <c r="E6" s="2" t="s">
        <v>30</v>
      </c>
      <c r="F6" s="2" t="s">
        <v>31</v>
      </c>
      <c r="G6" s="2"/>
      <c r="H6" s="3" t="s">
        <v>73</v>
      </c>
      <c r="I6" s="2" t="s">
        <v>74</v>
      </c>
      <c r="J6" s="2">
        <v>845608.81</v>
      </c>
      <c r="K6" s="2">
        <v>0</v>
      </c>
      <c r="L6" s="2">
        <v>845608.81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42</v>
      </c>
      <c r="R6" s="2" t="s">
        <v>44</v>
      </c>
      <c r="S6" s="2" t="s">
        <v>78</v>
      </c>
    </row>
    <row r="7" ht="15" spans="1:19">
      <c r="A7" s="2" t="s">
        <v>79</v>
      </c>
      <c r="B7" s="2" t="s">
        <v>28</v>
      </c>
      <c r="C7" s="2" t="s">
        <v>28</v>
      </c>
      <c r="D7" s="2" t="s">
        <v>91</v>
      </c>
      <c r="E7" s="2" t="s">
        <v>30</v>
      </c>
      <c r="F7" s="2" t="s">
        <v>31</v>
      </c>
      <c r="G7" s="2"/>
      <c r="H7" s="3" t="s">
        <v>32</v>
      </c>
      <c r="I7" s="2" t="s">
        <v>92</v>
      </c>
      <c r="J7" s="2">
        <v>159625.45</v>
      </c>
      <c r="K7" s="2">
        <v>0</v>
      </c>
      <c r="L7" s="2">
        <v>159625.45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42</v>
      </c>
      <c r="R7" s="2" t="s">
        <v>44</v>
      </c>
      <c r="S7" s="2" t="s">
        <v>95</v>
      </c>
    </row>
    <row r="8" ht="15" spans="1:19">
      <c r="A8" s="2" t="s">
        <v>82</v>
      </c>
      <c r="B8" s="2" t="s">
        <v>28</v>
      </c>
      <c r="C8" s="2" t="s">
        <v>28</v>
      </c>
      <c r="D8" s="2" t="s">
        <v>97</v>
      </c>
      <c r="E8" s="2" t="s">
        <v>30</v>
      </c>
      <c r="F8" s="2" t="s">
        <v>31</v>
      </c>
      <c r="G8" s="2"/>
      <c r="H8" s="3" t="s">
        <v>98</v>
      </c>
      <c r="I8" s="2" t="s">
        <v>99</v>
      </c>
      <c r="J8" s="2">
        <v>577819.88</v>
      </c>
      <c r="K8" s="2">
        <v>0</v>
      </c>
      <c r="L8" s="2">
        <v>577819.88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42</v>
      </c>
      <c r="R8" s="2" t="s">
        <v>44</v>
      </c>
      <c r="S8" s="2" t="s">
        <v>102</v>
      </c>
    </row>
    <row r="9" ht="15" spans="1:19">
      <c r="A9" s="2" t="s">
        <v>86</v>
      </c>
      <c r="B9" s="2" t="s">
        <v>28</v>
      </c>
      <c r="C9" s="2" t="s">
        <v>28</v>
      </c>
      <c r="D9" s="2" t="s">
        <v>108</v>
      </c>
      <c r="E9" s="2" t="s">
        <v>30</v>
      </c>
      <c r="F9" s="2" t="s">
        <v>31</v>
      </c>
      <c r="G9" s="2"/>
      <c r="H9" s="3" t="s">
        <v>109</v>
      </c>
      <c r="I9" s="2" t="s">
        <v>110</v>
      </c>
      <c r="J9" s="2">
        <v>349251.07</v>
      </c>
      <c r="K9" s="2">
        <v>0</v>
      </c>
      <c r="L9" s="2">
        <v>349251.07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42</v>
      </c>
      <c r="R9" s="2" t="s">
        <v>44</v>
      </c>
      <c r="S9" s="2" t="s">
        <v>113</v>
      </c>
    </row>
    <row r="10" ht="15" spans="1:19">
      <c r="A10" s="2" t="s">
        <v>90</v>
      </c>
      <c r="B10" s="2" t="s">
        <v>28</v>
      </c>
      <c r="C10" s="2" t="s">
        <v>28</v>
      </c>
      <c r="D10" s="2" t="s">
        <v>115</v>
      </c>
      <c r="E10" s="2" t="s">
        <v>30</v>
      </c>
      <c r="F10" s="2" t="s">
        <v>31</v>
      </c>
      <c r="G10" s="2"/>
      <c r="H10" s="3" t="s">
        <v>116</v>
      </c>
      <c r="I10" s="2" t="s">
        <v>117</v>
      </c>
      <c r="J10" s="2">
        <v>338457.04</v>
      </c>
      <c r="K10" s="2">
        <v>0</v>
      </c>
      <c r="L10" s="2">
        <v>338457.04</v>
      </c>
      <c r="M10" s="2" t="s">
        <v>40</v>
      </c>
      <c r="N10" s="2" t="s">
        <v>41</v>
      </c>
      <c r="O10" s="2" t="s">
        <v>42</v>
      </c>
      <c r="P10" s="2" t="s">
        <v>43</v>
      </c>
      <c r="Q10" s="2" t="s">
        <v>42</v>
      </c>
      <c r="R10" s="2" t="s">
        <v>44</v>
      </c>
      <c r="S10" s="2" t="s">
        <v>120</v>
      </c>
    </row>
    <row r="11" ht="15" spans="1:19">
      <c r="A11" s="2" t="s">
        <v>96</v>
      </c>
      <c r="B11" s="2" t="s">
        <v>28</v>
      </c>
      <c r="C11" s="2" t="s">
        <v>28</v>
      </c>
      <c r="D11" s="2" t="s">
        <v>122</v>
      </c>
      <c r="E11" s="2" t="s">
        <v>30</v>
      </c>
      <c r="F11" s="2" t="s">
        <v>31</v>
      </c>
      <c r="G11" s="2"/>
      <c r="H11" s="3" t="s">
        <v>123</v>
      </c>
      <c r="I11" s="2" t="s">
        <v>124</v>
      </c>
      <c r="J11" s="2">
        <v>199.45</v>
      </c>
      <c r="K11" s="2">
        <v>0</v>
      </c>
      <c r="L11" s="2">
        <v>199.45</v>
      </c>
      <c r="M11" s="2" t="s">
        <v>40</v>
      </c>
      <c r="N11" s="2" t="s">
        <v>41</v>
      </c>
      <c r="O11" s="2" t="s">
        <v>42</v>
      </c>
      <c r="P11" s="2" t="s">
        <v>43</v>
      </c>
      <c r="Q11" s="2" t="s">
        <v>42</v>
      </c>
      <c r="R11" s="2" t="s">
        <v>44</v>
      </c>
      <c r="S11" s="2" t="s">
        <v>126</v>
      </c>
    </row>
    <row r="12" ht="15" spans="1:19">
      <c r="A12" s="2" t="s">
        <v>103</v>
      </c>
      <c r="B12" s="2" t="s">
        <v>28</v>
      </c>
      <c r="C12" s="2" t="s">
        <v>28</v>
      </c>
      <c r="D12" s="2" t="s">
        <v>141</v>
      </c>
      <c r="E12" s="2" t="s">
        <v>30</v>
      </c>
      <c r="F12" s="2" t="s">
        <v>31</v>
      </c>
      <c r="G12" s="2" t="s">
        <v>142</v>
      </c>
      <c r="H12" s="3" t="s">
        <v>143</v>
      </c>
      <c r="I12" s="2" t="s">
        <v>144</v>
      </c>
      <c r="J12" s="2">
        <v>1463723.01</v>
      </c>
      <c r="K12" s="2">
        <v>190283.99</v>
      </c>
      <c r="L12" s="2">
        <v>1654007</v>
      </c>
      <c r="M12" s="2" t="s">
        <v>40</v>
      </c>
      <c r="N12" s="2" t="s">
        <v>148</v>
      </c>
      <c r="O12" s="2" t="s">
        <v>42</v>
      </c>
      <c r="P12" s="2" t="s">
        <v>43</v>
      </c>
      <c r="Q12" s="2" t="s">
        <v>42</v>
      </c>
      <c r="R12" s="2" t="s">
        <v>44</v>
      </c>
      <c r="S12" s="2"/>
    </row>
    <row r="13" ht="15" spans="1:19">
      <c r="A13" s="2" t="s">
        <v>107</v>
      </c>
      <c r="B13" s="2" t="s">
        <v>28</v>
      </c>
      <c r="C13" s="2" t="s">
        <v>28</v>
      </c>
      <c r="D13" s="2" t="s">
        <v>153</v>
      </c>
      <c r="E13" s="2" t="s">
        <v>30</v>
      </c>
      <c r="F13" s="2" t="s">
        <v>31</v>
      </c>
      <c r="G13" s="2"/>
      <c r="H13" s="3" t="s">
        <v>154</v>
      </c>
      <c r="I13" s="2" t="s">
        <v>155</v>
      </c>
      <c r="J13" s="2">
        <v>420353.96</v>
      </c>
      <c r="K13" s="2">
        <v>0</v>
      </c>
      <c r="L13" s="2">
        <v>420353.96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42</v>
      </c>
      <c r="R13" s="2" t="s">
        <v>44</v>
      </c>
      <c r="S13" s="2" t="s">
        <v>158</v>
      </c>
    </row>
    <row r="14" ht="15" spans="1:19">
      <c r="A14" s="2" t="s">
        <v>114</v>
      </c>
      <c r="B14" s="2" t="s">
        <v>28</v>
      </c>
      <c r="C14" s="2" t="s">
        <v>28</v>
      </c>
      <c r="D14" s="2" t="s">
        <v>160</v>
      </c>
      <c r="E14" s="2" t="s">
        <v>30</v>
      </c>
      <c r="F14" s="2" t="s">
        <v>31</v>
      </c>
      <c r="G14" s="2"/>
      <c r="H14" s="3" t="s">
        <v>161</v>
      </c>
      <c r="I14" s="2" t="s">
        <v>162</v>
      </c>
      <c r="J14" s="2">
        <v>86380.98</v>
      </c>
      <c r="K14" s="2">
        <v>0</v>
      </c>
      <c r="L14" s="2">
        <v>86380.98</v>
      </c>
      <c r="M14" s="2" t="s">
        <v>40</v>
      </c>
      <c r="N14" s="2" t="s">
        <v>41</v>
      </c>
      <c r="O14" s="2" t="s">
        <v>42</v>
      </c>
      <c r="P14" s="2" t="s">
        <v>43</v>
      </c>
      <c r="Q14" s="2" t="s">
        <v>42</v>
      </c>
      <c r="R14" s="2" t="s">
        <v>44</v>
      </c>
      <c r="S14" s="2" t="s">
        <v>165</v>
      </c>
    </row>
    <row r="15" ht="15" spans="1:19">
      <c r="A15" s="2" t="s">
        <v>121</v>
      </c>
      <c r="B15" s="2" t="s">
        <v>28</v>
      </c>
      <c r="C15" s="2" t="s">
        <v>28</v>
      </c>
      <c r="D15" s="2" t="s">
        <v>167</v>
      </c>
      <c r="E15" s="2" t="s">
        <v>30</v>
      </c>
      <c r="F15" s="2" t="s">
        <v>31</v>
      </c>
      <c r="G15" s="2"/>
      <c r="H15" s="3" t="s">
        <v>168</v>
      </c>
      <c r="I15" s="2" t="s">
        <v>169</v>
      </c>
      <c r="J15" s="2">
        <v>51738.19</v>
      </c>
      <c r="K15" s="2">
        <v>0</v>
      </c>
      <c r="L15" s="2">
        <v>51738.19</v>
      </c>
      <c r="M15" s="2" t="s">
        <v>40</v>
      </c>
      <c r="N15" s="2" t="s">
        <v>41</v>
      </c>
      <c r="O15" s="2" t="s">
        <v>42</v>
      </c>
      <c r="P15" s="2" t="s">
        <v>43</v>
      </c>
      <c r="Q15" s="2" t="s">
        <v>42</v>
      </c>
      <c r="R15" s="2" t="s">
        <v>44</v>
      </c>
      <c r="S15" s="2" t="s">
        <v>172</v>
      </c>
    </row>
    <row r="16" ht="15" spans="1:19">
      <c r="A16" s="2" t="s">
        <v>127</v>
      </c>
      <c r="B16" s="2" t="s">
        <v>28</v>
      </c>
      <c r="C16" s="2" t="s">
        <v>28</v>
      </c>
      <c r="D16" s="2" t="s">
        <v>174</v>
      </c>
      <c r="E16" s="2" t="s">
        <v>30</v>
      </c>
      <c r="F16" s="2" t="s">
        <v>31</v>
      </c>
      <c r="G16" s="2"/>
      <c r="H16" s="3" t="s">
        <v>175</v>
      </c>
      <c r="I16" s="2" t="s">
        <v>176</v>
      </c>
      <c r="J16" s="2">
        <v>358639.19</v>
      </c>
      <c r="K16" s="2">
        <v>0</v>
      </c>
      <c r="L16" s="2">
        <v>358639.19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42</v>
      </c>
      <c r="R16" s="2" t="s">
        <v>44</v>
      </c>
      <c r="S16" s="2" t="s">
        <v>180</v>
      </c>
    </row>
    <row r="17" ht="15" spans="1:19">
      <c r="A17" s="2" t="s">
        <v>129</v>
      </c>
      <c r="B17" s="2" t="s">
        <v>28</v>
      </c>
      <c r="C17" s="2" t="s">
        <v>28</v>
      </c>
      <c r="D17" s="2" t="s">
        <v>185</v>
      </c>
      <c r="E17" s="2" t="s">
        <v>30</v>
      </c>
      <c r="F17" s="2" t="s">
        <v>31</v>
      </c>
      <c r="G17" s="2"/>
      <c r="H17" s="3" t="s">
        <v>186</v>
      </c>
      <c r="I17" s="2" t="s">
        <v>187</v>
      </c>
      <c r="J17" s="2">
        <v>43764.45</v>
      </c>
      <c r="K17" s="2">
        <v>0</v>
      </c>
      <c r="L17" s="2">
        <v>43764.45</v>
      </c>
      <c r="M17" s="2" t="s">
        <v>40</v>
      </c>
      <c r="N17" s="2" t="s">
        <v>41</v>
      </c>
      <c r="O17" s="2" t="s">
        <v>42</v>
      </c>
      <c r="P17" s="2" t="s">
        <v>43</v>
      </c>
      <c r="Q17" s="2" t="s">
        <v>42</v>
      </c>
      <c r="R17" s="2" t="s">
        <v>44</v>
      </c>
      <c r="S17" s="2" t="s">
        <v>190</v>
      </c>
    </row>
    <row r="18" ht="15" spans="1:19">
      <c r="A18" s="2" t="s">
        <v>131</v>
      </c>
      <c r="B18" s="2" t="s">
        <v>28</v>
      </c>
      <c r="C18" s="2" t="s">
        <v>28</v>
      </c>
      <c r="D18" s="2" t="s">
        <v>194</v>
      </c>
      <c r="E18" s="2" t="s">
        <v>30</v>
      </c>
      <c r="F18" s="2" t="s">
        <v>31</v>
      </c>
      <c r="G18" s="2"/>
      <c r="H18" s="3" t="s">
        <v>32</v>
      </c>
      <c r="I18" s="2" t="s">
        <v>195</v>
      </c>
      <c r="J18" s="2">
        <v>65539.06</v>
      </c>
      <c r="K18" s="2">
        <v>0</v>
      </c>
      <c r="L18" s="2">
        <v>65539.06</v>
      </c>
      <c r="M18" s="2" t="s">
        <v>40</v>
      </c>
      <c r="N18" s="2" t="s">
        <v>41</v>
      </c>
      <c r="O18" s="2" t="s">
        <v>42</v>
      </c>
      <c r="P18" s="2" t="s">
        <v>43</v>
      </c>
      <c r="Q18" s="2" t="s">
        <v>42</v>
      </c>
      <c r="R18" s="2" t="s">
        <v>44</v>
      </c>
      <c r="S18" s="2" t="s">
        <v>198</v>
      </c>
    </row>
    <row r="19" ht="15" spans="1:19">
      <c r="A19" s="2" t="s">
        <v>133</v>
      </c>
      <c r="B19" s="2" t="s">
        <v>28</v>
      </c>
      <c r="C19" s="2" t="s">
        <v>28</v>
      </c>
      <c r="D19" s="2" t="s">
        <v>200</v>
      </c>
      <c r="E19" s="2" t="s">
        <v>30</v>
      </c>
      <c r="F19" s="2" t="s">
        <v>31</v>
      </c>
      <c r="G19" s="2"/>
      <c r="H19" s="3" t="s">
        <v>201</v>
      </c>
      <c r="I19" s="2" t="s">
        <v>202</v>
      </c>
      <c r="J19" s="2">
        <v>469911.81</v>
      </c>
      <c r="K19" s="2">
        <v>0</v>
      </c>
      <c r="L19" s="2">
        <v>469911.81</v>
      </c>
      <c r="M19" s="2" t="s">
        <v>40</v>
      </c>
      <c r="N19" s="2" t="s">
        <v>41</v>
      </c>
      <c r="O19" s="2" t="s">
        <v>42</v>
      </c>
      <c r="P19" s="2" t="s">
        <v>43</v>
      </c>
      <c r="Q19" s="2" t="s">
        <v>42</v>
      </c>
      <c r="R19" s="2" t="s">
        <v>44</v>
      </c>
      <c r="S19" s="2" t="s">
        <v>205</v>
      </c>
    </row>
    <row r="20" ht="15" spans="1:19">
      <c r="A20" s="2" t="s">
        <v>135</v>
      </c>
      <c r="B20" s="2" t="s">
        <v>28</v>
      </c>
      <c r="C20" s="2" t="s">
        <v>28</v>
      </c>
      <c r="D20" s="2" t="s">
        <v>213</v>
      </c>
      <c r="E20" s="2" t="s">
        <v>30</v>
      </c>
      <c r="F20" s="2" t="s">
        <v>31</v>
      </c>
      <c r="G20" s="2"/>
      <c r="H20" s="3" t="s">
        <v>214</v>
      </c>
      <c r="I20" s="2" t="s">
        <v>215</v>
      </c>
      <c r="J20" s="2">
        <v>212591.91</v>
      </c>
      <c r="K20" s="2">
        <v>0</v>
      </c>
      <c r="L20" s="2">
        <v>212591.91</v>
      </c>
      <c r="M20" s="2" t="s">
        <v>40</v>
      </c>
      <c r="N20" s="2" t="s">
        <v>41</v>
      </c>
      <c r="O20" s="2" t="s">
        <v>42</v>
      </c>
      <c r="P20" s="2" t="s">
        <v>43</v>
      </c>
      <c r="Q20" s="2" t="s">
        <v>42</v>
      </c>
      <c r="R20" s="2" t="s">
        <v>44</v>
      </c>
      <c r="S20" s="2" t="s">
        <v>218</v>
      </c>
    </row>
    <row r="21" ht="15" spans="1:19">
      <c r="A21" s="2" t="s">
        <v>137</v>
      </c>
      <c r="B21" s="2" t="s">
        <v>28</v>
      </c>
      <c r="C21" s="2" t="s">
        <v>28</v>
      </c>
      <c r="D21" s="2" t="s">
        <v>223</v>
      </c>
      <c r="E21" s="2" t="s">
        <v>30</v>
      </c>
      <c r="F21" s="2" t="s">
        <v>31</v>
      </c>
      <c r="G21" s="2"/>
      <c r="H21" s="3" t="s">
        <v>109</v>
      </c>
      <c r="I21" s="2" t="s">
        <v>224</v>
      </c>
      <c r="J21" s="2">
        <v>335801.04</v>
      </c>
      <c r="K21" s="2">
        <v>0</v>
      </c>
      <c r="L21" s="2">
        <v>335801.04</v>
      </c>
      <c r="M21" s="2" t="s">
        <v>40</v>
      </c>
      <c r="N21" s="2" t="s">
        <v>41</v>
      </c>
      <c r="O21" s="2" t="s">
        <v>42</v>
      </c>
      <c r="P21" s="2" t="s">
        <v>43</v>
      </c>
      <c r="Q21" s="2" t="s">
        <v>42</v>
      </c>
      <c r="R21" s="2" t="s">
        <v>44</v>
      </c>
      <c r="S21" s="2" t="s">
        <v>227</v>
      </c>
    </row>
    <row r="22" ht="15" spans="1:19">
      <c r="A22" s="2" t="s">
        <v>138</v>
      </c>
      <c r="B22" s="2" t="s">
        <v>28</v>
      </c>
      <c r="C22" s="2" t="s">
        <v>28</v>
      </c>
      <c r="D22" s="2" t="s">
        <v>229</v>
      </c>
      <c r="E22" s="2" t="s">
        <v>30</v>
      </c>
      <c r="F22" s="2" t="s">
        <v>31</v>
      </c>
      <c r="G22" s="2"/>
      <c r="H22" s="3" t="s">
        <v>230</v>
      </c>
      <c r="I22" s="2" t="s">
        <v>231</v>
      </c>
      <c r="J22" s="2">
        <v>66335.43</v>
      </c>
      <c r="K22" s="2">
        <v>0</v>
      </c>
      <c r="L22" s="2">
        <v>66335.43</v>
      </c>
      <c r="M22" s="2" t="s">
        <v>40</v>
      </c>
      <c r="N22" s="2" t="s">
        <v>41</v>
      </c>
      <c r="O22" s="2" t="s">
        <v>42</v>
      </c>
      <c r="P22" s="2" t="s">
        <v>43</v>
      </c>
      <c r="Q22" s="2" t="s">
        <v>42</v>
      </c>
      <c r="R22" s="2" t="s">
        <v>44</v>
      </c>
      <c r="S22" s="2" t="s">
        <v>234</v>
      </c>
    </row>
    <row r="23" ht="15" spans="1:19">
      <c r="A23" s="2" t="s">
        <v>140</v>
      </c>
      <c r="B23" s="2" t="s">
        <v>28</v>
      </c>
      <c r="C23" s="2" t="s">
        <v>28</v>
      </c>
      <c r="D23" s="2" t="s">
        <v>236</v>
      </c>
      <c r="E23" s="2" t="s">
        <v>30</v>
      </c>
      <c r="F23" s="2" t="s">
        <v>31</v>
      </c>
      <c r="G23" s="2"/>
      <c r="H23" s="3" t="s">
        <v>237</v>
      </c>
      <c r="I23" s="2" t="s">
        <v>238</v>
      </c>
      <c r="J23" s="2">
        <v>80713.13</v>
      </c>
      <c r="K23" s="2">
        <v>0</v>
      </c>
      <c r="L23" s="2">
        <v>80713.13</v>
      </c>
      <c r="M23" s="2" t="s">
        <v>40</v>
      </c>
      <c r="N23" s="2" t="s">
        <v>41</v>
      </c>
      <c r="O23" s="2" t="s">
        <v>42</v>
      </c>
      <c r="P23" s="2" t="s">
        <v>43</v>
      </c>
      <c r="Q23" s="2" t="s">
        <v>42</v>
      </c>
      <c r="R23" s="2" t="s">
        <v>44</v>
      </c>
      <c r="S23" s="2" t="s">
        <v>241</v>
      </c>
    </row>
    <row r="24" ht="15" spans="1:19">
      <c r="A24" s="2" t="s">
        <v>149</v>
      </c>
      <c r="B24" s="2" t="s">
        <v>28</v>
      </c>
      <c r="C24" s="2" t="s">
        <v>28</v>
      </c>
      <c r="D24" s="2" t="s">
        <v>243</v>
      </c>
      <c r="E24" s="2" t="s">
        <v>30</v>
      </c>
      <c r="F24" s="2" t="s">
        <v>31</v>
      </c>
      <c r="G24" s="2"/>
      <c r="H24" s="3" t="s">
        <v>244</v>
      </c>
      <c r="I24" s="2" t="s">
        <v>245</v>
      </c>
      <c r="J24" s="2">
        <v>1933230.58</v>
      </c>
      <c r="K24" s="2">
        <v>0</v>
      </c>
      <c r="L24" s="2">
        <v>1933230.58</v>
      </c>
      <c r="M24" s="2" t="s">
        <v>40</v>
      </c>
      <c r="N24" s="2" t="s">
        <v>41</v>
      </c>
      <c r="O24" s="2" t="s">
        <v>42</v>
      </c>
      <c r="P24" s="2" t="s">
        <v>43</v>
      </c>
      <c r="Q24" s="2" t="s">
        <v>42</v>
      </c>
      <c r="R24" s="2" t="s">
        <v>44</v>
      </c>
      <c r="S24" s="2" t="s">
        <v>248</v>
      </c>
    </row>
    <row r="25" ht="15" spans="1:19">
      <c r="A25" s="2" t="s">
        <v>152</v>
      </c>
      <c r="B25" s="2" t="s">
        <v>28</v>
      </c>
      <c r="C25" s="2" t="s">
        <v>28</v>
      </c>
      <c r="D25" s="2" t="s">
        <v>250</v>
      </c>
      <c r="E25" s="2" t="s">
        <v>30</v>
      </c>
      <c r="F25" s="2" t="s">
        <v>31</v>
      </c>
      <c r="G25" s="2"/>
      <c r="H25" s="3" t="s">
        <v>251</v>
      </c>
      <c r="I25" s="2" t="s">
        <v>252</v>
      </c>
      <c r="J25" s="2">
        <v>167611.06</v>
      </c>
      <c r="K25" s="2">
        <v>0</v>
      </c>
      <c r="L25" s="2">
        <v>167611.06</v>
      </c>
      <c r="M25" s="2" t="s">
        <v>40</v>
      </c>
      <c r="N25" s="2" t="s">
        <v>41</v>
      </c>
      <c r="O25" s="2" t="s">
        <v>42</v>
      </c>
      <c r="P25" s="2" t="s">
        <v>43</v>
      </c>
      <c r="Q25" s="2" t="s">
        <v>42</v>
      </c>
      <c r="R25" s="2" t="s">
        <v>44</v>
      </c>
      <c r="S25" s="2" t="s">
        <v>256</v>
      </c>
    </row>
    <row r="26" ht="15" spans="1:19">
      <c r="A26" s="2" t="s">
        <v>159</v>
      </c>
      <c r="B26" s="2" t="s">
        <v>28</v>
      </c>
      <c r="C26" s="2" t="s">
        <v>28</v>
      </c>
      <c r="D26" s="2" t="s">
        <v>258</v>
      </c>
      <c r="E26" s="2" t="s">
        <v>30</v>
      </c>
      <c r="F26" s="2" t="s">
        <v>31</v>
      </c>
      <c r="G26" s="2" t="s">
        <v>259</v>
      </c>
      <c r="H26" s="2" t="s">
        <v>260</v>
      </c>
      <c r="I26" s="2" t="s">
        <v>261</v>
      </c>
      <c r="J26" s="2">
        <v>-205878.75</v>
      </c>
      <c r="K26" s="2">
        <v>-26764.25</v>
      </c>
      <c r="L26" s="2">
        <v>-232643</v>
      </c>
      <c r="M26" s="2" t="s">
        <v>40</v>
      </c>
      <c r="N26" s="2" t="s">
        <v>148</v>
      </c>
      <c r="O26" s="2" t="s">
        <v>42</v>
      </c>
      <c r="P26" s="2" t="s">
        <v>266</v>
      </c>
      <c r="Q26" s="2" t="s">
        <v>42</v>
      </c>
      <c r="R26" s="2" t="s">
        <v>44</v>
      </c>
      <c r="S26" s="2" t="s">
        <v>267</v>
      </c>
    </row>
    <row r="27" ht="15" spans="1:19">
      <c r="A27" s="2" t="s">
        <v>166</v>
      </c>
      <c r="B27" s="2" t="s">
        <v>28</v>
      </c>
      <c r="C27" s="2" t="s">
        <v>28</v>
      </c>
      <c r="D27" s="2" t="s">
        <v>284</v>
      </c>
      <c r="E27" s="2" t="s">
        <v>30</v>
      </c>
      <c r="F27" s="2" t="s">
        <v>31</v>
      </c>
      <c r="G27" s="2" t="s">
        <v>259</v>
      </c>
      <c r="H27" s="2" t="s">
        <v>260</v>
      </c>
      <c r="I27" s="2" t="s">
        <v>285</v>
      </c>
      <c r="J27" s="2">
        <v>205878.76</v>
      </c>
      <c r="K27" s="2">
        <v>26764.24</v>
      </c>
      <c r="L27" s="2">
        <v>232643</v>
      </c>
      <c r="M27" s="2" t="s">
        <v>40</v>
      </c>
      <c r="N27" s="2" t="s">
        <v>148</v>
      </c>
      <c r="O27" s="2" t="s">
        <v>42</v>
      </c>
      <c r="P27" s="2" t="s">
        <v>43</v>
      </c>
      <c r="Q27" s="2" t="s">
        <v>42</v>
      </c>
      <c r="R27" s="2" t="s">
        <v>44</v>
      </c>
      <c r="S27" s="2"/>
    </row>
    <row r="28" ht="15" spans="1:19">
      <c r="A28" s="2" t="s">
        <v>173</v>
      </c>
      <c r="B28" s="2" t="s">
        <v>28</v>
      </c>
      <c r="C28" s="2" t="s">
        <v>28</v>
      </c>
      <c r="D28" s="2" t="s">
        <v>294</v>
      </c>
      <c r="E28" s="2" t="s">
        <v>30</v>
      </c>
      <c r="F28" s="2" t="s">
        <v>31</v>
      </c>
      <c r="G28" s="2" t="s">
        <v>259</v>
      </c>
      <c r="H28" s="2" t="s">
        <v>260</v>
      </c>
      <c r="I28" s="2" t="s">
        <v>295</v>
      </c>
      <c r="J28" s="2">
        <v>-205524.77</v>
      </c>
      <c r="K28" s="2">
        <v>-26718.23</v>
      </c>
      <c r="L28" s="2">
        <v>-232243</v>
      </c>
      <c r="M28" s="2" t="s">
        <v>40</v>
      </c>
      <c r="N28" s="2" t="s">
        <v>148</v>
      </c>
      <c r="O28" s="2" t="s">
        <v>42</v>
      </c>
      <c r="P28" s="2" t="s">
        <v>266</v>
      </c>
      <c r="Q28" s="2" t="s">
        <v>42</v>
      </c>
      <c r="R28" s="2" t="s">
        <v>44</v>
      </c>
      <c r="S28" s="2" t="s">
        <v>296</v>
      </c>
    </row>
    <row r="29" ht="15" spans="1:19">
      <c r="A29" s="2" t="s">
        <v>181</v>
      </c>
      <c r="B29" s="2" t="s">
        <v>28</v>
      </c>
      <c r="C29" s="2" t="s">
        <v>28</v>
      </c>
      <c r="D29" s="2" t="s">
        <v>303</v>
      </c>
      <c r="E29" s="2" t="s">
        <v>30</v>
      </c>
      <c r="F29" s="2" t="s">
        <v>31</v>
      </c>
      <c r="G29" s="2" t="s">
        <v>259</v>
      </c>
      <c r="H29" s="2" t="s">
        <v>260</v>
      </c>
      <c r="I29" s="2" t="s">
        <v>304</v>
      </c>
      <c r="J29" s="2">
        <v>205878.75</v>
      </c>
      <c r="K29" s="2">
        <v>26764.25</v>
      </c>
      <c r="L29" s="2">
        <v>232643</v>
      </c>
      <c r="M29" s="2" t="s">
        <v>40</v>
      </c>
      <c r="N29" s="2" t="s">
        <v>148</v>
      </c>
      <c r="O29" s="2" t="s">
        <v>305</v>
      </c>
      <c r="P29" s="2" t="s">
        <v>43</v>
      </c>
      <c r="Q29" s="2" t="s">
        <v>42</v>
      </c>
      <c r="R29" s="2" t="s">
        <v>44</v>
      </c>
      <c r="S29" s="2"/>
    </row>
    <row r="30" ht="15" spans="1:19">
      <c r="A30" s="2" t="s">
        <v>184</v>
      </c>
      <c r="B30" s="2" t="s">
        <v>28</v>
      </c>
      <c r="C30" s="2" t="s">
        <v>28</v>
      </c>
      <c r="D30" s="2" t="s">
        <v>312</v>
      </c>
      <c r="E30" s="2" t="s">
        <v>30</v>
      </c>
      <c r="F30" s="2" t="s">
        <v>31</v>
      </c>
      <c r="G30" s="2" t="s">
        <v>313</v>
      </c>
      <c r="H30" s="3" t="s">
        <v>314</v>
      </c>
      <c r="I30" s="2" t="s">
        <v>315</v>
      </c>
      <c r="J30" s="2">
        <v>10230.8</v>
      </c>
      <c r="K30" s="2">
        <v>1330</v>
      </c>
      <c r="L30" s="2">
        <v>11560.8</v>
      </c>
      <c r="M30" s="2" t="s">
        <v>40</v>
      </c>
      <c r="N30" s="2" t="s">
        <v>148</v>
      </c>
      <c r="O30" s="2" t="s">
        <v>42</v>
      </c>
      <c r="P30" s="2" t="s">
        <v>43</v>
      </c>
      <c r="Q30" s="2" t="s">
        <v>42</v>
      </c>
      <c r="R30" s="2" t="s">
        <v>44</v>
      </c>
      <c r="S30" s="2"/>
    </row>
    <row r="31" ht="15" spans="1:19">
      <c r="A31" s="2" t="s">
        <v>191</v>
      </c>
      <c r="B31" s="2" t="s">
        <v>28</v>
      </c>
      <c r="C31" s="2" t="s">
        <v>28</v>
      </c>
      <c r="D31" s="2" t="s">
        <v>322</v>
      </c>
      <c r="E31" s="2" t="s">
        <v>30</v>
      </c>
      <c r="F31" s="2" t="s">
        <v>31</v>
      </c>
      <c r="G31" s="2" t="s">
        <v>259</v>
      </c>
      <c r="H31" s="2" t="s">
        <v>260</v>
      </c>
      <c r="I31" s="2" t="s">
        <v>323</v>
      </c>
      <c r="J31" s="2">
        <v>205524.77</v>
      </c>
      <c r="K31" s="2">
        <v>26718.23</v>
      </c>
      <c r="L31" s="2">
        <v>232243</v>
      </c>
      <c r="M31" s="2" t="s">
        <v>40</v>
      </c>
      <c r="N31" s="2" t="s">
        <v>148</v>
      </c>
      <c r="O31" s="2" t="s">
        <v>305</v>
      </c>
      <c r="P31" s="2" t="s">
        <v>43</v>
      </c>
      <c r="Q31" s="2" t="s">
        <v>42</v>
      </c>
      <c r="R31" s="2" t="s">
        <v>44</v>
      </c>
      <c r="S31" s="2"/>
    </row>
    <row r="32" ht="15" spans="1:19">
      <c r="A32" s="2" t="s">
        <v>329</v>
      </c>
      <c r="B32" s="2"/>
      <c r="C32" s="2"/>
      <c r="D32" s="2"/>
      <c r="E32" s="2"/>
      <c r="F32" s="2"/>
      <c r="G32" s="2"/>
      <c r="H32" s="2"/>
      <c r="I32" s="2"/>
      <c r="J32" s="2">
        <v>10345632.21</v>
      </c>
      <c r="K32" s="2">
        <v>218378.23</v>
      </c>
      <c r="L32" s="2"/>
      <c r="M32" s="2"/>
      <c r="N32" s="2"/>
      <c r="O32" s="2"/>
      <c r="P32" s="2"/>
      <c r="Q32" s="2"/>
      <c r="R32" s="2"/>
      <c r="S32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2025-03-31T11:00:00Z</dcterms:created>
  <dcterms:modified xsi:type="dcterms:W3CDTF">2025-09-02T09:27:05Z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7960D557924D4F84AFA124B0F5D682C5_12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