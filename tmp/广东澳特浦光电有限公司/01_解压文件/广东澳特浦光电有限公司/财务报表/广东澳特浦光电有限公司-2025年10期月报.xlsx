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500"/>
  </bookViews>
  <sheets>
    <sheet name="资产负债表" sheetId="1" r:id="rId1"/>
    <sheet name="利润表" sheetId="2" r:id="rId2"/>
    <sheet name="现金流量表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<sst xmlns="http://schemas.openxmlformats.org/spreadsheetml/2006/main" count="208" uniqueCount="195">
  <si>
    <t>资产负债表</t>
  </si>
  <si>
    <t>2025年10月31日</t>
  </si>
  <si>
    <t>会企01表</t>
  </si>
  <si>
    <t xml:space="preserve">编制单位：广东澳特浦光电有限公司 </t>
  </si>
  <si>
    <t>单位：元</t>
  </si>
  <si>
    <t>资产</t>
  </si>
  <si>
    <t>期末余额</t>
  </si>
  <si>
    <t>上年年末余额</t>
  </si>
  <si>
    <t>负债和所有者权益（或股东权益）</t>
  </si>
  <si>
    <t>流动资产:</t>
  </si>
  <si>
    <t>流动负债: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</si>
  <si>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</si>
  <si>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</si>
  <si>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</si>
  <si>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</si>
  <si>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衍生金融资产</t>
  </si>
  <si>
    <t xml:space="preserve">    衍生金融负债</t>
  </si>
  <si>
    <t xml:space="preserve">    应收票据</t>
  </si>
  <si>
    <t xml:space="preserve">    应付票据</t>
  </si>
  <si>
    <t xml:space="preserve">    应收账款</t>
  </si>
  <si>
    <t xml:space="preserve">    应付账款</t>
  </si>
  <si>
    <t xml:space="preserve">    应收账款融资</t>
  </si>
  <si>
    <t xml:space="preserve">    预收款项</t>
  </si>
  <si>
    <t xml:space="preserve">    预付款项</t>
  </si>
  <si>
    <t xml:space="preserve">    合同负债</t>
  </si>
  <si>
    <t xml:space="preserve">    其他应收款</t>
  </si>
  <si>
    <t xml:space="preserve">    应付职工薪酬</t>
  </si>
  <si>
    <t xml:space="preserve">    存货</t>
  </si>
  <si>
    <t xml:space="preserve">    应交税费</t>
  </si>
  <si>
    <t>　　　其中：原材料</t>
  </si>
  <si>
    <t xml:space="preserve">    其他应付款</t>
  </si>
  <si>
    <t>　　　　　　在产品</t>
  </si>
  <si>
    <t>　　应付股利</t>
  </si>
  <si>
    <t>　　　　　　半成品</t>
  </si>
  <si>
    <t xml:space="preserve">    一年内到期的非流动负债</t>
  </si>
  <si>
    <t>　　　　　　库存商品</t>
  </si>
  <si>
    <t xml:space="preserve">    其他流动负债</t>
  </si>
  <si>
    <t>　　　　　　周转材料</t>
  </si>
  <si>
    <t xml:space="preserve">        流动负债合计</t>
  </si>
  <si>
    <t xml:space="preserve">    合同资产</t>
  </si>
  <si>
    <t>非流动负债:</t>
  </si>
  <si>
    <t xml:space="preserve">    持有待售资产</t>
  </si>
  <si>
    <t xml:space="preserve">    长期借款</t>
  </si>
  <si>
    <t xml:space="preserve">    一年内到期的非流动资产</t>
  </si>
  <si>
    <t xml:space="preserve">    应付债券</t>
  </si>
  <si>
    <t xml:space="preserve">    其他流动资产</t>
  </si>
  <si>
    <t xml:space="preserve">    其中：优先股</t>
  </si>
  <si>
    <t xml:space="preserve">        流动资产合计</t>
  </si>
  <si>
    <t xml:space="preserve">          永续债</t>
  </si>
  <si>
    <t>非流动资产:</t>
  </si>
  <si>
    <t xml:space="preserve">    租赁负债</t>
  </si>
  <si>
    <t xml:space="preserve">    债权投资</t>
  </si>
  <si>
    <t xml:space="preserve">    长期应付款</t>
  </si>
  <si>
    <t xml:space="preserve">    其他债权投资</t>
  </si>
  <si>
    <t xml:space="preserve">    预计负债</t>
  </si>
  <si>
    <t xml:space="preserve">    长期应收款</t>
  </si>
  <si>
    <t xml:space="preserve">    递延收益</t>
  </si>
  <si>
    <t xml:space="preserve">    长期股权投资</t>
  </si>
  <si>
    <t xml:space="preserve">    递延所得税负债</t>
  </si>
  <si>
    <t xml:space="preserve">    其他权益工具投资</t>
  </si>
  <si>
    <t xml:space="preserve">    其他非流动负债</t>
  </si>
  <si>
    <t xml:space="preserve">    其他非流动金融资产</t>
  </si>
  <si>
    <t xml:space="preserve">        非流动负债合计</t>
  </si>
  <si>
    <t xml:space="preserve">    投资性房地产</t>
  </si>
  <si>
    <t xml:space="preserve">            负债合计</t>
  </si>
  <si>
    <t xml:space="preserve">    固定资产原价</t>
  </si>
  <si>
    <t>所有者权益（或股东权益）：</t>
  </si>
  <si>
    <t xml:space="preserve">       减:累计折旧</t>
  </si>
  <si>
    <t xml:space="preserve">    实收资本(股本)</t>
  </si>
  <si>
    <t>　　固定资产账面价值</t>
  </si>
  <si>
    <t xml:space="preserve">    其他权益工具</t>
  </si>
  <si>
    <t xml:space="preserve">    在建工程</t>
  </si>
  <si>
    <t xml:space="preserve">    生产性生物资产</t>
  </si>
  <si>
    <t xml:space="preserve">        　永续债</t>
  </si>
  <si>
    <t>　　固定资产清理</t>
  </si>
  <si>
    <t xml:space="preserve">    资本公积</t>
  </si>
  <si>
    <t xml:space="preserve">    使用权资产</t>
  </si>
  <si>
    <t xml:space="preserve">    减:库存股</t>
  </si>
  <si>
    <t xml:space="preserve">    无形资产</t>
  </si>
  <si>
    <t xml:space="preserve">    其他综合收益</t>
  </si>
  <si>
    <t xml:space="preserve">    开发支出</t>
  </si>
  <si>
    <t xml:space="preserve">    专项储备</t>
  </si>
  <si>
    <t xml:space="preserve">    长期待摊费用</t>
  </si>
  <si>
    <t xml:space="preserve">    盈余公积</t>
  </si>
  <si>
    <t xml:space="preserve">    递延所得税资产</t>
  </si>
  <si>
    <t xml:space="preserve">    未分配利润</t>
  </si>
  <si>
    <t xml:space="preserve">    其他非流动资产</t>
  </si>
  <si>
    <t>　　外币报表折算差额</t>
  </si>
  <si>
    <t xml:space="preserve">        非流动资产合计</t>
  </si>
  <si>
    <t>所有者权益（或股东权益）合计</t>
  </si>
  <si>
    <t xml:space="preserve">            资产总计</t>
  </si>
  <si>
    <t>负债和所有者权益（或股东权益）合计</t>
  </si>
  <si>
    <t>利润表</t>
  </si>
  <si>
    <t>2025年10月</t>
  </si>
  <si>
    <t>会企02表</t>
  </si>
  <si>
    <t>项目名称</t>
  </si>
  <si>
    <t>本期金额</t>
  </si>
  <si>
    <t>本年金额</t>
  </si>
  <si>
    <t>上期金额</t>
  </si>
  <si>
    <t>一、营业收入</t>
  </si>
  <si>
    <t xml:space="preserve">    减:营业成本</t>
  </si>
  <si>
    <t xml:space="preserve">        税金及附加</t>
  </si>
  <si>
    <t>　　　　其中：消费税</t>
  </si>
  <si>
    <t>　　　　　　　营业税</t>
  </si>
  <si>
    <t>　　　　　　　城市维护建设税</t>
  </si>
  <si>
    <t>　　　　　　　资源税</t>
  </si>
  <si>
    <t>　　　　　　　城镇土地使用税、房产税、车船税、印花税</t>
  </si>
  <si>
    <t>　　　　　　　教育费附加、矿产资源补偿费、排污费</t>
  </si>
  <si>
    <t xml:space="preserve">        销售费用</t>
  </si>
  <si>
    <t>　　　　　　其中：商品维修费</t>
  </si>
  <si>
    <t>　　　　　　　　　广告费和业务宣传费</t>
  </si>
  <si>
    <t xml:space="preserve">        管理费用</t>
  </si>
  <si>
    <t>　　　　　　其中：开办费</t>
  </si>
  <si>
    <t>　　　　　　　　　业务招待费</t>
  </si>
  <si>
    <t xml:space="preserve">        研发费用</t>
  </si>
  <si>
    <t xml:space="preserve">        财务费用</t>
  </si>
  <si>
    <t xml:space="preserve">        　　其中：利息费用</t>
  </si>
  <si>
    <t xml:space="preserve">        　　　　　利息收入</t>
  </si>
  <si>
    <t xml:space="preserve">    加：其他收益</t>
  </si>
  <si>
    <t xml:space="preserve">        投资收益(损失以“-”号填列)</t>
  </si>
  <si>
    <t xml:space="preserve">        其中:对联营企业和合营企业的投资收益</t>
  </si>
  <si>
    <t xml:space="preserve">             以摊余成本计量的金融资产终止确认收益（损失以“-”号填列）</t>
  </si>
  <si>
    <t xml:space="preserve">        净敞口套期收益（损失以“-”号填列）</t>
  </si>
  <si>
    <t xml:space="preserve">        公允价值变动收益(损失以“-”号填列)</t>
  </si>
  <si>
    <t xml:space="preserve">        信用减值损失</t>
  </si>
  <si>
    <t xml:space="preserve">        资产减值损失</t>
  </si>
  <si>
    <t xml:space="preserve">        资产处置收益（损失以“-”号填列）</t>
  </si>
  <si>
    <t>二、营业利润（亏损以“-”号填列）</t>
  </si>
  <si>
    <t xml:space="preserve">    加：营业外收入</t>
  </si>
  <si>
    <t>　　　　　　其中：政府补贴</t>
  </si>
  <si>
    <t xml:space="preserve">    减：营业外支出</t>
  </si>
  <si>
    <t>　　　　　　其中：坏账损失</t>
  </si>
  <si>
    <t>三、利润总额（亏损总额以“-”号填列）</t>
  </si>
  <si>
    <t xml:space="preserve">    减：所得税费用</t>
  </si>
  <si>
    <t>四、净利润（净亏损以“-”号填列）</t>
  </si>
  <si>
    <t xml:space="preserve">    （一）持续经营净利润（净亏损以“-”号填列）</t>
  </si>
  <si>
    <t xml:space="preserve">    （二）终止经营净利润（净亏损以“-”号填列）</t>
  </si>
  <si>
    <t>五、其他综合收益的税后净额</t>
  </si>
  <si>
    <t xml:space="preserve">        （一）不能重分类进损益的其他综合收益</t>
  </si>
  <si>
    <t xml:space="preserve">         1.重新计量设定受益计划变动额</t>
  </si>
  <si>
    <t xml:space="preserve">         2.权益法下不能转损益的其它综合收益</t>
  </si>
  <si>
    <t xml:space="preserve">    　　 3.其他权益工具投资公允价值变动</t>
  </si>
  <si>
    <t xml:space="preserve">   　　　4.企业自身信用风险公允价值变动</t>
  </si>
  <si>
    <t xml:space="preserve">            ……</t>
  </si>
  <si>
    <t xml:space="preserve">        （二）将重分类进损益的其它综合收益</t>
  </si>
  <si>
    <t xml:space="preserve">   　　　 1.权益法下可转损益的其他综合收益</t>
  </si>
  <si>
    <t xml:space="preserve">   　　　 2.其他债权投资公允价值变动</t>
  </si>
  <si>
    <t xml:space="preserve">   　　　 3.金额资产重分类计入其他综合收益的金额</t>
  </si>
  <si>
    <t xml:space="preserve">   　　　 4.其他债权投资信用减值准备</t>
  </si>
  <si>
    <t xml:space="preserve">   　　　 5.现金流量套期储备</t>
  </si>
  <si>
    <t xml:space="preserve">         6. 外币财务报表折算差额</t>
  </si>
  <si>
    <t>六、综合收益总额</t>
  </si>
  <si>
    <t>七、每股收益</t>
  </si>
  <si>
    <t xml:space="preserve">    （一）基本每股收益</t>
  </si>
  <si>
    <t xml:space="preserve">    （二）稀释每股收益</t>
  </si>
  <si>
    <t>现金流量表</t>
  </si>
  <si>
    <t>会企03表</t>
  </si>
  <si>
    <t>一、经营活动产生的现金流量</t>
  </si>
  <si>
    <t xml:space="preserve">        销售商品、提供劳务收到的现金</t>
  </si>
  <si>
    <t xml:space="preserve">        收到的税费返还</t>
  </si>
  <si>
    <t xml:space="preserve">        收到其他与经营活动有关的现金</t>
  </si>
  <si>
    <t xml:space="preserve">     经营活动现金流入小计</t>
  </si>
  <si>
    <t xml:space="preserve">        购买商品、接受劳务支付的现金</t>
  </si>
  <si>
    <t xml:space="preserve">        支付给职工以及为职工支付的现金</t>
  </si>
  <si>
    <t xml:space="preserve">        支付的各项税费</t>
  </si>
  <si>
    <t xml:space="preserve">        支付其他与经营活动有关的现金</t>
  </si>
  <si>
    <t xml:space="preserve">    经营活动现金流出小计</t>
  </si>
  <si>
    <t xml:space="preserve">    经营活动产生的现金流量净额</t>
  </si>
  <si>
    <t>二、投资活动产生的现金流量：</t>
  </si>
  <si>
    <t xml:space="preserve">        收回投资收到的现金</t>
  </si>
  <si>
    <t xml:space="preserve">        取得投资收益收到的现金</t>
  </si>
  <si>
    <t xml:space="preserve">        处置固定资产、无形资产和其他长期资产收回的现金净额</t>
  </si>
  <si>
    <t xml:space="preserve">        处置子公司及其他营业单位收到的现金净额</t>
  </si>
  <si>
    <t xml:space="preserve">        收到其他与投资活动有关的现金</t>
  </si>
  <si>
    <t xml:space="preserve">    投资活动现金流入小计</t>
  </si>
  <si>
    <t xml:space="preserve">        购建固定资产、无形资产和其他长期资产支付的现金</t>
  </si>
  <si>
    <t xml:space="preserve">        投资支付的现金</t>
  </si>
  <si>
    <t xml:space="preserve">        取得子公司及其他营业单位支付的现金净额</t>
  </si>
  <si>
    <t xml:space="preserve">        支付其他与投资活动有关的现金</t>
  </si>
  <si>
    <t xml:space="preserve">    投资活动现金流出小计</t>
  </si>
  <si>
    <t xml:space="preserve">    投资活动产生的现金流量净额</t>
  </si>
  <si>
    <t>三、筹资活动产生的现金流量：</t>
  </si>
  <si>
    <t xml:space="preserve">        吸收投资收到的现金</t>
  </si>
  <si>
    <t xml:space="preserve">        取得借款收到的现金</t>
  </si>
  <si>
    <t xml:space="preserve">        收到其他与筹资活动有关的现金</t>
  </si>
  <si>
    <t xml:space="preserve">    筹资活动现金流入小计</t>
  </si>
  <si>
    <t xml:space="preserve">        偿还债务支付的现金</t>
  </si>
  <si>
    <t xml:space="preserve">        分配股利、利润或偿付利息支付的现金</t>
  </si>
  <si>
    <t xml:space="preserve">        支付其他与筹资活动有关的现金</t>
  </si>
  <si>
    <t xml:space="preserve">    筹资活动现金流出小计</t>
  </si>
  <si>
    <t xml:space="preserve">    筹资活动产生的现金流量净额</t>
  </si>
  <si>
    <t>四、汇率变动对现金及现金等价物的影响</t>
  </si>
  <si>
    <t>五、现金及现金等价物净增加额</t>
  </si>
  <si>
    <t xml:space="preserve">    加：期初现金及现金等价物余额</t>
  </si>
  <si>
    <t>六、期末现金及现金等价物余额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</si>
</sst>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宋体"/>
      <charset val="1"/>
    </font>
    <font>
      <b/>
      <sz val="14"/>
      <name val="宋体"/>
      <charset val="1"/>
    </font>
    <font>
      <b/>
      <sz val="11"/>
      <name val="宋体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>
      <alignment vertical="top"/>
      <protection locked="0"/>
    </xf>
  </cellStyleXfs>
  <cellXfs count="16">
    <xf numFmtId="0" fontId="0" fillId="0" borderId="0" xfId="49" applyFont="1" applyFill="1" applyBorder="1" applyAlignment="1" applyProtection="1">
      <alignment vertical="top"/>
      <protection locked="0"/>
    </xf>
    <xf numFmtId="0" fontId="0" fillId="0" borderId="0" xfId="49" applyFont="1" applyFill="1" applyBorder="1" applyAlignment="1" applyProtection="1">
      <protection locked="0"/>
    </xf>
    <xf numFmtId="0" fontId="1" fillId="0" borderId="0" xfId="49" applyFont="1" applyFill="1" applyBorder="1" applyAlignment="1" applyProtection="1">
      <alignment horizontal="center"/>
      <protection locked="0"/>
    </xf>
    <xf numFmtId="0" fontId="2" fillId="0" borderId="0" xfId="49" applyFont="1" applyFill="1" applyBorder="1" applyAlignment="1" applyProtection="1">
      <protection locked="0"/>
    </xf>
    <xf numFmtId="0" fontId="2" fillId="0" borderId="1" xfId="49" applyFont="1" applyFill="1" applyBorder="1" applyAlignment="1" applyProtection="1">
      <alignment horizontal="center"/>
      <protection locked="0"/>
    </xf>
    <xf numFmtId="0" fontId="0" fillId="0" borderId="2" xfId="49" applyFont="1" applyFill="1" applyBorder="1" applyAlignment="1" applyProtection="1">
      <protection locked="0"/>
    </xf>
    <xf numFmtId="0" fontId="0" fillId="0" borderId="3" xfId="49" applyFont="1" applyFill="1" applyBorder="1" applyAlignment="1" applyProtection="1">
      <protection locked="0"/>
    </xf>
    <xf numFmtId="0" fontId="1" fillId="2" borderId="0" xfId="49" applyFont="1" applyFill="1" applyBorder="1" applyAlignment="1" applyProtection="1">
      <alignment horizontal="center"/>
      <protection locked="0"/>
    </xf>
    <xf numFmtId="0" fontId="0" fillId="2" borderId="0" xfId="49" applyFont="1" applyFill="1" applyBorder="1" applyAlignment="1" applyProtection="1">
      <protection locked="0"/>
    </xf>
    <xf numFmtId="0" fontId="2" fillId="2" borderId="0" xfId="49" applyFont="1" applyFill="1" applyBorder="1" applyAlignment="1" applyProtection="1">
      <protection locked="0"/>
    </xf>
    <xf numFmtId="0" fontId="2" fillId="2" borderId="1" xfId="49" applyFont="1" applyFill="1" applyBorder="1" applyAlignment="1" applyProtection="1">
      <alignment horizontal="center"/>
      <protection locked="0"/>
    </xf>
    <xf numFmtId="0" fontId="2" fillId="2" borderId="4" xfId="49" applyFont="1" applyFill="1" applyBorder="1" applyAlignment="1" applyProtection="1">
      <alignment horizontal="center"/>
      <protection locked="0"/>
    </xf>
    <xf numFmtId="0" fontId="0" fillId="2" borderId="2" xfId="49" applyFont="1" applyFill="1" applyBorder="1" applyAlignment="1" applyProtection="1">
      <protection locked="0"/>
    </xf>
    <xf numFmtId="2" fontId="0" fillId="2" borderId="3" xfId="49" applyNumberFormat="1" applyFont="1" applyFill="1" applyBorder="1" applyAlignment="1" applyProtection="1">
      <protection locked="0"/>
    </xf>
    <xf numFmtId="0" fontId="0" fillId="2" borderId="3" xfId="49" applyFont="1" applyFill="1" applyBorder="1" applyAlignment="1" applyProtection="1">
      <protection locked="0"/>
    </xf>
    <xf numFmtId="4" fontId="0" fillId="2" borderId="3" xfId="49" applyNumberFormat="1" applyFont="1" applyFill="1" applyBorder="1" applyAlignment="1" applyProtection="1"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46"/>
  <sheetViews>
    <sheetView tabSelected="1" workbookViewId="0">
      <pane ySplit="4" topLeftCell="A25" activePane="bottomLeft" state="frozen"/>
      <selection/>
      <selection pane="bottomLeft" activeCell="I36" sqref="I36"/>
    </sheetView>
  </sheetViews>
  <sheetFormatPr defaultColWidth="8.56666666666667" defaultRowHeight="15" customHeight="1" outlineLevelCol="5"/>
  <cols>
    <col min="1" max="1" width="22.875" style="1" customWidth="1"/>
    <col min="2" max="2" width="18.5666666666667" style="1" customWidth="1"/>
    <col min="3" max="3" width="18" style="1" customWidth="1"/>
    <col min="4" max="4" width="31.5" style="1" customWidth="1"/>
    <col min="5" max="5" width="19" style="1" customWidth="1"/>
    <col min="6" max="6" width="18.5666666666667" style="1" customWidth="1"/>
    <col min="7" max="7" width="17.8583333333333" style="1" customWidth="1"/>
    <col min="8" max="16384" width="8.56666666666667" style="1" customWidth="1"/>
  </cols>
  <sheetData>
    <row r="1" ht="29.25" customHeight="1" spans="1:6">
      <c r="A1" s="7" t="s">
        <v>0</v>
      </c>
      <c r="B1" s="8"/>
      <c r="C1" s="8"/>
      <c r="D1" s="8"/>
      <c r="E1" s="8"/>
      <c r="F1" s="8"/>
    </row>
    <row r="2" customHeight="1" spans="1:6">
      <c r="A2" s="9" t="s">
        <v>1</v>
      </c>
      <c r="B2" s="9"/>
      <c r="C2" s="9"/>
      <c r="D2" s="9"/>
      <c r="E2" s="9"/>
      <c r="F2" s="9" t="s">
        <v>2</v>
      </c>
    </row>
    <row r="3" customHeight="1" spans="1:6">
      <c r="A3" s="9" t="s">
        <v>3</v>
      </c>
      <c r="B3" s="9"/>
      <c r="C3" s="9"/>
      <c r="D3" s="9"/>
      <c r="E3" s="9"/>
      <c r="F3" s="9" t="s">
        <v>4</v>
      </c>
    </row>
    <row r="4" ht="21" customHeight="1" spans="1:6">
      <c r="A4" s="10" t="s">
        <v>5</v>
      </c>
      <c r="B4" s="11" t="s">
        <v>6</v>
      </c>
      <c r="C4" s="11" t="s">
        <v>7</v>
      </c>
      <c r="D4" s="10" t="s">
        <v>8</v>
      </c>
      <c r="E4" s="11" t="s">
        <v>6</v>
      </c>
      <c r="F4" s="11" t="s">
        <v>7</v>
      </c>
    </row>
    <row r="5" ht="21" customHeight="1" spans="1:6">
      <c r="A5" s="12" t="s">
        <v>9</v>
      </c>
      <c r="B5" s="15"/>
      <c r="C5" s="15"/>
      <c r="D5" s="14" t="s">
        <v>10</v>
      </c>
      <c r="E5" s="15"/>
      <c r="F5" s="15"/>
    </row>
    <row r="6" ht="21" customHeight="1" spans="1:6">
      <c r="A6" s="12" t="s">
        <v>11</v>
      </c>
      <c r="B6" s="15">
        <v>2631934.54</v>
      </c>
      <c r="C6" s="15">
        <v>169682.05</v>
      </c>
      <c r="D6" s="14" t="s">
        <v>12</v>
      </c>
      <c r="E6" s="15">
        <v>13000000</v>
      </c>
      <c r="F6" s="15">
        <v>22880000</v>
      </c>
    </row>
    <row r="7" ht="21" customHeight="1" spans="1:6">
      <c r="A7" s="12" t="s">
        <v>13</v>
      </c>
      <c r="B7" s="15">
        <v>0</v>
      </c>
      <c r="C7" s="15">
        <v>0</v>
      </c>
      <c r="D7" s="14" t="s">
        <v>14</v>
      </c>
      <c r="E7" s="15">
        <v>0</v>
      </c>
      <c r="F7" s="15">
        <v>0</v>
      </c>
    </row>
    <row r="8" ht="21" customHeight="1" spans="1:6">
      <c r="A8" s="12" t="s">
        <v>15</v>
      </c>
      <c r="B8" s="15">
        <v>0</v>
      </c>
      <c r="C8" s="15">
        <v>0</v>
      </c>
      <c r="D8" s="14" t="s">
        <v>16</v>
      </c>
      <c r="E8" s="15">
        <v>0</v>
      </c>
      <c r="F8" s="15">
        <v>0</v>
      </c>
    </row>
    <row r="9" ht="21" customHeight="1" spans="1:6">
      <c r="A9" s="12" t="s">
        <v>17</v>
      </c>
      <c r="B9" s="15">
        <v>0</v>
      </c>
      <c r="C9" s="15">
        <v>0</v>
      </c>
      <c r="D9" s="14" t="s">
        <v>18</v>
      </c>
      <c r="E9" s="15">
        <v>0</v>
      </c>
      <c r="F9" s="15">
        <v>0</v>
      </c>
    </row>
    <row r="10" ht="21" customHeight="1" spans="1:6">
      <c r="A10" s="12" t="s">
        <v>19</v>
      </c>
      <c r="B10" s="15">
        <v>42619147</v>
      </c>
      <c r="C10" s="15">
        <v>40569325.8</v>
      </c>
      <c r="D10" s="14" t="s">
        <v>20</v>
      </c>
      <c r="E10" s="15">
        <v>13479521.57</v>
      </c>
      <c r="F10" s="15">
        <v>15547740.03</v>
      </c>
    </row>
    <row r="11" ht="21" customHeight="1" spans="1:6">
      <c r="A11" s="12" t="s">
        <v>21</v>
      </c>
      <c r="B11" s="15"/>
      <c r="C11" s="15"/>
      <c r="D11" s="14" t="s">
        <v>22</v>
      </c>
      <c r="E11" s="15">
        <v>0</v>
      </c>
      <c r="F11" s="15">
        <v>0</v>
      </c>
    </row>
    <row r="12" ht="21" customHeight="1" spans="1:6">
      <c r="A12" s="12" t="s">
        <v>23</v>
      </c>
      <c r="B12" s="15">
        <v>0</v>
      </c>
      <c r="C12" s="15">
        <v>0</v>
      </c>
      <c r="D12" s="14" t="s">
        <v>24</v>
      </c>
      <c r="E12" s="15"/>
      <c r="F12" s="15"/>
    </row>
    <row r="13" ht="21" customHeight="1" spans="1:6">
      <c r="A13" s="12" t="s">
        <v>25</v>
      </c>
      <c r="B13" s="15">
        <v>3845538.18</v>
      </c>
      <c r="C13" s="15">
        <v>6937301.79</v>
      </c>
      <c r="D13" s="14" t="s">
        <v>26</v>
      </c>
      <c r="E13" s="15">
        <v>4854317.28</v>
      </c>
      <c r="F13" s="15">
        <v>1449645.16</v>
      </c>
    </row>
    <row r="14" ht="21" customHeight="1" spans="1:6">
      <c r="A14" s="12" t="s">
        <v>27</v>
      </c>
      <c r="B14" s="15">
        <v>23794909.5</v>
      </c>
      <c r="C14" s="15">
        <v>9267654.61</v>
      </c>
      <c r="D14" s="14" t="s">
        <v>28</v>
      </c>
      <c r="E14" s="15">
        <v>54002.42</v>
      </c>
      <c r="F14" s="15">
        <v>34236.81</v>
      </c>
    </row>
    <row r="15" ht="21" customHeight="1" spans="1:6">
      <c r="A15" s="12" t="s">
        <v>29</v>
      </c>
      <c r="B15" s="15">
        <v>11458243.86</v>
      </c>
      <c r="C15" s="15">
        <v>3902325.32</v>
      </c>
      <c r="D15" s="14" t="s">
        <v>30</v>
      </c>
      <c r="E15" s="15">
        <v>79970468.37</v>
      </c>
      <c r="F15" s="15">
        <v>8881180.54</v>
      </c>
    </row>
    <row r="16" ht="21" customHeight="1" spans="1:6">
      <c r="A16" s="12" t="s">
        <v>31</v>
      </c>
      <c r="B16" s="15">
        <v>11905349.13</v>
      </c>
      <c r="C16" s="15">
        <v>5346859.69</v>
      </c>
      <c r="D16" s="14" t="s">
        <v>32</v>
      </c>
      <c r="E16" s="15">
        <v>1539012.54</v>
      </c>
      <c r="F16" s="15">
        <v>1539012.54</v>
      </c>
    </row>
    <row r="17" ht="21" customHeight="1" spans="1:6">
      <c r="A17" s="12" t="s">
        <v>33</v>
      </c>
      <c r="B17" s="15">
        <v>0</v>
      </c>
      <c r="C17" s="15">
        <v>0</v>
      </c>
      <c r="D17" s="14" t="s">
        <v>34</v>
      </c>
      <c r="E17" s="15"/>
      <c r="F17" s="15"/>
    </row>
    <row r="18" ht="21" customHeight="1" spans="1:6">
      <c r="A18" s="12" t="s">
        <v>35</v>
      </c>
      <c r="B18" s="15">
        <v>431316.51</v>
      </c>
      <c r="C18" s="15">
        <v>18469.6</v>
      </c>
      <c r="D18" s="14" t="s">
        <v>36</v>
      </c>
      <c r="E18" s="15">
        <v>0</v>
      </c>
      <c r="F18" s="15">
        <v>0</v>
      </c>
    </row>
    <row r="19" ht="21" customHeight="1" spans="1:6">
      <c r="A19" s="12" t="s">
        <v>37</v>
      </c>
      <c r="B19" s="15">
        <v>0</v>
      </c>
      <c r="C19" s="15">
        <v>0</v>
      </c>
      <c r="D19" s="14" t="s">
        <v>38</v>
      </c>
      <c r="E19" s="15">
        <f>E6+E7+E8+E9+E10+E11+E12+E13+E14+E15+E16+E17+E18</f>
        <v>112897322.18</v>
      </c>
      <c r="F19" s="15">
        <f>F6+F7+F8+F9+F10+F11+F12+F13+F14+F15+F16+F17+F18</f>
        <v>50331815.08</v>
      </c>
    </row>
    <row r="20" ht="21" customHeight="1" spans="1:6">
      <c r="A20" s="12" t="s">
        <v>39</v>
      </c>
      <c r="B20" s="15"/>
      <c r="C20" s="15"/>
      <c r="D20" s="14" t="s">
        <v>40</v>
      </c>
      <c r="E20" s="15"/>
      <c r="F20" s="15"/>
    </row>
    <row r="21" ht="21" customHeight="1" spans="1:6">
      <c r="A21" s="12" t="s">
        <v>41</v>
      </c>
      <c r="B21" s="15">
        <v>0</v>
      </c>
      <c r="C21" s="15">
        <v>0</v>
      </c>
      <c r="D21" s="14" t="s">
        <v>42</v>
      </c>
      <c r="E21" s="15">
        <v>20210000</v>
      </c>
      <c r="F21" s="15">
        <v>16197947.77</v>
      </c>
    </row>
    <row r="22" ht="21" customHeight="1" spans="1:6">
      <c r="A22" s="12" t="s">
        <v>43</v>
      </c>
      <c r="B22" s="15"/>
      <c r="C22" s="15"/>
      <c r="D22" s="14" t="s">
        <v>44</v>
      </c>
      <c r="E22" s="15">
        <v>0</v>
      </c>
      <c r="F22" s="15">
        <v>0</v>
      </c>
    </row>
    <row r="23" ht="21" customHeight="1" spans="1:6">
      <c r="A23" s="12" t="s">
        <v>45</v>
      </c>
      <c r="B23" s="15">
        <v>0</v>
      </c>
      <c r="C23" s="15">
        <v>0</v>
      </c>
      <c r="D23" s="14" t="s">
        <v>46</v>
      </c>
      <c r="E23" s="15"/>
      <c r="F23" s="15"/>
    </row>
    <row r="24" ht="21" customHeight="1" spans="1:6">
      <c r="A24" s="12" t="s">
        <v>47</v>
      </c>
      <c r="B24" s="15">
        <f>B6+B7+B8+B9+B10+B11+B12+B13+B14+B20+B21+B22+B23</f>
        <v>72891529.22</v>
      </c>
      <c r="C24" s="15">
        <f>C6+C7+C8+C9+C10+C11+C12+C13+C14+C20+C21+C22+C23</f>
        <v>56943964.25</v>
      </c>
      <c r="D24" s="14" t="s">
        <v>48</v>
      </c>
      <c r="E24" s="15"/>
      <c r="F24" s="15"/>
    </row>
    <row r="25" ht="21" customHeight="1" spans="1:6">
      <c r="A25" s="12" t="s">
        <v>49</v>
      </c>
      <c r="B25" s="15"/>
      <c r="C25" s="15"/>
      <c r="D25" s="14" t="s">
        <v>50</v>
      </c>
      <c r="E25" s="15">
        <v>0</v>
      </c>
      <c r="F25" s="15">
        <v>0</v>
      </c>
    </row>
    <row r="26" ht="21" customHeight="1" spans="1:6">
      <c r="A26" s="12" t="s">
        <v>51</v>
      </c>
      <c r="B26" s="15">
        <v>0</v>
      </c>
      <c r="C26" s="15">
        <v>0</v>
      </c>
      <c r="D26" s="14" t="s">
        <v>52</v>
      </c>
      <c r="E26" s="15">
        <v>0</v>
      </c>
      <c r="F26" s="15">
        <v>0</v>
      </c>
    </row>
    <row r="27" ht="21" customHeight="1" spans="1:6">
      <c r="A27" s="12" t="s">
        <v>53</v>
      </c>
      <c r="B27" s="15">
        <v>0</v>
      </c>
      <c r="C27" s="15">
        <v>0</v>
      </c>
      <c r="D27" s="14" t="s">
        <v>54</v>
      </c>
      <c r="E27" s="15">
        <v>0</v>
      </c>
      <c r="F27" s="15">
        <v>0</v>
      </c>
    </row>
    <row r="28" ht="21" customHeight="1" spans="1:6">
      <c r="A28" s="12" t="s">
        <v>55</v>
      </c>
      <c r="B28" s="15">
        <v>0</v>
      </c>
      <c r="C28" s="15">
        <v>0</v>
      </c>
      <c r="D28" s="14" t="s">
        <v>56</v>
      </c>
      <c r="E28" s="15">
        <v>0</v>
      </c>
      <c r="F28" s="15">
        <v>0</v>
      </c>
    </row>
    <row r="29" ht="21" customHeight="1" spans="1:6">
      <c r="A29" s="12" t="s">
        <v>57</v>
      </c>
      <c r="B29" s="15">
        <v>0</v>
      </c>
      <c r="C29" s="15">
        <v>0</v>
      </c>
      <c r="D29" s="14" t="s">
        <v>58</v>
      </c>
      <c r="E29" s="15">
        <v>0</v>
      </c>
      <c r="F29" s="15">
        <v>0</v>
      </c>
    </row>
    <row r="30" ht="21" customHeight="1" spans="1:6">
      <c r="A30" s="12" t="s">
        <v>59</v>
      </c>
      <c r="B30" s="15">
        <v>0</v>
      </c>
      <c r="C30" s="15">
        <v>0</v>
      </c>
      <c r="D30" s="14" t="s">
        <v>60</v>
      </c>
      <c r="E30" s="15"/>
      <c r="F30" s="15"/>
    </row>
    <row r="31" ht="21" customHeight="1" spans="1:6">
      <c r="A31" s="12" t="s">
        <v>61</v>
      </c>
      <c r="B31" s="15"/>
      <c r="C31" s="15"/>
      <c r="D31" s="14" t="s">
        <v>62</v>
      </c>
      <c r="E31" s="15">
        <f>E21+E22+E25+E26+E27+E28+E29+E30</f>
        <v>20210000</v>
      </c>
      <c r="F31" s="15">
        <f>F21+F22+F25+F26+F27+F28+F29+F30</f>
        <v>16197947.77</v>
      </c>
    </row>
    <row r="32" ht="21" customHeight="1" spans="1:6">
      <c r="A32" s="12" t="s">
        <v>63</v>
      </c>
      <c r="B32" s="15">
        <v>0</v>
      </c>
      <c r="C32" s="15">
        <v>0</v>
      </c>
      <c r="D32" s="14" t="s">
        <v>64</v>
      </c>
      <c r="E32" s="15">
        <f>E19+E31</f>
        <v>133107322.18</v>
      </c>
      <c r="F32" s="15">
        <f>F19+F31</f>
        <v>66529762.85</v>
      </c>
    </row>
    <row r="33" ht="21" customHeight="1" spans="1:6">
      <c r="A33" s="12" t="s">
        <v>65</v>
      </c>
      <c r="B33" s="15">
        <v>18117975.31</v>
      </c>
      <c r="C33" s="15">
        <v>15024777.14</v>
      </c>
      <c r="D33" s="14" t="s">
        <v>66</v>
      </c>
      <c r="E33" s="15"/>
      <c r="F33" s="15"/>
    </row>
    <row r="34" ht="21" customHeight="1" spans="1:6">
      <c r="A34" s="12" t="s">
        <v>67</v>
      </c>
      <c r="B34" s="15">
        <v>6888420.36</v>
      </c>
      <c r="C34" s="15">
        <v>5470091.49</v>
      </c>
      <c r="D34" s="14" t="s">
        <v>68</v>
      </c>
      <c r="E34" s="15">
        <v>20000000</v>
      </c>
      <c r="F34" s="15">
        <v>10000000</v>
      </c>
    </row>
    <row r="35" ht="21" customHeight="1" spans="1:6">
      <c r="A35" s="12" t="s">
        <v>69</v>
      </c>
      <c r="B35" s="15">
        <v>11229554.95</v>
      </c>
      <c r="C35" s="15">
        <v>9554685.65</v>
      </c>
      <c r="D35" s="14" t="s">
        <v>70</v>
      </c>
      <c r="E35" s="15">
        <v>0</v>
      </c>
      <c r="F35" s="15">
        <v>0</v>
      </c>
    </row>
    <row r="36" ht="21" customHeight="1" spans="1:6">
      <c r="A36" s="12" t="s">
        <v>71</v>
      </c>
      <c r="B36" s="15">
        <v>62100196.58</v>
      </c>
      <c r="C36" s="15">
        <v>0</v>
      </c>
      <c r="D36" s="14" t="s">
        <v>46</v>
      </c>
      <c r="E36" s="15"/>
      <c r="F36" s="15"/>
    </row>
    <row r="37" ht="21" customHeight="1" spans="1:6">
      <c r="A37" s="12" t="s">
        <v>72</v>
      </c>
      <c r="B37" s="15">
        <v>0</v>
      </c>
      <c r="C37" s="15">
        <v>0</v>
      </c>
      <c r="D37" s="14" t="s">
        <v>73</v>
      </c>
      <c r="E37" s="15"/>
      <c r="F37" s="15"/>
    </row>
    <row r="38" ht="21" customHeight="1" spans="1:6">
      <c r="A38" s="12" t="s">
        <v>74</v>
      </c>
      <c r="B38" s="15">
        <v>0</v>
      </c>
      <c r="C38" s="15">
        <v>0</v>
      </c>
      <c r="D38" s="14" t="s">
        <v>75</v>
      </c>
      <c r="E38" s="15">
        <v>0</v>
      </c>
      <c r="F38" s="15">
        <v>0</v>
      </c>
    </row>
    <row r="39" ht="21" customHeight="1" spans="1:6">
      <c r="A39" s="12" t="s">
        <v>76</v>
      </c>
      <c r="B39" s="15">
        <v>0</v>
      </c>
      <c r="C39" s="15">
        <v>0</v>
      </c>
      <c r="D39" s="14" t="s">
        <v>77</v>
      </c>
      <c r="E39" s="15">
        <v>0</v>
      </c>
      <c r="F39" s="15">
        <v>0</v>
      </c>
    </row>
    <row r="40" ht="21" customHeight="1" spans="1:6">
      <c r="A40" s="12" t="s">
        <v>78</v>
      </c>
      <c r="B40" s="15">
        <v>492350</v>
      </c>
      <c r="C40" s="15">
        <v>707350</v>
      </c>
      <c r="D40" s="14" t="s">
        <v>79</v>
      </c>
      <c r="E40" s="15">
        <v>0</v>
      </c>
      <c r="F40" s="15">
        <v>0</v>
      </c>
    </row>
    <row r="41" ht="21" customHeight="1" spans="1:6">
      <c r="A41" s="12" t="s">
        <v>80</v>
      </c>
      <c r="B41" s="15">
        <v>0</v>
      </c>
      <c r="C41" s="15">
        <v>0</v>
      </c>
      <c r="D41" s="14" t="s">
        <v>81</v>
      </c>
      <c r="E41" s="15">
        <v>0</v>
      </c>
      <c r="F41" s="15">
        <v>0</v>
      </c>
    </row>
    <row r="42" ht="21" customHeight="1" spans="1:6">
      <c r="A42" s="12" t="s">
        <v>82</v>
      </c>
      <c r="B42" s="15">
        <v>0</v>
      </c>
      <c r="C42" s="15">
        <v>0</v>
      </c>
      <c r="D42" s="14" t="s">
        <v>83</v>
      </c>
      <c r="E42" s="15">
        <v>0</v>
      </c>
      <c r="F42" s="15">
        <v>0</v>
      </c>
    </row>
    <row r="43" ht="21" customHeight="1" spans="1:6">
      <c r="A43" s="12" t="s">
        <v>84</v>
      </c>
      <c r="B43" s="15">
        <v>0</v>
      </c>
      <c r="C43" s="15">
        <v>0</v>
      </c>
      <c r="D43" s="14" t="s">
        <v>85</v>
      </c>
      <c r="E43" s="15">
        <v>-6393691.43</v>
      </c>
      <c r="F43" s="15">
        <v>-9323762.95</v>
      </c>
    </row>
    <row r="44" ht="21" customHeight="1" spans="1:6">
      <c r="A44" s="12" t="s">
        <v>86</v>
      </c>
      <c r="B44" s="15">
        <v>0</v>
      </c>
      <c r="C44" s="15">
        <v>0</v>
      </c>
      <c r="D44" s="14" t="s">
        <v>87</v>
      </c>
      <c r="E44" s="15"/>
      <c r="F44" s="15"/>
    </row>
    <row r="45" ht="21" customHeight="1" spans="1:6">
      <c r="A45" s="12" t="s">
        <v>88</v>
      </c>
      <c r="B45" s="15">
        <f>B26+B27+B28+B29+B30+B31+B32+B35+B36+B37+B38+B39+B40+B41+B42+B42+B43+B44</f>
        <v>73822101.53</v>
      </c>
      <c r="C45" s="15">
        <f>C26+C27+C28+C29+C30+C31+C32+C35+C36+C37+C38+C39+C40+C41+C42+C42+C43+C44</f>
        <v>10262035.65</v>
      </c>
      <c r="D45" s="14" t="s">
        <v>89</v>
      </c>
      <c r="E45" s="15">
        <f>E34+E35+E38-E39+E40+E41+E42+E43+E44</f>
        <v>13606308.57</v>
      </c>
      <c r="F45" s="15">
        <f>F34+F35+F38-F39+F40+F41+F42+F43+F44</f>
        <v>676237.050000001</v>
      </c>
    </row>
    <row r="46" ht="21" customHeight="1" spans="1:6">
      <c r="A46" s="12" t="s">
        <v>90</v>
      </c>
      <c r="B46" s="15">
        <f>B24+B45</f>
        <v>146713630.75</v>
      </c>
      <c r="C46" s="15">
        <f>C24+C45</f>
        <v>67205999.9</v>
      </c>
      <c r="D46" s="14" t="s">
        <v>91</v>
      </c>
      <c r="E46" s="15">
        <f>E32+E45</f>
        <v>146713630.75</v>
      </c>
      <c r="F46" s="15">
        <f>F32+F45</f>
        <v>67205999.9</v>
      </c>
    </row>
  </sheetData>
  <mergeCells count="2">
    <mergeCell ref="A1:F1"/>
    <mergeCell ref="A3:B3"/>
  </mergeCells>
  <printOptions horizontalCentered="1" gridLines="1"/>
  <pageMargins left="0.393055555555556" right="0.393055555555556" top="0.393055555555556" bottom="0.393055555555556" header="0" footer="0"/>
  <pageSetup paperSize="9" scale="75" fitToHeight="0" orientation="portrait" blackAndWhite="1" useFirstPageNumber="1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61"/>
  <sheetViews>
    <sheetView workbookViewId="0">
      <pane ySplit="4" topLeftCell="A30" activePane="bottomLeft" state="frozen"/>
      <selection/>
      <selection pane="bottomLeft" activeCell="G43" sqref="G43"/>
    </sheetView>
  </sheetViews>
  <sheetFormatPr defaultColWidth="8.56666666666667" defaultRowHeight="15" customHeight="1" outlineLevelCol="3"/>
  <cols>
    <col min="1" max="1" width="50.75" style="1" customWidth="1"/>
    <col min="2" max="2" width="16.8583333333333" style="1" customWidth="1"/>
    <col min="3" max="3" width="17.5666666666667" style="1" customWidth="1"/>
    <col min="4" max="4" width="16.7083333333333" style="1" customWidth="1"/>
    <col min="5" max="5" width="13.1416666666667" style="1" customWidth="1"/>
    <col min="6" max="6" width="11.5666666666667" style="1" customWidth="1"/>
    <col min="7" max="7" width="11.4333333333333" style="1" customWidth="1"/>
    <col min="8" max="8" width="10" style="1" customWidth="1"/>
    <col min="9" max="16384" width="8.56666666666667" style="1" customWidth="1"/>
  </cols>
  <sheetData>
    <row r="1" ht="29.25" customHeight="1" spans="1:4">
      <c r="A1" s="7" t="s">
        <v>92</v>
      </c>
      <c r="B1" s="8"/>
      <c r="C1" s="8"/>
      <c r="D1" s="8"/>
    </row>
    <row r="2" customHeight="1" spans="1:4">
      <c r="A2" s="9" t="s">
        <v>93</v>
      </c>
      <c r="B2" s="9"/>
      <c r="C2" s="9"/>
      <c r="D2" s="9" t="s">
        <v>94</v>
      </c>
    </row>
    <row r="3" customHeight="1" spans="1:4">
      <c r="A3" s="9" t="s">
        <v>3</v>
      </c>
      <c r="B3" s="9"/>
      <c r="C3" s="9"/>
      <c r="D3" s="9" t="s">
        <v>4</v>
      </c>
    </row>
    <row r="4" customHeight="1" spans="1:4">
      <c r="A4" s="10" t="s">
        <v>95</v>
      </c>
      <c r="B4" s="11" t="s">
        <v>96</v>
      </c>
      <c r="C4" s="11" t="s">
        <v>97</v>
      </c>
      <c r="D4" s="11" t="s">
        <v>98</v>
      </c>
    </row>
    <row r="5" customHeight="1" spans="1:4">
      <c r="A5" s="12" t="s">
        <v>99</v>
      </c>
      <c r="B5" s="13">
        <v>12538601.32</v>
      </c>
      <c r="C5" s="13">
        <v>111935277.33</v>
      </c>
      <c r="D5" s="13">
        <v>16995638.67</v>
      </c>
    </row>
    <row r="6" customHeight="1" spans="1:4">
      <c r="A6" s="12" t="s">
        <v>100</v>
      </c>
      <c r="B6" s="13">
        <v>8871640.23</v>
      </c>
      <c r="C6" s="13">
        <v>68427373.06</v>
      </c>
      <c r="D6" s="13">
        <v>11599043.48</v>
      </c>
    </row>
    <row r="7" customHeight="1" spans="1:4">
      <c r="A7" s="12" t="s">
        <v>101</v>
      </c>
      <c r="B7" s="13">
        <v>86646.51</v>
      </c>
      <c r="C7" s="13">
        <v>525027.88</v>
      </c>
      <c r="D7" s="13">
        <v>63542.39</v>
      </c>
    </row>
    <row r="8" customHeight="1" spans="1:4">
      <c r="A8" s="12" t="s">
        <v>102</v>
      </c>
      <c r="B8" s="13">
        <v>0</v>
      </c>
      <c r="C8" s="13">
        <v>0</v>
      </c>
      <c r="D8" s="13">
        <v>0</v>
      </c>
    </row>
    <row r="9" customHeight="1" spans="1:4">
      <c r="A9" s="12" t="s">
        <v>103</v>
      </c>
      <c r="B9" s="13">
        <v>0</v>
      </c>
      <c r="C9" s="13">
        <v>0</v>
      </c>
      <c r="D9" s="13">
        <v>0</v>
      </c>
    </row>
    <row r="10" customHeight="1" spans="1:4">
      <c r="A10" s="12" t="s">
        <v>104</v>
      </c>
      <c r="B10" s="13">
        <v>27001.21</v>
      </c>
      <c r="C10" s="13">
        <v>211318.53</v>
      </c>
      <c r="D10" s="13">
        <v>21464.76</v>
      </c>
    </row>
    <row r="11" customHeight="1" spans="1:4">
      <c r="A11" s="12" t="s">
        <v>105</v>
      </c>
      <c r="B11" s="13">
        <v>0</v>
      </c>
      <c r="C11" s="13">
        <v>0</v>
      </c>
      <c r="D11" s="13">
        <v>0</v>
      </c>
    </row>
    <row r="12" customHeight="1" spans="1:4">
      <c r="A12" s="12" t="s">
        <v>106</v>
      </c>
      <c r="B12" s="13">
        <v>32644.09</v>
      </c>
      <c r="C12" s="13">
        <v>102390.83</v>
      </c>
      <c r="D12" s="13">
        <v>20612.88</v>
      </c>
    </row>
    <row r="13" customHeight="1" spans="1:4">
      <c r="A13" s="12" t="s">
        <v>107</v>
      </c>
      <c r="B13" s="13">
        <v>27001.21</v>
      </c>
      <c r="C13" s="13">
        <v>211318.52</v>
      </c>
      <c r="D13" s="13">
        <v>21464.75</v>
      </c>
    </row>
    <row r="14" customHeight="1" spans="1:4">
      <c r="A14" s="12" t="s">
        <v>108</v>
      </c>
      <c r="B14" s="13">
        <v>1415202.5</v>
      </c>
      <c r="C14" s="13">
        <v>18139058.06</v>
      </c>
      <c r="D14" s="13">
        <v>1388728.89</v>
      </c>
    </row>
    <row r="15" customHeight="1" spans="1:4">
      <c r="A15" s="12" t="s">
        <v>109</v>
      </c>
      <c r="B15" s="13">
        <v>0</v>
      </c>
      <c r="C15" s="13">
        <v>31384</v>
      </c>
      <c r="D15" s="13">
        <v>0</v>
      </c>
    </row>
    <row r="16" customHeight="1" spans="1:4">
      <c r="A16" s="12" t="s">
        <v>110</v>
      </c>
      <c r="B16" s="13">
        <v>405147.04</v>
      </c>
      <c r="C16" s="13">
        <v>1822492.01</v>
      </c>
      <c r="D16" s="13">
        <v>40255.2</v>
      </c>
    </row>
    <row r="17" customHeight="1" spans="1:4">
      <c r="A17" s="12" t="s">
        <v>111</v>
      </c>
      <c r="B17" s="13">
        <v>1111769.14</v>
      </c>
      <c r="C17" s="13">
        <v>11954465.21</v>
      </c>
      <c r="D17" s="13">
        <v>1277516.91</v>
      </c>
    </row>
    <row r="18" customHeight="1" spans="1:4">
      <c r="A18" s="12" t="s">
        <v>112</v>
      </c>
      <c r="B18" s="13">
        <v>0</v>
      </c>
      <c r="C18" s="13">
        <v>0</v>
      </c>
      <c r="D18" s="13">
        <v>0</v>
      </c>
    </row>
    <row r="19" customHeight="1" spans="1:4">
      <c r="A19" s="12" t="s">
        <v>113</v>
      </c>
      <c r="B19" s="13">
        <v>709</v>
      </c>
      <c r="C19" s="13">
        <v>101962.5</v>
      </c>
      <c r="D19" s="13">
        <v>28726.49</v>
      </c>
    </row>
    <row r="20" customHeight="1" spans="1:4">
      <c r="A20" s="12" t="s">
        <v>114</v>
      </c>
      <c r="B20" s="13">
        <v>951532.17</v>
      </c>
      <c r="C20" s="13">
        <v>7096913.07</v>
      </c>
      <c r="D20" s="13">
        <v>1104286.63</v>
      </c>
    </row>
    <row r="21" customHeight="1" spans="1:4">
      <c r="A21" s="12" t="s">
        <v>115</v>
      </c>
      <c r="B21" s="13">
        <v>84530.65</v>
      </c>
      <c r="C21" s="13">
        <v>2704174.89</v>
      </c>
      <c r="D21" s="13">
        <v>248670.77</v>
      </c>
    </row>
    <row r="22" customHeight="1" spans="1:4">
      <c r="A22" s="12" t="s">
        <v>116</v>
      </c>
      <c r="B22" s="13">
        <v>77971.77</v>
      </c>
      <c r="C22" s="13">
        <v>2648586.63</v>
      </c>
      <c r="D22" s="13">
        <v>225042.48</v>
      </c>
    </row>
    <row r="23" customHeight="1" spans="1:4">
      <c r="A23" s="12" t="s">
        <v>117</v>
      </c>
      <c r="B23" s="13">
        <v>-601.39</v>
      </c>
      <c r="C23" s="13">
        <v>-982.52</v>
      </c>
      <c r="D23" s="13">
        <v>-83.57</v>
      </c>
    </row>
    <row r="24" customHeight="1" spans="1:4">
      <c r="A24" s="12" t="s">
        <v>118</v>
      </c>
      <c r="B24" s="13">
        <v>0</v>
      </c>
      <c r="C24" s="13">
        <v>0</v>
      </c>
      <c r="D24" s="13">
        <v>0</v>
      </c>
    </row>
    <row r="25" customHeight="1" spans="1:4">
      <c r="A25" s="12" t="s">
        <v>119</v>
      </c>
      <c r="B25" s="13">
        <v>0</v>
      </c>
      <c r="C25" s="13">
        <v>0</v>
      </c>
      <c r="D25" s="13">
        <v>0</v>
      </c>
    </row>
    <row r="26" customHeight="1" spans="1:4">
      <c r="A26" s="12" t="s">
        <v>120</v>
      </c>
      <c r="B26" s="13"/>
      <c r="C26" s="13"/>
      <c r="D26" s="13">
        <v>0</v>
      </c>
    </row>
    <row r="27" customHeight="1" spans="1:4">
      <c r="A27" s="12" t="s">
        <v>121</v>
      </c>
      <c r="B27" s="13"/>
      <c r="C27" s="13"/>
      <c r="D27" s="13">
        <v>0</v>
      </c>
    </row>
    <row r="28" customHeight="1" spans="1:4">
      <c r="A28" s="12" t="s">
        <v>122</v>
      </c>
      <c r="B28" s="13">
        <v>0</v>
      </c>
      <c r="C28" s="13">
        <v>0</v>
      </c>
      <c r="D28" s="13">
        <v>0</v>
      </c>
    </row>
    <row r="29" customHeight="1" spans="1:4">
      <c r="A29" s="12" t="s">
        <v>123</v>
      </c>
      <c r="B29" s="13">
        <v>0</v>
      </c>
      <c r="C29" s="13">
        <v>0</v>
      </c>
      <c r="D29" s="13">
        <v>0</v>
      </c>
    </row>
    <row r="30" customHeight="1" spans="1:4">
      <c r="A30" s="12" t="s">
        <v>124</v>
      </c>
      <c r="B30" s="13">
        <v>0</v>
      </c>
      <c r="C30" s="13">
        <v>0</v>
      </c>
      <c r="D30" s="13">
        <v>0</v>
      </c>
    </row>
    <row r="31" customHeight="1" spans="1:4">
      <c r="A31" s="12" t="s">
        <v>125</v>
      </c>
      <c r="B31" s="13">
        <v>0</v>
      </c>
      <c r="C31" s="13">
        <v>0</v>
      </c>
      <c r="D31" s="13">
        <v>0</v>
      </c>
    </row>
    <row r="32" customHeight="1" spans="1:4">
      <c r="A32" s="12" t="s">
        <v>126</v>
      </c>
      <c r="B32" s="13">
        <v>0</v>
      </c>
      <c r="C32" s="13">
        <v>0</v>
      </c>
      <c r="D32" s="13">
        <v>0</v>
      </c>
    </row>
    <row r="33" customHeight="1" spans="1:4">
      <c r="A33" s="12" t="s">
        <v>127</v>
      </c>
      <c r="B33" s="13">
        <f>B5-B6-B7-B14-B17-B20-B21+B24+B25+B28+B29-B30-B31+B32</f>
        <v>17280.1200000001</v>
      </c>
      <c r="C33" s="13">
        <f>C5-C6-C7-C14-C17-C20-C21+C24+C25+C28+C29-C30-C31+C32</f>
        <v>3088265.15999999</v>
      </c>
      <c r="D33" s="13">
        <f>D5-D6-D7-D14-D17-D20-D21+D24+D25+D28+D29-D30-D31+D32</f>
        <v>1313849.6</v>
      </c>
    </row>
    <row r="34" customHeight="1" spans="1:4">
      <c r="A34" s="12" t="s">
        <v>128</v>
      </c>
      <c r="B34" s="13">
        <v>0.2</v>
      </c>
      <c r="C34" s="13">
        <v>146956.16</v>
      </c>
      <c r="D34" s="13">
        <v>16121.51</v>
      </c>
    </row>
    <row r="35" customHeight="1" spans="1:4">
      <c r="A35" s="12" t="s">
        <v>129</v>
      </c>
      <c r="B35" s="13">
        <v>0</v>
      </c>
      <c r="C35" s="13">
        <v>143550</v>
      </c>
      <c r="D35" s="13">
        <v>26550</v>
      </c>
    </row>
    <row r="36" customHeight="1" spans="1:4">
      <c r="A36" s="12" t="s">
        <v>130</v>
      </c>
      <c r="B36" s="13">
        <v>0.06</v>
      </c>
      <c r="C36" s="13">
        <v>223905.98</v>
      </c>
      <c r="D36" s="13">
        <v>1028.34</v>
      </c>
    </row>
    <row r="37" customHeight="1" spans="1:4">
      <c r="A37" s="12" t="s">
        <v>131</v>
      </c>
      <c r="B37" s="13">
        <v>0</v>
      </c>
      <c r="C37" s="13">
        <v>0</v>
      </c>
      <c r="D37" s="13">
        <v>0</v>
      </c>
    </row>
    <row r="38" customHeight="1" spans="1:4">
      <c r="A38" s="12" t="s">
        <v>132</v>
      </c>
      <c r="B38" s="13">
        <f>B33+B34-B36</f>
        <v>17280.2600000001</v>
      </c>
      <c r="C38" s="13">
        <f>C33+C34-C36</f>
        <v>3011315.33999999</v>
      </c>
      <c r="D38" s="13">
        <f>D33+D34-D36</f>
        <v>1328942.77</v>
      </c>
    </row>
    <row r="39" customHeight="1" spans="1:4">
      <c r="A39" s="12" t="s">
        <v>133</v>
      </c>
      <c r="B39" s="13">
        <v>0</v>
      </c>
      <c r="C39" s="13">
        <v>81243.82</v>
      </c>
      <c r="D39" s="13">
        <v>24373.77</v>
      </c>
    </row>
    <row r="40" customHeight="1" spans="1:4">
      <c r="A40" s="12" t="s">
        <v>134</v>
      </c>
      <c r="B40" s="13">
        <f>B38-B39</f>
        <v>17280.2600000001</v>
      </c>
      <c r="C40" s="13">
        <f>C38-C39</f>
        <v>2930071.51999999</v>
      </c>
      <c r="D40" s="13">
        <f>D38-D39</f>
        <v>1304569</v>
      </c>
    </row>
    <row r="41" customHeight="1" spans="1:4">
      <c r="A41" s="12" t="s">
        <v>135</v>
      </c>
      <c r="B41" s="13"/>
      <c r="C41" s="13"/>
      <c r="D41" s="13">
        <v>0</v>
      </c>
    </row>
    <row r="42" customHeight="1" spans="1:4">
      <c r="A42" s="12" t="s">
        <v>136</v>
      </c>
      <c r="B42" s="13"/>
      <c r="C42" s="13"/>
      <c r="D42" s="13">
        <v>0</v>
      </c>
    </row>
    <row r="43" customHeight="1" spans="1:4">
      <c r="A43" s="12" t="s">
        <v>137</v>
      </c>
      <c r="B43" s="13">
        <f>B44+B50</f>
        <v>0</v>
      </c>
      <c r="C43" s="13">
        <f>C44+C50</f>
        <v>0</v>
      </c>
      <c r="D43" s="13">
        <f>D44+D50</f>
        <v>0</v>
      </c>
    </row>
    <row r="44" customHeight="1" spans="1:4">
      <c r="A44" s="12" t="s">
        <v>138</v>
      </c>
      <c r="B44" s="13">
        <f>B45+B46+B49</f>
        <v>0</v>
      </c>
      <c r="C44" s="13">
        <f>C45+C46+C49</f>
        <v>0</v>
      </c>
      <c r="D44" s="13">
        <f>D45+D46+D49</f>
        <v>0</v>
      </c>
    </row>
    <row r="45" customHeight="1" spans="1:4">
      <c r="A45" s="12" t="s">
        <v>139</v>
      </c>
      <c r="B45" s="13"/>
      <c r="C45" s="13"/>
      <c r="D45" s="13">
        <v>0</v>
      </c>
    </row>
    <row r="46" customHeight="1" spans="1:4">
      <c r="A46" s="12" t="s">
        <v>140</v>
      </c>
      <c r="B46" s="13"/>
      <c r="C46" s="13"/>
      <c r="D46" s="13">
        <v>0</v>
      </c>
    </row>
    <row r="47" customHeight="1" spans="1:4">
      <c r="A47" s="12" t="s">
        <v>141</v>
      </c>
      <c r="B47" s="13"/>
      <c r="C47" s="13"/>
      <c r="D47" s="13">
        <v>0</v>
      </c>
    </row>
    <row r="48" customHeight="1" spans="1:4">
      <c r="A48" s="12" t="s">
        <v>142</v>
      </c>
      <c r="B48" s="13"/>
      <c r="C48" s="13"/>
      <c r="D48" s="13">
        <v>0</v>
      </c>
    </row>
    <row r="49" customHeight="1" spans="1:4">
      <c r="A49" s="12" t="s">
        <v>143</v>
      </c>
      <c r="B49" s="13"/>
      <c r="C49" s="13"/>
      <c r="D49" s="13">
        <v>0</v>
      </c>
    </row>
    <row r="50" customHeight="1" spans="1:4">
      <c r="A50" s="12" t="s">
        <v>144</v>
      </c>
      <c r="B50" s="13">
        <f>B51+B52+B53+B54+B56+B57</f>
        <v>0</v>
      </c>
      <c r="C50" s="13">
        <f>C51+C52+C53+C54+C56+C57</f>
        <v>0</v>
      </c>
      <c r="D50" s="13">
        <f>D51+D52+D53+D54+D56+D57</f>
        <v>0</v>
      </c>
    </row>
    <row r="51" customHeight="1" spans="1:4">
      <c r="A51" s="12" t="s">
        <v>145</v>
      </c>
      <c r="B51" s="13"/>
      <c r="C51" s="13"/>
      <c r="D51" s="13">
        <v>0</v>
      </c>
    </row>
    <row r="52" customHeight="1" spans="1:4">
      <c r="A52" s="12" t="s">
        <v>146</v>
      </c>
      <c r="B52" s="13"/>
      <c r="C52" s="13"/>
      <c r="D52" s="13">
        <v>0</v>
      </c>
    </row>
    <row r="53" customHeight="1" spans="1:4">
      <c r="A53" s="12" t="s">
        <v>147</v>
      </c>
      <c r="B53" s="13"/>
      <c r="C53" s="13"/>
      <c r="D53" s="13">
        <v>0</v>
      </c>
    </row>
    <row r="54" customHeight="1" spans="1:4">
      <c r="A54" s="12" t="s">
        <v>148</v>
      </c>
      <c r="B54" s="13"/>
      <c r="C54" s="13"/>
      <c r="D54" s="13">
        <v>0</v>
      </c>
    </row>
    <row r="55" customHeight="1" spans="1:4">
      <c r="A55" s="12" t="s">
        <v>149</v>
      </c>
      <c r="B55" s="13"/>
      <c r="C55" s="13"/>
      <c r="D55" s="13">
        <v>0</v>
      </c>
    </row>
    <row r="56" customHeight="1" spans="1:4">
      <c r="A56" s="12" t="s">
        <v>150</v>
      </c>
      <c r="B56" s="13"/>
      <c r="C56" s="13"/>
      <c r="D56" s="13">
        <v>0</v>
      </c>
    </row>
    <row r="57" customHeight="1" spans="1:4">
      <c r="A57" s="12" t="s">
        <v>143</v>
      </c>
      <c r="B57" s="13"/>
      <c r="C57" s="13"/>
      <c r="D57" s="13">
        <v>0</v>
      </c>
    </row>
    <row r="58" customHeight="1" spans="1:4">
      <c r="A58" s="12" t="s">
        <v>151</v>
      </c>
      <c r="B58" s="13">
        <f>B40+B43</f>
        <v>17280.2600000001</v>
      </c>
      <c r="C58" s="13">
        <f>C40+C43</f>
        <v>2930071.51999999</v>
      </c>
      <c r="D58" s="13">
        <f>D40+D43</f>
        <v>1304569</v>
      </c>
    </row>
    <row r="59" customHeight="1" spans="1:4">
      <c r="A59" s="12" t="s">
        <v>152</v>
      </c>
      <c r="B59" s="13">
        <f>B60+B61</f>
        <v>0</v>
      </c>
      <c r="C59" s="13">
        <f>C60+C61</f>
        <v>0</v>
      </c>
      <c r="D59" s="13">
        <f>D60+D61</f>
        <v>0</v>
      </c>
    </row>
    <row r="60" customHeight="1" spans="1:4">
      <c r="A60" s="12" t="s">
        <v>153</v>
      </c>
      <c r="B60" s="13"/>
      <c r="C60" s="13"/>
      <c r="D60" s="13">
        <v>0</v>
      </c>
    </row>
    <row r="61" customHeight="1" spans="1:4">
      <c r="A61" s="12" t="s">
        <v>154</v>
      </c>
      <c r="B61" s="14"/>
      <c r="C61" s="14"/>
      <c r="D61" s="14">
        <v>0</v>
      </c>
    </row>
  </sheetData>
  <mergeCells count="1">
    <mergeCell ref="A1:D1"/>
  </mergeCells>
  <printOptions horizontalCentered="1" gridLines="1"/>
  <pageMargins left="0.393055555555556" right="0.393055555555556" top="0.393055555555556" bottom="0.393055555555556" header="0" footer="0"/>
  <pageSetup paperSize="9" scale="84" orientation="portrait" blackAndWhite="1" useFirstPageNumber="1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workbookViewId="0">
      <pane ySplit="4" topLeftCell="A12" activePane="bottomLeft" state="frozen"/>
      <selection/>
      <selection pane="bottomLeft" activeCell="J25" sqref="J25"/>
    </sheetView>
  </sheetViews>
  <sheetFormatPr defaultColWidth="8.56666666666667" defaultRowHeight="15" customHeight="1" outlineLevelCol="3"/>
  <cols>
    <col min="1" max="1" width="51.375" style="1" customWidth="1"/>
    <col min="2" max="4" width="20.1416666666667" style="1" customWidth="1"/>
    <col min="5" max="16384" width="8.56666666666667" style="1" customWidth="1"/>
  </cols>
  <sheetData>
    <row r="1" ht="30" customHeight="1" spans="1:4">
      <c r="A1" s="2" t="s">
        <v>155</v>
      </c>
    </row>
    <row r="2" customHeight="1" spans="1:4">
      <c r="A2" s="3" t="s">
        <v>93</v>
      </c>
      <c r="B2" s="3"/>
      <c r="D2" s="3" t="s">
        <v>156</v>
      </c>
    </row>
    <row r="3" customHeight="1" spans="1:4">
      <c r="A3" s="3" t="s">
        <v>3</v>
      </c>
      <c r="B3" s="3"/>
      <c r="D3" s="3" t="s">
        <v>4</v>
      </c>
    </row>
    <row r="4" customHeight="1" spans="1:4">
      <c r="A4" s="4" t="s">
        <v>95</v>
      </c>
      <c r="B4" s="4" t="s">
        <v>96</v>
      </c>
      <c r="C4" s="4" t="s">
        <v>97</v>
      </c>
      <c r="D4" s="4" t="s">
        <v>98</v>
      </c>
    </row>
    <row r="5" customHeight="1" spans="1:4">
      <c r="A5" s="5" t="s">
        <v>157</v>
      </c>
      <c r="B5" s="6"/>
      <c r="C5" s="6"/>
      <c r="D5" s="6"/>
    </row>
    <row r="6" customHeight="1" spans="1:4">
      <c r="A6" s="5" t="s">
        <v>158</v>
      </c>
      <c r="B6" s="6">
        <v>11377749.49</v>
      </c>
      <c r="C6" s="6">
        <v>96872614.05</v>
      </c>
      <c r="D6" s="6">
        <v>9753928.83</v>
      </c>
    </row>
    <row r="7" customHeight="1" spans="1:4">
      <c r="A7" s="5" t="s">
        <v>159</v>
      </c>
      <c r="B7" s="6">
        <v>0</v>
      </c>
      <c r="C7" s="6">
        <v>0</v>
      </c>
      <c r="D7" s="6">
        <v>0</v>
      </c>
    </row>
    <row r="8" customHeight="1" spans="1:4">
      <c r="A8" s="5" t="s">
        <v>160</v>
      </c>
      <c r="B8" s="6">
        <v>62635255.89</v>
      </c>
      <c r="C8" s="6">
        <v>96178539.61</v>
      </c>
      <c r="D8" s="6">
        <v>9557141</v>
      </c>
    </row>
    <row r="9" customHeight="1" spans="1:4">
      <c r="A9" s="5" t="s">
        <v>161</v>
      </c>
      <c r="B9" s="6">
        <f>B6+B7+B8</f>
        <v>74013005.38</v>
      </c>
      <c r="C9" s="6">
        <f>C6+C7+C8</f>
        <v>193051153.66</v>
      </c>
      <c r="D9" s="6">
        <f>SUM(D6:D8)</f>
        <v>19311069.83</v>
      </c>
    </row>
    <row r="10" customHeight="1" spans="1:4">
      <c r="A10" s="5" t="s">
        <v>162</v>
      </c>
      <c r="B10" s="6">
        <v>4986467.08</v>
      </c>
      <c r="C10" s="6">
        <v>81460588.97</v>
      </c>
      <c r="D10" s="6">
        <v>13929194.03</v>
      </c>
    </row>
    <row r="11" customHeight="1" spans="1:4">
      <c r="A11" s="5" t="s">
        <v>163</v>
      </c>
      <c r="B11" s="6">
        <v>16246.61</v>
      </c>
      <c r="C11" s="6">
        <v>19292404.92</v>
      </c>
      <c r="D11" s="6">
        <v>4737617.09</v>
      </c>
    </row>
    <row r="12" customHeight="1" spans="1:4">
      <c r="A12" s="5" t="s">
        <v>164</v>
      </c>
      <c r="B12" s="6">
        <v>1929205.47</v>
      </c>
      <c r="C12" s="6">
        <v>2426817.98</v>
      </c>
      <c r="D12" s="6">
        <v>38847.88</v>
      </c>
    </row>
    <row r="13" customHeight="1" spans="1:4">
      <c r="A13" s="5" t="s">
        <v>165</v>
      </c>
      <c r="B13" s="6">
        <v>2718546.07</v>
      </c>
      <c r="C13" s="6">
        <v>27472061.38</v>
      </c>
      <c r="D13" s="6">
        <v>1642765.62</v>
      </c>
    </row>
    <row r="14" customHeight="1" spans="1:4">
      <c r="A14" s="5" t="s">
        <v>166</v>
      </c>
      <c r="B14" s="6">
        <f>B10+B11+B12+B13</f>
        <v>9650465.23</v>
      </c>
      <c r="C14" s="6">
        <f>C10+C11+C12+C13</f>
        <v>130651873.25</v>
      </c>
      <c r="D14" s="6">
        <f>SUM(D10:D13)</f>
        <v>20348424.62</v>
      </c>
    </row>
    <row r="15" customHeight="1" spans="1:4">
      <c r="A15" s="5" t="s">
        <v>167</v>
      </c>
      <c r="B15" s="6">
        <f>B9-B14</f>
        <v>64362540.15</v>
      </c>
      <c r="C15" s="6">
        <f>C9-C14</f>
        <v>62399280.41</v>
      </c>
      <c r="D15" s="6">
        <f>D9-D14</f>
        <v>-1037354.79</v>
      </c>
    </row>
    <row r="16" customHeight="1" spans="1:4">
      <c r="A16" s="5" t="s">
        <v>168</v>
      </c>
      <c r="B16" s="6"/>
      <c r="C16" s="6"/>
      <c r="D16" s="6"/>
    </row>
    <row r="17" customHeight="1" spans="1:4">
      <c r="A17" s="5" t="s">
        <v>169</v>
      </c>
      <c r="B17" s="6">
        <v>0</v>
      </c>
      <c r="C17" s="6">
        <v>0</v>
      </c>
      <c r="D17" s="6">
        <v>0</v>
      </c>
    </row>
    <row r="18" customHeight="1" spans="1:4">
      <c r="A18" s="5" t="s">
        <v>170</v>
      </c>
      <c r="B18" s="6">
        <v>0</v>
      </c>
      <c r="C18" s="6">
        <v>0</v>
      </c>
      <c r="D18" s="6">
        <v>0</v>
      </c>
    </row>
    <row r="19" customHeight="1" spans="1:4">
      <c r="A19" s="5" t="s">
        <v>171</v>
      </c>
      <c r="B19" s="6">
        <v>0</v>
      </c>
      <c r="C19" s="6">
        <v>0</v>
      </c>
      <c r="D19" s="6">
        <v>0</v>
      </c>
    </row>
    <row r="20" customHeight="1" spans="1:4">
      <c r="A20" s="5" t="s">
        <v>172</v>
      </c>
      <c r="B20" s="6">
        <v>0</v>
      </c>
      <c r="C20" s="6">
        <v>0</v>
      </c>
      <c r="D20" s="6">
        <v>0</v>
      </c>
    </row>
    <row r="21" customHeight="1" spans="1:4">
      <c r="A21" s="5" t="s">
        <v>173</v>
      </c>
      <c r="B21" s="6">
        <v>0</v>
      </c>
      <c r="C21" s="6">
        <v>0</v>
      </c>
      <c r="D21" s="6">
        <v>0</v>
      </c>
    </row>
    <row r="22" customHeight="1" spans="1:4">
      <c r="A22" s="5" t="s">
        <v>174</v>
      </c>
      <c r="B22" s="6">
        <f>B17+B18+B19+B20+B21</f>
        <v>0</v>
      </c>
      <c r="C22" s="6">
        <f>C17+C18+C19+C20+C21</f>
        <v>0</v>
      </c>
      <c r="D22" s="6">
        <f>SUM(D17:D21)</f>
        <v>0</v>
      </c>
    </row>
    <row r="23" customHeight="1" spans="1:4">
      <c r="A23" s="5" t="s">
        <v>175</v>
      </c>
      <c r="B23" s="6">
        <v>60288174</v>
      </c>
      <c r="C23" s="6">
        <v>60288174</v>
      </c>
      <c r="D23" s="6">
        <v>0</v>
      </c>
    </row>
    <row r="24" customHeight="1" spans="1:4">
      <c r="A24" s="5" t="s">
        <v>176</v>
      </c>
      <c r="B24" s="6">
        <v>0</v>
      </c>
      <c r="C24" s="6">
        <v>0</v>
      </c>
      <c r="D24" s="6">
        <v>0</v>
      </c>
    </row>
    <row r="25" customHeight="1" spans="1:4">
      <c r="A25" s="5" t="s">
        <v>177</v>
      </c>
      <c r="B25" s="6">
        <v>0</v>
      </c>
      <c r="C25" s="6">
        <v>0</v>
      </c>
      <c r="D25" s="6">
        <v>0</v>
      </c>
    </row>
    <row r="26" customHeight="1" spans="1:4">
      <c r="A26" s="5" t="s">
        <v>178</v>
      </c>
      <c r="B26" s="6">
        <v>0</v>
      </c>
      <c r="C26" s="6">
        <v>0</v>
      </c>
      <c r="D26" s="6">
        <v>0</v>
      </c>
    </row>
    <row r="27" customHeight="1" spans="1:4">
      <c r="A27" s="5" t="s">
        <v>179</v>
      </c>
      <c r="B27" s="6">
        <f>B23+B24+B25+B26</f>
        <v>60288174</v>
      </c>
      <c r="C27" s="6">
        <f>C23+C24+C25+C26</f>
        <v>60288174</v>
      </c>
      <c r="D27" s="6">
        <f>SUM(D23:D26)</f>
        <v>0</v>
      </c>
    </row>
    <row r="28" customHeight="1" spans="1:4">
      <c r="A28" s="5" t="s">
        <v>180</v>
      </c>
      <c r="B28" s="6">
        <f>B22-B27</f>
        <v>-60288174</v>
      </c>
      <c r="C28" s="6">
        <f>C22-C27</f>
        <v>-60288174</v>
      </c>
      <c r="D28" s="6">
        <f>D22-D27</f>
        <v>0</v>
      </c>
    </row>
    <row r="29" customHeight="1" spans="1:4">
      <c r="A29" s="5" t="s">
        <v>181</v>
      </c>
      <c r="B29" s="6"/>
      <c r="C29" s="6"/>
      <c r="D29" s="6"/>
    </row>
    <row r="30" customHeight="1" spans="1:4">
      <c r="A30" s="5" t="s">
        <v>182</v>
      </c>
      <c r="B30" s="6">
        <v>0</v>
      </c>
      <c r="C30" s="6">
        <v>8740269.43</v>
      </c>
      <c r="D30" s="6">
        <v>0</v>
      </c>
    </row>
    <row r="31" customHeight="1" spans="1:4">
      <c r="A31" s="5" t="s">
        <v>183</v>
      </c>
      <c r="B31" s="6">
        <v>2000000</v>
      </c>
      <c r="C31" s="6">
        <v>44551733.6</v>
      </c>
      <c r="D31" s="6">
        <v>10000000</v>
      </c>
    </row>
    <row r="32" customHeight="1" spans="1:4">
      <c r="A32" s="5" t="s">
        <v>184</v>
      </c>
      <c r="B32" s="6">
        <v>0</v>
      </c>
      <c r="C32" s="6">
        <v>0</v>
      </c>
      <c r="D32" s="6">
        <v>0</v>
      </c>
    </row>
    <row r="33" customHeight="1" spans="1:4">
      <c r="A33" s="5" t="s">
        <v>185</v>
      </c>
      <c r="B33" s="6">
        <f>B30+B31+B32</f>
        <v>2000000</v>
      </c>
      <c r="C33" s="6">
        <f>C30+C31+C32</f>
        <v>53292003.03</v>
      </c>
      <c r="D33" s="6">
        <f>SUM(D30:D32)</f>
        <v>10000000</v>
      </c>
    </row>
    <row r="34" customHeight="1" spans="1:4">
      <c r="A34" s="5" t="s">
        <v>186</v>
      </c>
      <c r="B34" s="6">
        <v>4083600</v>
      </c>
      <c r="C34" s="6">
        <v>50332740.87</v>
      </c>
      <c r="D34" s="6">
        <v>10000000</v>
      </c>
    </row>
    <row r="35" customHeight="1" spans="1:4">
      <c r="A35" s="5" t="s">
        <v>187</v>
      </c>
      <c r="B35" s="6">
        <v>77971.77</v>
      </c>
      <c r="C35" s="6">
        <v>2608116.08</v>
      </c>
      <c r="D35" s="6">
        <v>137180.43</v>
      </c>
    </row>
    <row r="36" customHeight="1" spans="1:4">
      <c r="A36" s="5" t="s">
        <v>188</v>
      </c>
      <c r="B36" s="6">
        <v>0</v>
      </c>
      <c r="C36" s="6">
        <v>0</v>
      </c>
      <c r="D36" s="6">
        <v>0</v>
      </c>
    </row>
    <row r="37" customHeight="1" spans="1:4">
      <c r="A37" s="5" t="s">
        <v>189</v>
      </c>
      <c r="B37" s="6">
        <f>B34+B35+B36</f>
        <v>4161571.77</v>
      </c>
      <c r="C37" s="6">
        <f>C34+C35+C36</f>
        <v>52940856.95</v>
      </c>
      <c r="D37" s="6">
        <f>SUM(D34:D36)</f>
        <v>10137180.43</v>
      </c>
    </row>
    <row r="38" customHeight="1" spans="1:4">
      <c r="A38" s="5" t="s">
        <v>190</v>
      </c>
      <c r="B38" s="6">
        <f>B33-B37</f>
        <v>-2161571.77</v>
      </c>
      <c r="C38" s="6">
        <f>C33-C37</f>
        <v>351146.080000006</v>
      </c>
      <c r="D38" s="6">
        <f>D33-D37</f>
        <v>-137180.43</v>
      </c>
    </row>
    <row r="39" customHeight="1" spans="1:4">
      <c r="A39" s="5" t="s">
        <v>191</v>
      </c>
      <c r="B39" s="6"/>
      <c r="C39" s="6"/>
      <c r="D39" s="6">
        <v>0</v>
      </c>
    </row>
    <row r="40" customHeight="1" spans="1:4">
      <c r="A40" s="5" t="s">
        <v>192</v>
      </c>
      <c r="B40" s="6">
        <f>B15+B28+B38+B39</f>
        <v>1912794.37999999</v>
      </c>
      <c r="C40" s="6">
        <f>C15+C28+C38+C39</f>
        <v>2462252.49</v>
      </c>
      <c r="D40" s="6">
        <f>D15+D28+D38+D39</f>
        <v>-1174535.22</v>
      </c>
    </row>
    <row r="41" customHeight="1" spans="1:4">
      <c r="A41" s="5" t="s">
        <v>193</v>
      </c>
      <c r="B41" s="6">
        <v>719140.16</v>
      </c>
      <c r="C41" s="6">
        <v>169682.05</v>
      </c>
      <c r="D41" s="6">
        <v>1893675.38</v>
      </c>
    </row>
    <row r="42" customHeight="1" spans="1:4">
      <c r="A42" s="5" t="s">
        <v>194</v>
      </c>
      <c r="B42" s="6">
        <v>2631934.54</v>
      </c>
      <c r="C42" s="6">
        <v>2631934.54</v>
      </c>
      <c r="D42" s="6">
        <v>719140.16</v>
      </c>
    </row>
  </sheetData>
  <mergeCells count="1">
    <mergeCell ref="A1:D1"/>
  </mergeCells>
  <printOptions gridLines="1"/>
  <pageMargins left="0" right="0" top="0" bottom="0" header="0" footer="0"/>
  <pageSetup paperSize="9" orientation="portrait" blackAndWhite="1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资产负债表</vt:lpstr>
      <vt:lpstr>利润表</vt:lpstr>
      <vt:lpstr>现金流量表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春暖花开</cp:lastModifiedBy>
  <dcterms:created xsi:type="dcterms:W3CDTF">2025-12-04T09:16:00Z</dcterms:created>
  <dcterms:modified xsi:type="dcterms:W3CDTF">2025-12-05T07:32:42Z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5D90FF5C4C4F44A6A1F0A4C12674BAA2_12</vt:lpwstr>
  </property>
  <property fmtid="{D5CDD505-2E9C-101B-9397-08002B2CF9AE}" pid="3" name="KSOProductBuildVer">
    <vt:lpwstr>2052-12.1.0.23542</vt:lpwstr>
  </property>
</Properties>
</file>